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전기차\MAIN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</sheets>
  <definedNames>
    <definedName name="_xlnm._FilterDatabase" localSheetId="0" hidden="1">통합!$A$1:$BO$473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AZ440" i="3"/>
  <c r="D440" i="3" s="1"/>
  <c r="AZ441" i="3"/>
  <c r="D441" i="3" s="1"/>
  <c r="AZ442" i="3"/>
  <c r="D442" i="3" s="1"/>
  <c r="AZ443" i="3"/>
  <c r="D443" i="3" s="1"/>
  <c r="AZ444" i="3"/>
  <c r="D444" i="3" s="1"/>
  <c r="AZ445" i="3"/>
  <c r="D445" i="3" s="1"/>
  <c r="AZ446" i="3"/>
  <c r="D446" i="3" s="1"/>
  <c r="AZ447" i="3"/>
  <c r="D447" i="3" s="1"/>
  <c r="AZ448" i="3"/>
  <c r="D448" i="3" s="1"/>
  <c r="AZ449" i="3"/>
  <c r="D449" i="3" s="1"/>
  <c r="AZ450" i="3"/>
  <c r="D450" i="3" s="1"/>
  <c r="AZ451" i="3"/>
  <c r="D451" i="3" s="1"/>
  <c r="AZ452" i="3"/>
  <c r="D452" i="3" s="1"/>
  <c r="AZ453" i="3"/>
  <c r="D453" i="3" s="1"/>
  <c r="AZ454" i="3"/>
  <c r="D454" i="3" s="1"/>
  <c r="AZ455" i="3"/>
  <c r="D455" i="3" s="1"/>
  <c r="AZ456" i="3"/>
  <c r="D456" i="3" s="1"/>
  <c r="AZ457" i="3"/>
  <c r="D457" i="3" s="1"/>
  <c r="AZ458" i="3"/>
  <c r="D458" i="3" s="1"/>
  <c r="AZ459" i="3"/>
  <c r="D459" i="3" s="1"/>
  <c r="AZ460" i="3"/>
  <c r="D460" i="3" s="1"/>
  <c r="AZ461" i="3"/>
  <c r="D461" i="3" s="1"/>
  <c r="AZ462" i="3"/>
  <c r="D462" i="3" s="1"/>
  <c r="AZ463" i="3"/>
  <c r="D463" i="3" s="1"/>
  <c r="AZ464" i="3"/>
  <c r="D464" i="3" s="1"/>
  <c r="AZ465" i="3"/>
  <c r="D465" i="3" s="1"/>
  <c r="AZ466" i="3"/>
  <c r="D466" i="3" s="1"/>
  <c r="AZ467" i="3"/>
  <c r="D467" i="3" s="1"/>
  <c r="AZ468" i="3"/>
  <c r="D468" i="3" s="1"/>
  <c r="AZ469" i="3"/>
  <c r="D469" i="3" s="1"/>
  <c r="AZ470" i="3"/>
  <c r="D470" i="3" s="1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A441" i="3"/>
  <c r="BA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6" i="3"/>
  <c r="BA457" i="3"/>
  <c r="BA458" i="3"/>
  <c r="BA459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2" i="3"/>
  <c r="BA473" i="3"/>
  <c r="M473" i="3" l="1"/>
  <c r="V473" i="3" s="1"/>
  <c r="AA473" i="3" s="1"/>
  <c r="R473" i="3"/>
  <c r="S473" i="3"/>
  <c r="Y473" i="3"/>
  <c r="Z473" i="3"/>
  <c r="AC473" i="3"/>
  <c r="AD473" i="3"/>
  <c r="AE473" i="3"/>
  <c r="AF473" i="3"/>
  <c r="AG473" i="3"/>
  <c r="AH473" i="3"/>
  <c r="AI473" i="3"/>
  <c r="AJ473" i="3"/>
  <c r="AK473" i="3"/>
  <c r="BB473" i="3"/>
  <c r="P473" i="3" l="1"/>
  <c r="U473" i="3" s="1"/>
  <c r="AB473" i="3"/>
  <c r="W473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40" i="3"/>
  <c r="BB441" i="3"/>
  <c r="BB442" i="3"/>
  <c r="BB443" i="3"/>
  <c r="BB444" i="3"/>
  <c r="BB445" i="3"/>
  <c r="BB446" i="3"/>
  <c r="BB447" i="3"/>
  <c r="BB448" i="3"/>
  <c r="BB449" i="3"/>
  <c r="BB450" i="3"/>
  <c r="BB451" i="3"/>
  <c r="BB452" i="3"/>
  <c r="BB453" i="3"/>
  <c r="BB454" i="3"/>
  <c r="BB455" i="3"/>
  <c r="BB456" i="3"/>
  <c r="BB457" i="3"/>
  <c r="BB458" i="3"/>
  <c r="BB459" i="3"/>
  <c r="BB460" i="3"/>
  <c r="BB461" i="3"/>
  <c r="BB462" i="3"/>
  <c r="BB463" i="3"/>
  <c r="BB464" i="3"/>
  <c r="BB465" i="3"/>
  <c r="BB466" i="3"/>
  <c r="BB467" i="3"/>
  <c r="BB468" i="3"/>
  <c r="BB469" i="3"/>
  <c r="BB470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AB471" i="3" s="1"/>
  <c r="P471" i="3"/>
  <c r="T471" i="3" s="1"/>
  <c r="U472" i="3"/>
  <c r="V472" i="3"/>
  <c r="AB472" i="3" l="1"/>
  <c r="C472" i="3" s="1"/>
  <c r="AA472" i="3"/>
  <c r="W471" i="3"/>
  <c r="AA471" i="3"/>
  <c r="U471" i="3"/>
  <c r="C471" i="3" s="1"/>
  <c r="W472" i="3"/>
  <c r="M470" i="3" l="1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AA129" i="3" s="1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AA87" i="3" s="1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A95" i="3" s="1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AA274" i="3" s="1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AA161" i="3" s="1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AA370" i="3" s="1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AA417" i="3" s="1"/>
  <c r="P417" i="3"/>
  <c r="V421" i="3"/>
  <c r="P421" i="3"/>
  <c r="P464" i="3"/>
  <c r="P468" i="3"/>
  <c r="V15" i="3"/>
  <c r="P15" i="3"/>
  <c r="V93" i="3"/>
  <c r="P93" i="3"/>
  <c r="V113" i="3"/>
  <c r="AA113" i="3" s="1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AA167" i="3" s="1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AA203" i="3" s="1"/>
  <c r="P203" i="3"/>
  <c r="V207" i="3"/>
  <c r="P207" i="3"/>
  <c r="P211" i="3"/>
  <c r="V215" i="3"/>
  <c r="AA215" i="3" s="1"/>
  <c r="P215" i="3"/>
  <c r="P219" i="3"/>
  <c r="P223" i="3"/>
  <c r="P227" i="3"/>
  <c r="P231" i="3"/>
  <c r="P235" i="3"/>
  <c r="V239" i="3"/>
  <c r="AA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AA449" i="3" s="1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AA12" i="3" s="1"/>
  <c r="P12" i="3"/>
  <c r="V98" i="3"/>
  <c r="P98" i="3"/>
  <c r="V110" i="3"/>
  <c r="P110" i="3"/>
  <c r="V122" i="3"/>
  <c r="P122" i="3"/>
  <c r="V137" i="3"/>
  <c r="P137" i="3"/>
  <c r="V153" i="3"/>
  <c r="P153" i="3"/>
  <c r="V165" i="3"/>
  <c r="AA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AA77" i="3" s="1"/>
  <c r="P77" i="3"/>
  <c r="P81" i="3"/>
  <c r="V85" i="3"/>
  <c r="P85" i="3"/>
  <c r="V89" i="3"/>
  <c r="AA89" i="3" s="1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AA347" i="3" s="1"/>
  <c r="P347" i="3"/>
  <c r="V351" i="3"/>
  <c r="P351" i="3"/>
  <c r="V355" i="3"/>
  <c r="AA355" i="3" s="1"/>
  <c r="P355" i="3"/>
  <c r="P359" i="3"/>
  <c r="P363" i="3"/>
  <c r="V367" i="3"/>
  <c r="P367" i="3"/>
  <c r="P371" i="3"/>
  <c r="V375" i="3"/>
  <c r="AA375" i="3" s="1"/>
  <c r="P375" i="3"/>
  <c r="P379" i="3"/>
  <c r="V383" i="3"/>
  <c r="P383" i="3"/>
  <c r="V387" i="3"/>
  <c r="AA387" i="3" s="1"/>
  <c r="P387" i="3"/>
  <c r="P391" i="3"/>
  <c r="V395" i="3"/>
  <c r="P395" i="3"/>
  <c r="V399" i="3"/>
  <c r="AA399" i="3" s="1"/>
  <c r="P399" i="3"/>
  <c r="V403" i="3"/>
  <c r="P403" i="3"/>
  <c r="V407" i="3"/>
  <c r="AA407" i="3" s="1"/>
  <c r="P407" i="3"/>
  <c r="V411" i="3"/>
  <c r="P411" i="3"/>
  <c r="V418" i="3"/>
  <c r="P418" i="3"/>
  <c r="V422" i="3"/>
  <c r="P422" i="3"/>
  <c r="V465" i="3"/>
  <c r="P465" i="3"/>
  <c r="V469" i="3"/>
  <c r="AA469" i="3" s="1"/>
  <c r="P469" i="3"/>
  <c r="V132" i="3"/>
  <c r="P132" i="3"/>
  <c r="P136" i="3"/>
  <c r="V140" i="3"/>
  <c r="P140" i="3"/>
  <c r="P144" i="3"/>
  <c r="V148" i="3"/>
  <c r="AA148" i="3" s="1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AA180" i="3" s="1"/>
  <c r="P180" i="3"/>
  <c r="V184" i="3"/>
  <c r="P184" i="3"/>
  <c r="P188" i="3"/>
  <c r="V192" i="3"/>
  <c r="AA192" i="3" s="1"/>
  <c r="P192" i="3"/>
  <c r="P196" i="3"/>
  <c r="V200" i="3"/>
  <c r="P200" i="3"/>
  <c r="P204" i="3"/>
  <c r="V208" i="3"/>
  <c r="AA208" i="3" s="1"/>
  <c r="P208" i="3"/>
  <c r="V212" i="3"/>
  <c r="P212" i="3"/>
  <c r="V216" i="3"/>
  <c r="AA216" i="3" s="1"/>
  <c r="P216" i="3"/>
  <c r="P220" i="3"/>
  <c r="V224" i="3"/>
  <c r="P224" i="3"/>
  <c r="V228" i="3"/>
  <c r="AA228" i="3" s="1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AA454" i="3" s="1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AA90" i="3" s="1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AA226" i="3" s="1"/>
  <c r="V219" i="3"/>
  <c r="AA219" i="3" s="1"/>
  <c r="V307" i="3"/>
  <c r="AA307" i="3" s="1"/>
  <c r="V366" i="3"/>
  <c r="AA366" i="3" s="1"/>
  <c r="V386" i="3"/>
  <c r="AA386" i="3" s="1"/>
  <c r="V191" i="3"/>
  <c r="AA191" i="3" s="1"/>
  <c r="V221" i="3"/>
  <c r="V279" i="3"/>
  <c r="AA279" i="3" s="1"/>
  <c r="V402" i="3"/>
  <c r="AA402" i="3" s="1"/>
  <c r="V356" i="3"/>
  <c r="V44" i="3"/>
  <c r="V235" i="3"/>
  <c r="AA235" i="3" s="1"/>
  <c r="V61" i="3"/>
  <c r="AA61" i="3" s="1"/>
  <c r="V134" i="3"/>
  <c r="AA134" i="3" s="1"/>
  <c r="V169" i="3"/>
  <c r="V187" i="3"/>
  <c r="AA187" i="3" s="1"/>
  <c r="V60" i="3"/>
  <c r="AA60" i="3" s="1"/>
  <c r="V164" i="3"/>
  <c r="V354" i="3"/>
  <c r="AA354" i="3" s="1"/>
  <c r="V429" i="3"/>
  <c r="AA429" i="3" s="1"/>
  <c r="V83" i="3"/>
  <c r="AA83" i="3" s="1"/>
  <c r="V412" i="3"/>
  <c r="V431" i="3"/>
  <c r="AA431" i="3" s="1"/>
  <c r="V467" i="3"/>
  <c r="AA467" i="3" s="1"/>
  <c r="V334" i="3"/>
  <c r="V20" i="3"/>
  <c r="AA20" i="3" s="1"/>
  <c r="V150" i="3"/>
  <c r="AA150" i="3" s="1"/>
  <c r="V186" i="3"/>
  <c r="AA186" i="3" s="1"/>
  <c r="V275" i="3"/>
  <c r="V413" i="3"/>
  <c r="AA413" i="3" s="1"/>
  <c r="V444" i="3"/>
  <c r="AA444" i="3" s="1"/>
  <c r="V451" i="3"/>
  <c r="AA451" i="3" s="1"/>
  <c r="V468" i="3"/>
  <c r="V24" i="3"/>
  <c r="AA24" i="3" s="1"/>
  <c r="V427" i="3"/>
  <c r="AA427" i="3" s="1"/>
  <c r="V130" i="3"/>
  <c r="AA130" i="3" s="1"/>
  <c r="V452" i="3"/>
  <c r="AA452" i="3" s="1"/>
  <c r="V318" i="3"/>
  <c r="AA318" i="3" s="1"/>
  <c r="V162" i="3"/>
  <c r="AA162" i="3" s="1"/>
  <c r="V230" i="3"/>
  <c r="AA230" i="3" s="1"/>
  <c r="V16" i="3"/>
  <c r="AA16" i="3" s="1"/>
  <c r="V111" i="3"/>
  <c r="AA111" i="3" s="1"/>
  <c r="V202" i="3"/>
  <c r="AA202" i="3" s="1"/>
  <c r="V357" i="3"/>
  <c r="AA357" i="3" s="1"/>
  <c r="V428" i="3"/>
  <c r="AA428" i="3" s="1"/>
  <c r="V36" i="3"/>
  <c r="AA36" i="3" s="1"/>
  <c r="V326" i="3"/>
  <c r="AA326" i="3" s="1"/>
  <c r="V447" i="3"/>
  <c r="AA447" i="3" s="1"/>
  <c r="V233" i="3"/>
  <c r="V34" i="3"/>
  <c r="AA34" i="3" s="1"/>
  <c r="V234" i="3"/>
  <c r="AA234" i="3" s="1"/>
  <c r="V284" i="3"/>
  <c r="V291" i="3"/>
  <c r="V312" i="3"/>
  <c r="V323" i="3"/>
  <c r="V385" i="3"/>
  <c r="AA385" i="3" s="1"/>
  <c r="V388" i="3"/>
  <c r="V419" i="3"/>
  <c r="V81" i="3"/>
  <c r="AA81" i="3" s="1"/>
  <c r="V92" i="3"/>
  <c r="AA92" i="3" s="1"/>
  <c r="V340" i="3"/>
  <c r="V404" i="3"/>
  <c r="V2" i="3"/>
  <c r="AA2" i="3" s="1"/>
  <c r="V8" i="3"/>
  <c r="AA8" i="3" s="1"/>
  <c r="V40" i="3"/>
  <c r="AA40" i="3" s="1"/>
  <c r="V49" i="3"/>
  <c r="AA49" i="3" s="1"/>
  <c r="V63" i="3"/>
  <c r="AA63" i="3" s="1"/>
  <c r="V135" i="3"/>
  <c r="AA135" i="3" s="1"/>
  <c r="V158" i="3"/>
  <c r="V337" i="3"/>
  <c r="AA337" i="3" s="1"/>
  <c r="V344" i="3"/>
  <c r="V460" i="3"/>
  <c r="AA460" i="3" s="1"/>
  <c r="V377" i="3"/>
  <c r="AA377" i="3" s="1"/>
  <c r="V290" i="3"/>
  <c r="AA290" i="3" s="1"/>
  <c r="V127" i="3"/>
  <c r="V209" i="3"/>
  <c r="AA209" i="3" s="1"/>
  <c r="V262" i="3"/>
  <c r="V287" i="3"/>
  <c r="AA287" i="3" s="1"/>
  <c r="V391" i="3"/>
  <c r="V425" i="3"/>
  <c r="V9" i="3"/>
  <c r="AA9" i="3" s="1"/>
  <c r="V30" i="3"/>
  <c r="V45" i="3"/>
  <c r="AA45" i="3" s="1"/>
  <c r="V57" i="3"/>
  <c r="AA57" i="3" s="1"/>
  <c r="V72" i="3"/>
  <c r="V79" i="3"/>
  <c r="AA79" i="3" s="1"/>
  <c r="V97" i="3"/>
  <c r="V104" i="3"/>
  <c r="V115" i="3"/>
  <c r="V121" i="3"/>
  <c r="AA121" i="3" s="1"/>
  <c r="V217" i="3"/>
  <c r="AA217" i="3" s="1"/>
  <c r="V231" i="3"/>
  <c r="AA231" i="3" s="1"/>
  <c r="V248" i="3"/>
  <c r="V272" i="3"/>
  <c r="V297" i="3"/>
  <c r="AA297" i="3" s="1"/>
  <c r="V310" i="3"/>
  <c r="AA310" i="3" s="1"/>
  <c r="V378" i="3"/>
  <c r="AA378" i="3" s="1"/>
  <c r="V410" i="3"/>
  <c r="AA410" i="3" s="1"/>
  <c r="V271" i="3"/>
  <c r="AA271" i="3" s="1"/>
  <c r="V4" i="3"/>
  <c r="AA4" i="3" s="1"/>
  <c r="V25" i="3"/>
  <c r="AA25" i="3" s="1"/>
  <c r="V189" i="3"/>
  <c r="AA189" i="3" s="1"/>
  <c r="V259" i="3"/>
  <c r="AA259" i="3" s="1"/>
  <c r="V282" i="3"/>
  <c r="AA282" i="3" s="1"/>
  <c r="V288" i="3"/>
  <c r="V301" i="3"/>
  <c r="AA301" i="3" s="1"/>
  <c r="V338" i="3"/>
  <c r="AA338" i="3" s="1"/>
  <c r="V435" i="3"/>
  <c r="AA435" i="3" s="1"/>
  <c r="V296" i="3"/>
  <c r="V142" i="3"/>
  <c r="AA142" i="3" s="1"/>
  <c r="V155" i="3"/>
  <c r="V181" i="3"/>
  <c r="AA181" i="3" s="1"/>
  <c r="V305" i="3"/>
  <c r="AA305" i="3" s="1"/>
  <c r="V360" i="3"/>
  <c r="V268" i="3"/>
  <c r="V258" i="3"/>
  <c r="AA258" i="3" s="1"/>
  <c r="V41" i="3"/>
  <c r="V46" i="3"/>
  <c r="AA46" i="3" s="1"/>
  <c r="V55" i="3"/>
  <c r="AA55" i="3" s="1"/>
  <c r="V65" i="3"/>
  <c r="V116" i="3"/>
  <c r="V119" i="3"/>
  <c r="AA119" i="3" s="1"/>
  <c r="V136" i="3"/>
  <c r="V138" i="3"/>
  <c r="AA138" i="3" s="1"/>
  <c r="V193" i="3"/>
  <c r="AA193" i="3" s="1"/>
  <c r="V196" i="3"/>
  <c r="AA196" i="3" s="1"/>
  <c r="V213" i="3"/>
  <c r="V246" i="3"/>
  <c r="AA246" i="3" s="1"/>
  <c r="V286" i="3"/>
  <c r="AA286" i="3" s="1"/>
  <c r="V289" i="3"/>
  <c r="AA289" i="3" s="1"/>
  <c r="V295" i="3"/>
  <c r="AA295" i="3" s="1"/>
  <c r="V298" i="3"/>
  <c r="AA298" i="3" s="1"/>
  <c r="V376" i="3"/>
  <c r="V389" i="3"/>
  <c r="AA389" i="3" s="1"/>
  <c r="V443" i="3"/>
  <c r="V118" i="3"/>
  <c r="V177" i="3"/>
  <c r="AA177" i="3" s="1"/>
  <c r="V13" i="3"/>
  <c r="V29" i="3"/>
  <c r="AA29" i="3" s="1"/>
  <c r="V88" i="3"/>
  <c r="AA88" i="3" s="1"/>
  <c r="V108" i="3"/>
  <c r="AA108" i="3" s="1"/>
  <c r="V114" i="3"/>
  <c r="AA114" i="3" s="1"/>
  <c r="V257" i="3"/>
  <c r="AA257" i="3" s="1"/>
  <c r="V420" i="3"/>
  <c r="AA420" i="3" s="1"/>
  <c r="V42" i="3"/>
  <c r="V14" i="3"/>
  <c r="V56" i="3"/>
  <c r="AA56" i="3" s="1"/>
  <c r="V66" i="3"/>
  <c r="V76" i="3"/>
  <c r="V225" i="3"/>
  <c r="AA225" i="3" s="1"/>
  <c r="V241" i="3"/>
  <c r="AA241" i="3" s="1"/>
  <c r="V396" i="3"/>
  <c r="V405" i="3"/>
  <c r="AA405" i="3" s="1"/>
  <c r="V120" i="3"/>
  <c r="AA120" i="3" s="1"/>
  <c r="V131" i="3"/>
  <c r="AA131" i="3" s="1"/>
  <c r="V182" i="3"/>
  <c r="V243" i="3"/>
  <c r="AA243" i="3" s="1"/>
  <c r="V302" i="3"/>
  <c r="AA302" i="3" s="1"/>
  <c r="V349" i="3"/>
  <c r="V368" i="3"/>
  <c r="V358" i="3"/>
  <c r="V175" i="3"/>
  <c r="V223" i="3"/>
  <c r="V327" i="3"/>
  <c r="V365" i="3"/>
  <c r="AA365" i="3" s="1"/>
  <c r="V194" i="3"/>
  <c r="AA194" i="3" s="1"/>
  <c r="V198" i="3"/>
  <c r="AA198" i="3" s="1"/>
  <c r="V381" i="3"/>
  <c r="V436" i="3"/>
  <c r="V139" i="3"/>
  <c r="AA139" i="3" s="1"/>
  <c r="V143" i="3"/>
  <c r="AA143" i="3" s="1"/>
  <c r="V214" i="3"/>
  <c r="AA214" i="3" s="1"/>
  <c r="V353" i="3"/>
  <c r="AA353" i="3" s="1"/>
  <c r="V373" i="3"/>
  <c r="AA373" i="3" s="1"/>
  <c r="V5" i="3"/>
  <c r="AA5" i="3" s="1"/>
  <c r="V26" i="3"/>
  <c r="AA26" i="3" s="1"/>
  <c r="V37" i="3"/>
  <c r="V22" i="3"/>
  <c r="V33" i="3"/>
  <c r="AA33" i="3" s="1"/>
  <c r="V53" i="3"/>
  <c r="V64" i="3"/>
  <c r="AA64" i="3" s="1"/>
  <c r="V96" i="3"/>
  <c r="AA96" i="3" s="1"/>
  <c r="V128" i="3"/>
  <c r="V124" i="3"/>
  <c r="AA124" i="3" s="1"/>
  <c r="V179" i="3"/>
  <c r="V204" i="3"/>
  <c r="AA204" i="3" s="1"/>
  <c r="V206" i="3"/>
  <c r="V211" i="3"/>
  <c r="AA211" i="3" s="1"/>
  <c r="V84" i="3"/>
  <c r="AA84" i="3" s="1"/>
  <c r="V21" i="3"/>
  <c r="AA21" i="3" s="1"/>
  <c r="V52" i="3"/>
  <c r="AA52" i="3" s="1"/>
  <c r="V144" i="3"/>
  <c r="V17" i="3"/>
  <c r="AA17" i="3" s="1"/>
  <c r="V48" i="3"/>
  <c r="AA48" i="3" s="1"/>
  <c r="V80" i="3"/>
  <c r="AA80" i="3" s="1"/>
  <c r="V112" i="3"/>
  <c r="AA112" i="3" s="1"/>
  <c r="V147" i="3"/>
  <c r="AA147" i="3" s="1"/>
  <c r="V188" i="3"/>
  <c r="V190" i="3"/>
  <c r="AA190" i="3" s="1"/>
  <c r="V220" i="3"/>
  <c r="V166" i="3"/>
  <c r="AA166" i="3" s="1"/>
  <c r="V168" i="3"/>
  <c r="AA168" i="3" s="1"/>
  <c r="V227" i="3"/>
  <c r="AA227" i="3" s="1"/>
  <c r="V151" i="3"/>
  <c r="AA151" i="3" s="1"/>
  <c r="V172" i="3"/>
  <c r="V195" i="3"/>
  <c r="AA195" i="3" s="1"/>
  <c r="V68" i="3"/>
  <c r="AA68" i="3" s="1"/>
  <c r="V100" i="3"/>
  <c r="V170" i="3"/>
  <c r="V174" i="3"/>
  <c r="AA174" i="3" s="1"/>
  <c r="V222" i="3"/>
  <c r="AA222" i="3" s="1"/>
  <c r="V247" i="3"/>
  <c r="V255" i="3"/>
  <c r="AA255" i="3" s="1"/>
  <c r="V260" i="3"/>
  <c r="AA260" i="3" s="1"/>
  <c r="V283" i="3"/>
  <c r="AA283" i="3" s="1"/>
  <c r="V309" i="3"/>
  <c r="AA309" i="3" s="1"/>
  <c r="V339" i="3"/>
  <c r="AA339" i="3" s="1"/>
  <c r="V218" i="3"/>
  <c r="AA218" i="3" s="1"/>
  <c r="V267" i="3"/>
  <c r="AA267" i="3" s="1"/>
  <c r="V293" i="3"/>
  <c r="AA293" i="3" s="1"/>
  <c r="V251" i="3"/>
  <c r="AA251" i="3" s="1"/>
  <c r="V277" i="3"/>
  <c r="AA277" i="3" s="1"/>
  <c r="V331" i="3"/>
  <c r="AA331" i="3" s="1"/>
  <c r="V178" i="3"/>
  <c r="AA178" i="3" s="1"/>
  <c r="V210" i="3"/>
  <c r="AA210" i="3" s="1"/>
  <c r="V261" i="3"/>
  <c r="AA261" i="3" s="1"/>
  <c r="V316" i="3"/>
  <c r="V245" i="3"/>
  <c r="AA245" i="3" s="1"/>
  <c r="V300" i="3"/>
  <c r="V311" i="3"/>
  <c r="V319" i="3"/>
  <c r="AA319" i="3" s="1"/>
  <c r="V303" i="3"/>
  <c r="V332" i="3"/>
  <c r="V345" i="3"/>
  <c r="AA345" i="3" s="1"/>
  <c r="V315" i="3"/>
  <c r="V325" i="3"/>
  <c r="V252" i="3"/>
  <c r="V263" i="3"/>
  <c r="AA263" i="3" s="1"/>
  <c r="V299" i="3"/>
  <c r="AA299" i="3" s="1"/>
  <c r="V342" i="3"/>
  <c r="AA342" i="3" s="1"/>
  <c r="V363" i="3"/>
  <c r="AA363" i="3" s="1"/>
  <c r="V335" i="3"/>
  <c r="AA335" i="3" s="1"/>
  <c r="V359" i="3"/>
  <c r="AA359" i="3" s="1"/>
  <c r="V341" i="3"/>
  <c r="AA341" i="3" s="1"/>
  <c r="V374" i="3"/>
  <c r="AA374" i="3" s="1"/>
  <c r="V416" i="3"/>
  <c r="AA416" i="3" s="1"/>
  <c r="V456" i="3"/>
  <c r="AA456" i="3" s="1"/>
  <c r="V371" i="3"/>
  <c r="V382" i="3"/>
  <c r="V390" i="3"/>
  <c r="AA390" i="3" s="1"/>
  <c r="V401" i="3"/>
  <c r="AA401" i="3" s="1"/>
  <c r="V440" i="3"/>
  <c r="AA440" i="3" s="1"/>
  <c r="V424" i="3"/>
  <c r="V464" i="3"/>
  <c r="AA464" i="3" s="1"/>
  <c r="V369" i="3"/>
  <c r="AA369" i="3" s="1"/>
  <c r="V393" i="3"/>
  <c r="AA393" i="3" s="1"/>
  <c r="V379" i="3"/>
  <c r="V448" i="3"/>
  <c r="AA448" i="3" s="1"/>
  <c r="V409" i="3"/>
  <c r="V361" i="3"/>
  <c r="AA361" i="3" s="1"/>
  <c r="V432" i="3"/>
  <c r="AA432" i="3" s="1"/>
  <c r="W235" i="3" l="1"/>
  <c r="AB188" i="3"/>
  <c r="AA188" i="3"/>
  <c r="AB424" i="3"/>
  <c r="AA424" i="3"/>
  <c r="AB172" i="3"/>
  <c r="AA172" i="3"/>
  <c r="AB327" i="3"/>
  <c r="AA327" i="3"/>
  <c r="AB268" i="3"/>
  <c r="AA268" i="3"/>
  <c r="AB22" i="3"/>
  <c r="AA22" i="3"/>
  <c r="AB175" i="3"/>
  <c r="AA175" i="3"/>
  <c r="AB13" i="3"/>
  <c r="AA13" i="3"/>
  <c r="AB360" i="3"/>
  <c r="AA360" i="3"/>
  <c r="U356" i="3"/>
  <c r="T356" i="3"/>
  <c r="U292" i="3"/>
  <c r="T292" i="3"/>
  <c r="U43" i="3"/>
  <c r="T43" i="3"/>
  <c r="AB280" i="3"/>
  <c r="AA280" i="3"/>
  <c r="AB379" i="3"/>
  <c r="AA379" i="3"/>
  <c r="AB382" i="3"/>
  <c r="AA382" i="3"/>
  <c r="AB332" i="3"/>
  <c r="AA332" i="3"/>
  <c r="AB170" i="3"/>
  <c r="AA170" i="3"/>
  <c r="AB179" i="3"/>
  <c r="AA179" i="3"/>
  <c r="AB37" i="3"/>
  <c r="AA37" i="3"/>
  <c r="AB436" i="3"/>
  <c r="AA436" i="3"/>
  <c r="AB358" i="3"/>
  <c r="AA358" i="3"/>
  <c r="AB42" i="3"/>
  <c r="AA42" i="3"/>
  <c r="AB116" i="3"/>
  <c r="AA116" i="3"/>
  <c r="AB288" i="3"/>
  <c r="AA288" i="3"/>
  <c r="AB115" i="3"/>
  <c r="AA115" i="3"/>
  <c r="AB388" i="3"/>
  <c r="AA388" i="3"/>
  <c r="AB233" i="3"/>
  <c r="AA233" i="3"/>
  <c r="AB468" i="3"/>
  <c r="AA468" i="3"/>
  <c r="AB334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B292" i="3"/>
  <c r="AA292" i="3"/>
  <c r="U78" i="3"/>
  <c r="T78" i="3"/>
  <c r="AB62" i="3"/>
  <c r="AA62" i="3"/>
  <c r="AB43" i="3"/>
  <c r="AA43" i="3"/>
  <c r="AB3" i="3"/>
  <c r="AA3" i="3"/>
  <c r="AB450" i="3"/>
  <c r="AA450" i="3"/>
  <c r="AB434" i="3"/>
  <c r="AA434" i="3"/>
  <c r="U276" i="3"/>
  <c r="T276" i="3"/>
  <c r="AB256" i="3"/>
  <c r="AA256" i="3"/>
  <c r="AB236" i="3"/>
  <c r="AA236" i="3"/>
  <c r="U216" i="3"/>
  <c r="T216" i="3"/>
  <c r="AB200" i="3"/>
  <c r="AA200" i="3"/>
  <c r="U156" i="3"/>
  <c r="T156" i="3"/>
  <c r="AB140" i="3"/>
  <c r="AA140" i="3"/>
  <c r="U422" i="3"/>
  <c r="T422" i="3"/>
  <c r="U403" i="3"/>
  <c r="T403" i="3"/>
  <c r="AB367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B406" i="3"/>
  <c r="AA406" i="3"/>
  <c r="U382" i="3"/>
  <c r="T382" i="3"/>
  <c r="U358" i="3"/>
  <c r="C358" i="3" s="1"/>
  <c r="T358" i="3"/>
  <c r="U334" i="3"/>
  <c r="T334" i="3"/>
  <c r="AB314" i="3"/>
  <c r="AA314" i="3"/>
  <c r="U290" i="3"/>
  <c r="T290" i="3"/>
  <c r="U205" i="3"/>
  <c r="T205" i="3"/>
  <c r="U145" i="3"/>
  <c r="T145" i="3"/>
  <c r="AB39" i="3"/>
  <c r="AA39" i="3"/>
  <c r="U452" i="3"/>
  <c r="T452" i="3"/>
  <c r="U282" i="3"/>
  <c r="T282" i="3"/>
  <c r="AB266" i="3"/>
  <c r="AA266" i="3"/>
  <c r="U242" i="3"/>
  <c r="T242" i="3"/>
  <c r="U218" i="3"/>
  <c r="T218" i="3"/>
  <c r="U186" i="3"/>
  <c r="T186" i="3"/>
  <c r="U154" i="3"/>
  <c r="T154" i="3"/>
  <c r="U130" i="3"/>
  <c r="T130" i="3"/>
  <c r="AB107" i="3"/>
  <c r="AA107" i="3"/>
  <c r="AB91" i="3"/>
  <c r="AA91" i="3"/>
  <c r="AB463" i="3"/>
  <c r="AA463" i="3"/>
  <c r="AB397" i="3"/>
  <c r="AA397" i="3"/>
  <c r="U365" i="3"/>
  <c r="T365" i="3"/>
  <c r="U333" i="3"/>
  <c r="T333" i="3"/>
  <c r="AB317" i="3"/>
  <c r="AA317" i="3"/>
  <c r="U289" i="3"/>
  <c r="T289" i="3"/>
  <c r="AB71" i="3"/>
  <c r="AA71" i="3"/>
  <c r="AB5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B94" i="3"/>
  <c r="AA94" i="3"/>
  <c r="AB439" i="3"/>
  <c r="AA439" i="3"/>
  <c r="AB325" i="3"/>
  <c r="AA325" i="3"/>
  <c r="AB182" i="3"/>
  <c r="AA182" i="3"/>
  <c r="AB206" i="3"/>
  <c r="AA206" i="3"/>
  <c r="AB223" i="3"/>
  <c r="AA223" i="3"/>
  <c r="AB127" i="3"/>
  <c r="AA127" i="3"/>
  <c r="AB14" i="3"/>
  <c r="AA14" i="3"/>
  <c r="AB30" i="3"/>
  <c r="AA30" i="3"/>
  <c r="AB419" i="3"/>
  <c r="AA419" i="3"/>
  <c r="AB164" i="3"/>
  <c r="AA164" i="3"/>
  <c r="U419" i="3"/>
  <c r="T419" i="3"/>
  <c r="AB380" i="3"/>
  <c r="AA380" i="3"/>
  <c r="U316" i="3"/>
  <c r="T316" i="3"/>
  <c r="U62" i="3"/>
  <c r="T62" i="3"/>
  <c r="U434" i="3"/>
  <c r="T434" i="3"/>
  <c r="AB371" i="3"/>
  <c r="AA371" i="3"/>
  <c r="AB303" i="3"/>
  <c r="AA303" i="3"/>
  <c r="AB100" i="3"/>
  <c r="AA100" i="3"/>
  <c r="AB220" i="3"/>
  <c r="AA220" i="3"/>
  <c r="AB144" i="3"/>
  <c r="AA144" i="3"/>
  <c r="AB381" i="3"/>
  <c r="AA381" i="3"/>
  <c r="AB368" i="3"/>
  <c r="AA368" i="3"/>
  <c r="AB396" i="3"/>
  <c r="AA396" i="3"/>
  <c r="AB118" i="3"/>
  <c r="AA118" i="3"/>
  <c r="AB65" i="3"/>
  <c r="AA65" i="3"/>
  <c r="AB104" i="3"/>
  <c r="AA104" i="3"/>
  <c r="AB425" i="3"/>
  <c r="AA425" i="3"/>
  <c r="U470" i="3"/>
  <c r="T470" i="3"/>
  <c r="AB415" i="3"/>
  <c r="AA415" i="3"/>
  <c r="U392" i="3"/>
  <c r="T392" i="3"/>
  <c r="U372" i="3"/>
  <c r="T372" i="3"/>
  <c r="AB352" i="3"/>
  <c r="AA352" i="3"/>
  <c r="U328" i="3"/>
  <c r="T328" i="3"/>
  <c r="U308" i="3"/>
  <c r="T308" i="3"/>
  <c r="U288" i="3"/>
  <c r="T288" i="3"/>
  <c r="AB78" i="3"/>
  <c r="AA78" i="3"/>
  <c r="U58" i="3"/>
  <c r="T58" i="3"/>
  <c r="U27" i="3"/>
  <c r="T27" i="3"/>
  <c r="U462" i="3"/>
  <c r="T462" i="3"/>
  <c r="U446" i="3"/>
  <c r="T446" i="3"/>
  <c r="U430" i="3"/>
  <c r="T430" i="3"/>
  <c r="AB276" i="3"/>
  <c r="AA276" i="3"/>
  <c r="U252" i="3"/>
  <c r="T252" i="3"/>
  <c r="U232" i="3"/>
  <c r="T232" i="3"/>
  <c r="U196" i="3"/>
  <c r="T196" i="3"/>
  <c r="U176" i="3"/>
  <c r="T176" i="3"/>
  <c r="AB156" i="3"/>
  <c r="AA156" i="3"/>
  <c r="U136" i="3"/>
  <c r="T136" i="3"/>
  <c r="AB422" i="3"/>
  <c r="AA422" i="3"/>
  <c r="AB403" i="3"/>
  <c r="AA403" i="3"/>
  <c r="U383" i="3"/>
  <c r="T383" i="3"/>
  <c r="U363" i="3"/>
  <c r="T363" i="3"/>
  <c r="U343" i="3"/>
  <c r="T343" i="3"/>
  <c r="U315" i="3"/>
  <c r="T315" i="3"/>
  <c r="U89" i="3"/>
  <c r="T89" i="3"/>
  <c r="AB73" i="3"/>
  <c r="AA73" i="3"/>
  <c r="U46" i="3"/>
  <c r="T46" i="3"/>
  <c r="AB18" i="3"/>
  <c r="AA18" i="3"/>
  <c r="U10" i="3"/>
  <c r="T10" i="3"/>
  <c r="U25" i="3"/>
  <c r="T25" i="3"/>
  <c r="AB137" i="3"/>
  <c r="AA137" i="3"/>
  <c r="AB11" i="3"/>
  <c r="AA11" i="3"/>
  <c r="AB433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B421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B205" i="3"/>
  <c r="AA205" i="3"/>
  <c r="AB145" i="3"/>
  <c r="AA145" i="3"/>
  <c r="U121" i="3"/>
  <c r="T121" i="3"/>
  <c r="U448" i="3"/>
  <c r="T448" i="3"/>
  <c r="U278" i="3"/>
  <c r="T278" i="3"/>
  <c r="U262" i="3"/>
  <c r="T262" i="3"/>
  <c r="AB242" i="3"/>
  <c r="AA242" i="3"/>
  <c r="U214" i="3"/>
  <c r="T214" i="3"/>
  <c r="U182" i="3"/>
  <c r="T182" i="3"/>
  <c r="AB154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B333" i="3"/>
  <c r="AA333" i="3"/>
  <c r="U313" i="3"/>
  <c r="T313" i="3"/>
  <c r="U87" i="3"/>
  <c r="T87" i="3"/>
  <c r="U67" i="3"/>
  <c r="T67" i="3"/>
  <c r="U47" i="3"/>
  <c r="T47" i="3"/>
  <c r="AB28" i="3"/>
  <c r="AA28" i="3"/>
  <c r="U447" i="3"/>
  <c r="T447" i="3"/>
  <c r="AB269" i="3"/>
  <c r="AA269" i="3"/>
  <c r="U237" i="3"/>
  <c r="T237" i="3"/>
  <c r="U201" i="3"/>
  <c r="T201" i="3"/>
  <c r="AB157" i="3"/>
  <c r="AA157" i="3"/>
  <c r="U8" i="3"/>
  <c r="T8" i="3"/>
  <c r="U285" i="3"/>
  <c r="T285" i="3"/>
  <c r="AB128" i="3"/>
  <c r="AA128" i="3"/>
  <c r="AB349" i="3"/>
  <c r="AA349" i="3"/>
  <c r="AB443" i="3"/>
  <c r="AA443" i="3"/>
  <c r="AB213" i="3"/>
  <c r="AA213" i="3"/>
  <c r="AB155" i="3"/>
  <c r="AA155" i="3"/>
  <c r="AB97" i="3"/>
  <c r="AA97" i="3"/>
  <c r="AB391" i="3"/>
  <c r="AA391" i="3"/>
  <c r="AB344" i="3"/>
  <c r="AA344" i="3"/>
  <c r="AB323" i="3"/>
  <c r="AA323" i="3"/>
  <c r="AB169" i="3"/>
  <c r="AA169" i="3"/>
  <c r="AB221" i="3"/>
  <c r="AA221" i="3"/>
  <c r="AB470" i="3"/>
  <c r="AA470" i="3"/>
  <c r="U412" i="3"/>
  <c r="T412" i="3"/>
  <c r="AB392" i="3"/>
  <c r="AA392" i="3"/>
  <c r="AB372" i="3"/>
  <c r="AA372" i="3"/>
  <c r="U348" i="3"/>
  <c r="C348" i="3" s="1"/>
  <c r="T348" i="3"/>
  <c r="AB328" i="3"/>
  <c r="AA328" i="3"/>
  <c r="AB308" i="3"/>
  <c r="AA308" i="3"/>
  <c r="U90" i="3"/>
  <c r="T90" i="3"/>
  <c r="U74" i="3"/>
  <c r="T74" i="3"/>
  <c r="AB58" i="3"/>
  <c r="AA58" i="3"/>
  <c r="AB27" i="3"/>
  <c r="AA27" i="3"/>
  <c r="AB462" i="3"/>
  <c r="AA462" i="3"/>
  <c r="AB446" i="3"/>
  <c r="AA446" i="3"/>
  <c r="AB430" i="3"/>
  <c r="AA430" i="3"/>
  <c r="U272" i="3"/>
  <c r="T272" i="3"/>
  <c r="U248" i="3"/>
  <c r="T248" i="3"/>
  <c r="AB232" i="3"/>
  <c r="AA232" i="3"/>
  <c r="U212" i="3"/>
  <c r="T212" i="3"/>
  <c r="U192" i="3"/>
  <c r="T192" i="3"/>
  <c r="AB176" i="3"/>
  <c r="AA176" i="3"/>
  <c r="U152" i="3"/>
  <c r="T152" i="3"/>
  <c r="U132" i="3"/>
  <c r="T132" i="3"/>
  <c r="U418" i="3"/>
  <c r="T418" i="3"/>
  <c r="U399" i="3"/>
  <c r="T399" i="3"/>
  <c r="AB383" i="3"/>
  <c r="AA383" i="3"/>
  <c r="U359" i="3"/>
  <c r="T359" i="3"/>
  <c r="AB343" i="3"/>
  <c r="AA343" i="3"/>
  <c r="U311" i="3"/>
  <c r="T311" i="3"/>
  <c r="U69" i="3"/>
  <c r="T69" i="3"/>
  <c r="U42" i="3"/>
  <c r="T42" i="3"/>
  <c r="U135" i="3"/>
  <c r="T135" i="3"/>
  <c r="AB10" i="3"/>
  <c r="AA10" i="3"/>
  <c r="U213" i="3"/>
  <c r="C213" i="3" s="1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B207" i="3"/>
  <c r="AA207" i="3"/>
  <c r="U183" i="3"/>
  <c r="T183" i="3"/>
  <c r="U163" i="3"/>
  <c r="T163" i="3"/>
  <c r="U139" i="3"/>
  <c r="T139" i="3"/>
  <c r="U6" i="3"/>
  <c r="T6" i="3"/>
  <c r="U209" i="3"/>
  <c r="T209" i="3"/>
  <c r="AB102" i="3"/>
  <c r="AA102" i="3"/>
  <c r="U93" i="3"/>
  <c r="T93" i="3"/>
  <c r="U417" i="3"/>
  <c r="T417" i="3"/>
  <c r="U398" i="3"/>
  <c r="T398" i="3"/>
  <c r="U374" i="3"/>
  <c r="T374" i="3"/>
  <c r="U350" i="3"/>
  <c r="T350" i="3"/>
  <c r="AB33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B278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B103" i="3"/>
  <c r="AA103" i="3"/>
  <c r="U13" i="3"/>
  <c r="T13" i="3"/>
  <c r="U416" i="3"/>
  <c r="T416" i="3"/>
  <c r="U389" i="3"/>
  <c r="T389" i="3"/>
  <c r="U357" i="3"/>
  <c r="T357" i="3"/>
  <c r="U329" i="3"/>
  <c r="T329" i="3"/>
  <c r="AB313" i="3"/>
  <c r="AA313" i="3"/>
  <c r="AB67" i="3"/>
  <c r="AA67" i="3"/>
  <c r="AB47" i="3"/>
  <c r="AA47" i="3"/>
  <c r="U24" i="3"/>
  <c r="T24" i="3"/>
  <c r="U443" i="3"/>
  <c r="T443" i="3"/>
  <c r="U261" i="3"/>
  <c r="T261" i="3"/>
  <c r="AB237" i="3"/>
  <c r="AA237" i="3"/>
  <c r="AB201" i="3"/>
  <c r="AA201" i="3"/>
  <c r="U141" i="3"/>
  <c r="T141" i="3"/>
  <c r="U35" i="3"/>
  <c r="T35" i="3"/>
  <c r="AB285" i="3"/>
  <c r="C285" i="3" s="1"/>
  <c r="AA285" i="3"/>
  <c r="AB272" i="3"/>
  <c r="AA272" i="3"/>
  <c r="AB404" i="3"/>
  <c r="AA404" i="3"/>
  <c r="AB312" i="3"/>
  <c r="AA312" i="3"/>
  <c r="AB412" i="3"/>
  <c r="AA412" i="3"/>
  <c r="U466" i="3"/>
  <c r="T466" i="3"/>
  <c r="U408" i="3"/>
  <c r="T408" i="3"/>
  <c r="U388" i="3"/>
  <c r="T388" i="3"/>
  <c r="U368" i="3"/>
  <c r="T368" i="3"/>
  <c r="AB348" i="3"/>
  <c r="AA348" i="3"/>
  <c r="U324" i="3"/>
  <c r="T324" i="3"/>
  <c r="U304" i="3"/>
  <c r="T304" i="3"/>
  <c r="AB7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B212" i="3"/>
  <c r="AA212" i="3"/>
  <c r="U172" i="3"/>
  <c r="T172" i="3"/>
  <c r="AB152" i="3"/>
  <c r="C152" i="3" s="1"/>
  <c r="AA152" i="3"/>
  <c r="AB132" i="3"/>
  <c r="AA132" i="3"/>
  <c r="AB418" i="3"/>
  <c r="AA418" i="3"/>
  <c r="U379" i="3"/>
  <c r="T379" i="3"/>
  <c r="U355" i="3"/>
  <c r="T355" i="3"/>
  <c r="U339" i="3"/>
  <c r="T339" i="3"/>
  <c r="U307" i="3"/>
  <c r="T307" i="3"/>
  <c r="U85" i="3"/>
  <c r="T85" i="3"/>
  <c r="AB69" i="3"/>
  <c r="C69" i="3" s="1"/>
  <c r="AA69" i="3"/>
  <c r="U38" i="3"/>
  <c r="T38" i="3"/>
  <c r="U124" i="3"/>
  <c r="T124" i="3"/>
  <c r="U2" i="3"/>
  <c r="T2" i="3"/>
  <c r="U181" i="3"/>
  <c r="T181" i="3"/>
  <c r="AB122" i="3"/>
  <c r="AA122" i="3"/>
  <c r="AB31" i="3"/>
  <c r="AA31" i="3"/>
  <c r="AB461" i="3"/>
  <c r="AA461" i="3"/>
  <c r="AB445" i="3"/>
  <c r="AA445" i="3"/>
  <c r="U425" i="3"/>
  <c r="T425" i="3"/>
  <c r="U255" i="3"/>
  <c r="T255" i="3"/>
  <c r="U227" i="3"/>
  <c r="T227" i="3"/>
  <c r="U203" i="3"/>
  <c r="T203" i="3"/>
  <c r="AB183" i="3"/>
  <c r="AA183" i="3"/>
  <c r="AB163" i="3"/>
  <c r="AA163" i="3"/>
  <c r="U131" i="3"/>
  <c r="T131" i="3"/>
  <c r="AB6" i="3"/>
  <c r="C6" i="3" s="1"/>
  <c r="AA6" i="3"/>
  <c r="U169" i="3"/>
  <c r="T169" i="3"/>
  <c r="U16" i="3"/>
  <c r="T16" i="3"/>
  <c r="AB93" i="3"/>
  <c r="AA93" i="3"/>
  <c r="AB398" i="3"/>
  <c r="AA398" i="3"/>
  <c r="U370" i="3"/>
  <c r="T370" i="3"/>
  <c r="AB350" i="3"/>
  <c r="AA350" i="3"/>
  <c r="U326" i="3"/>
  <c r="T326" i="3"/>
  <c r="AB306" i="3"/>
  <c r="AA306" i="3"/>
  <c r="U68" i="3"/>
  <c r="T68" i="3"/>
  <c r="AB197" i="3"/>
  <c r="AA197" i="3"/>
  <c r="AB126" i="3"/>
  <c r="AA126" i="3"/>
  <c r="AB109" i="3"/>
  <c r="AA109" i="3"/>
  <c r="U440" i="3"/>
  <c r="T440" i="3"/>
  <c r="U274" i="3"/>
  <c r="T274" i="3"/>
  <c r="U254" i="3"/>
  <c r="T254" i="3"/>
  <c r="AB238" i="3"/>
  <c r="AA238" i="3"/>
  <c r="U206" i="3"/>
  <c r="C206" i="3" s="1"/>
  <c r="T206" i="3"/>
  <c r="U174" i="3"/>
  <c r="T174" i="3"/>
  <c r="U146" i="3"/>
  <c r="T146" i="3"/>
  <c r="AB123" i="3"/>
  <c r="AA123" i="3"/>
  <c r="U99" i="3"/>
  <c r="T99" i="3"/>
  <c r="U9" i="3"/>
  <c r="T9" i="3"/>
  <c r="U413" i="3"/>
  <c r="T413" i="3"/>
  <c r="U385" i="3"/>
  <c r="T385" i="3"/>
  <c r="U353" i="3"/>
  <c r="T353" i="3"/>
  <c r="AB329" i="3"/>
  <c r="C329" i="3" s="1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B141" i="3"/>
  <c r="C141" i="3" s="1"/>
  <c r="AA141" i="3"/>
  <c r="AB35" i="3"/>
  <c r="AA35" i="3"/>
  <c r="U273" i="3"/>
  <c r="T273" i="3"/>
  <c r="AB252" i="3"/>
  <c r="AA252" i="3"/>
  <c r="AB76" i="3"/>
  <c r="AA76" i="3"/>
  <c r="AB376" i="3"/>
  <c r="AA376" i="3"/>
  <c r="AB41" i="3"/>
  <c r="AA41" i="3"/>
  <c r="AB296" i="3"/>
  <c r="AA296" i="3"/>
  <c r="AB248" i="3"/>
  <c r="AA248" i="3"/>
  <c r="AB72" i="3"/>
  <c r="AA72" i="3"/>
  <c r="AB262" i="3"/>
  <c r="AA262" i="3"/>
  <c r="AB158" i="3"/>
  <c r="AA158" i="3"/>
  <c r="AB340" i="3"/>
  <c r="AA340" i="3"/>
  <c r="AB291" i="3"/>
  <c r="AA291" i="3"/>
  <c r="AB275" i="3"/>
  <c r="AA275" i="3"/>
  <c r="AB466" i="3"/>
  <c r="C466" i="3" s="1"/>
  <c r="AA466" i="3"/>
  <c r="AB408" i="3"/>
  <c r="C408" i="3" s="1"/>
  <c r="AA408" i="3"/>
  <c r="U384" i="3"/>
  <c r="T384" i="3"/>
  <c r="U364" i="3"/>
  <c r="T364" i="3"/>
  <c r="U344" i="3"/>
  <c r="T344" i="3"/>
  <c r="AB324" i="3"/>
  <c r="AA324" i="3"/>
  <c r="AB304" i="3"/>
  <c r="AA304" i="3"/>
  <c r="U86" i="3"/>
  <c r="T86" i="3"/>
  <c r="U70" i="3"/>
  <c r="T70" i="3"/>
  <c r="AB54" i="3"/>
  <c r="AA54" i="3"/>
  <c r="AB458" i="3"/>
  <c r="AA458" i="3"/>
  <c r="AB442" i="3"/>
  <c r="AA442" i="3"/>
  <c r="AB426" i="3"/>
  <c r="AA426" i="3"/>
  <c r="U264" i="3"/>
  <c r="T264" i="3"/>
  <c r="AB244" i="3"/>
  <c r="AA244" i="3"/>
  <c r="U208" i="3"/>
  <c r="T208" i="3"/>
  <c r="U188" i="3"/>
  <c r="C188" i="3" s="1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B85" i="3"/>
  <c r="AA85" i="3"/>
  <c r="U65" i="3"/>
  <c r="T65" i="3"/>
  <c r="AB38" i="3"/>
  <c r="AA38" i="3"/>
  <c r="U116" i="3"/>
  <c r="C116" i="3" s="1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C223" i="3" s="1"/>
  <c r="T223" i="3"/>
  <c r="U179" i="3"/>
  <c r="C179" i="3" s="1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B254" i="3"/>
  <c r="AA254" i="3"/>
  <c r="U234" i="3"/>
  <c r="T234" i="3"/>
  <c r="U202" i="3"/>
  <c r="T202" i="3"/>
  <c r="U170" i="3"/>
  <c r="C170" i="3" s="1"/>
  <c r="T170" i="3"/>
  <c r="AB146" i="3"/>
  <c r="AA146" i="3"/>
  <c r="U119" i="3"/>
  <c r="T119" i="3"/>
  <c r="AB99" i="3"/>
  <c r="AA99" i="3"/>
  <c r="U5" i="3"/>
  <c r="T5" i="3"/>
  <c r="U409" i="3"/>
  <c r="T409" i="3"/>
  <c r="U381" i="3"/>
  <c r="T381" i="3"/>
  <c r="U349" i="3"/>
  <c r="T349" i="3"/>
  <c r="U325" i="3"/>
  <c r="C325" i="3" s="1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B253" i="3"/>
  <c r="AA253" i="3"/>
  <c r="U185" i="3"/>
  <c r="T185" i="3"/>
  <c r="U129" i="3"/>
  <c r="T129" i="3"/>
  <c r="U125" i="3"/>
  <c r="T125" i="3"/>
  <c r="AB273" i="3"/>
  <c r="AA273" i="3"/>
  <c r="AB300" i="3"/>
  <c r="AA300" i="3"/>
  <c r="AB53" i="3"/>
  <c r="AA53" i="3"/>
  <c r="AB66" i="3"/>
  <c r="AA66" i="3"/>
  <c r="AB284" i="3"/>
  <c r="AA284" i="3"/>
  <c r="U423" i="3"/>
  <c r="T423" i="3"/>
  <c r="U404" i="3"/>
  <c r="T404" i="3"/>
  <c r="AB384" i="3"/>
  <c r="AA384" i="3"/>
  <c r="AB364" i="3"/>
  <c r="AA364" i="3"/>
  <c r="U340" i="3"/>
  <c r="T340" i="3"/>
  <c r="U320" i="3"/>
  <c r="T320" i="3"/>
  <c r="U300" i="3"/>
  <c r="T300" i="3"/>
  <c r="AB86" i="3"/>
  <c r="AA86" i="3"/>
  <c r="AB70" i="3"/>
  <c r="AA70" i="3"/>
  <c r="U50" i="3"/>
  <c r="T50" i="3"/>
  <c r="U105" i="3"/>
  <c r="T105" i="3"/>
  <c r="U454" i="3"/>
  <c r="T454" i="3"/>
  <c r="U438" i="3"/>
  <c r="T438" i="3"/>
  <c r="U284" i="3"/>
  <c r="T284" i="3"/>
  <c r="AB264" i="3"/>
  <c r="AA264" i="3"/>
  <c r="U240" i="3"/>
  <c r="T240" i="3"/>
  <c r="U224" i="3"/>
  <c r="T224" i="3"/>
  <c r="U184" i="3"/>
  <c r="T184" i="3"/>
  <c r="U164" i="3"/>
  <c r="T164" i="3"/>
  <c r="AB411" i="3"/>
  <c r="AA411" i="3"/>
  <c r="AB395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B110" i="3"/>
  <c r="C110" i="3" s="1"/>
  <c r="AA110" i="3"/>
  <c r="AB117" i="3"/>
  <c r="AA117" i="3"/>
  <c r="AB457" i="3"/>
  <c r="AA457" i="3"/>
  <c r="AB441" i="3"/>
  <c r="AA441" i="3"/>
  <c r="U279" i="3"/>
  <c r="T279" i="3"/>
  <c r="U247" i="3"/>
  <c r="T247" i="3"/>
  <c r="U219" i="3"/>
  <c r="T219" i="3"/>
  <c r="U199" i="3"/>
  <c r="T199" i="3"/>
  <c r="U175" i="3"/>
  <c r="T175" i="3"/>
  <c r="AB159" i="3"/>
  <c r="AA159" i="3"/>
  <c r="U120" i="3"/>
  <c r="T120" i="3"/>
  <c r="U76" i="3"/>
  <c r="T76" i="3"/>
  <c r="AB149" i="3"/>
  <c r="AA149" i="3"/>
  <c r="AB23" i="3"/>
  <c r="AA23" i="3"/>
  <c r="AB15" i="3"/>
  <c r="AA15" i="3"/>
  <c r="AB414" i="3"/>
  <c r="AA414" i="3"/>
  <c r="AB394" i="3"/>
  <c r="AA394" i="3"/>
  <c r="U366" i="3"/>
  <c r="T366" i="3"/>
  <c r="AB346" i="3"/>
  <c r="AA346" i="3"/>
  <c r="AB322" i="3"/>
  <c r="AA322" i="3"/>
  <c r="U298" i="3"/>
  <c r="T298" i="3"/>
  <c r="U45" i="3"/>
  <c r="T45" i="3"/>
  <c r="U177" i="3"/>
  <c r="T177" i="3"/>
  <c r="AB106" i="3"/>
  <c r="AA106" i="3"/>
  <c r="AB7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C115" i="3" s="1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B59" i="3"/>
  <c r="AA59" i="3"/>
  <c r="U36" i="3"/>
  <c r="T36" i="3"/>
  <c r="AB459" i="3"/>
  <c r="AA459" i="3"/>
  <c r="U427" i="3"/>
  <c r="T427" i="3"/>
  <c r="U249" i="3"/>
  <c r="T249" i="3"/>
  <c r="AB185" i="3"/>
  <c r="AA185" i="3"/>
  <c r="AB125" i="3"/>
  <c r="AA125" i="3"/>
  <c r="U265" i="3"/>
  <c r="T265" i="3"/>
  <c r="AB316" i="3"/>
  <c r="AA316" i="3"/>
  <c r="AB136" i="3"/>
  <c r="AA136" i="3"/>
  <c r="AB44" i="3"/>
  <c r="AA44" i="3"/>
  <c r="AB423" i="3"/>
  <c r="AA423" i="3"/>
  <c r="U400" i="3"/>
  <c r="T400" i="3"/>
  <c r="U380" i="3"/>
  <c r="T380" i="3"/>
  <c r="U360" i="3"/>
  <c r="C360" i="3" s="1"/>
  <c r="T360" i="3"/>
  <c r="U336" i="3"/>
  <c r="T336" i="3"/>
  <c r="AB320" i="3"/>
  <c r="AA320" i="3"/>
  <c r="U296" i="3"/>
  <c r="C296" i="3" s="1"/>
  <c r="T296" i="3"/>
  <c r="U82" i="3"/>
  <c r="T82" i="3"/>
  <c r="U66" i="3"/>
  <c r="T66" i="3"/>
  <c r="AB50" i="3"/>
  <c r="AA50" i="3"/>
  <c r="AB105" i="3"/>
  <c r="AA105" i="3"/>
  <c r="AB438" i="3"/>
  <c r="AA438" i="3"/>
  <c r="U280" i="3"/>
  <c r="T280" i="3"/>
  <c r="U260" i="3"/>
  <c r="T260" i="3"/>
  <c r="AB240" i="3"/>
  <c r="AA240" i="3"/>
  <c r="AB224" i="3"/>
  <c r="AA224" i="3"/>
  <c r="U204" i="3"/>
  <c r="T204" i="3"/>
  <c r="AB18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B351" i="3"/>
  <c r="AA351" i="3"/>
  <c r="U327" i="3"/>
  <c r="T327" i="3"/>
  <c r="U295" i="3"/>
  <c r="T295" i="3"/>
  <c r="U77" i="3"/>
  <c r="T77" i="3"/>
  <c r="U57" i="3"/>
  <c r="T57" i="3"/>
  <c r="U30" i="3"/>
  <c r="T30" i="3"/>
  <c r="U100" i="3"/>
  <c r="C100" i="3" s="1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B199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B270" i="3"/>
  <c r="AA270" i="3"/>
  <c r="AB25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B321" i="3"/>
  <c r="AA321" i="3"/>
  <c r="U297" i="3"/>
  <c r="T297" i="3"/>
  <c r="AB75" i="3"/>
  <c r="AA75" i="3"/>
  <c r="U55" i="3"/>
  <c r="T55" i="3"/>
  <c r="U32" i="3"/>
  <c r="T32" i="3"/>
  <c r="U455" i="3"/>
  <c r="T455" i="3"/>
  <c r="U281" i="3"/>
  <c r="T281" i="3"/>
  <c r="AB249" i="3"/>
  <c r="AA249" i="3"/>
  <c r="U225" i="3"/>
  <c r="T225" i="3"/>
  <c r="U173" i="3"/>
  <c r="T173" i="3"/>
  <c r="U114" i="3"/>
  <c r="T114" i="3"/>
  <c r="U97" i="3"/>
  <c r="C97" i="3" s="1"/>
  <c r="T97" i="3"/>
  <c r="AB265" i="3"/>
  <c r="AA265" i="3"/>
  <c r="AB311" i="3"/>
  <c r="C311" i="3" s="1"/>
  <c r="AA311" i="3"/>
  <c r="AB247" i="3"/>
  <c r="AA247" i="3"/>
  <c r="AB409" i="3"/>
  <c r="AA409" i="3"/>
  <c r="AB315" i="3"/>
  <c r="AA315" i="3"/>
  <c r="AB356" i="3"/>
  <c r="C356" i="3" s="1"/>
  <c r="AA356" i="3"/>
  <c r="AB400" i="3"/>
  <c r="AA400" i="3"/>
  <c r="AB336" i="3"/>
  <c r="AA336" i="3"/>
  <c r="AB82" i="3"/>
  <c r="AA82" i="3"/>
  <c r="U3" i="3"/>
  <c r="T3" i="3"/>
  <c r="U450" i="3"/>
  <c r="C450" i="3" s="1"/>
  <c r="T450" i="3"/>
  <c r="U256" i="3"/>
  <c r="T256" i="3"/>
  <c r="U236" i="3"/>
  <c r="C236" i="3" s="1"/>
  <c r="T236" i="3"/>
  <c r="U220" i="3"/>
  <c r="T220" i="3"/>
  <c r="U200" i="3"/>
  <c r="C200" i="3" s="1"/>
  <c r="T200" i="3"/>
  <c r="U180" i="3"/>
  <c r="T180" i="3"/>
  <c r="AB160" i="3"/>
  <c r="AA160" i="3"/>
  <c r="U140" i="3"/>
  <c r="C140" i="3" s="1"/>
  <c r="T140" i="3"/>
  <c r="AB465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B153" i="3"/>
  <c r="AA153" i="3"/>
  <c r="AB98" i="3"/>
  <c r="AA98" i="3"/>
  <c r="AB101" i="3"/>
  <c r="AA101" i="3"/>
  <c r="AB453" i="3"/>
  <c r="AA453" i="3"/>
  <c r="AB437" i="3"/>
  <c r="AA437" i="3"/>
  <c r="U271" i="3"/>
  <c r="T271" i="3"/>
  <c r="U239" i="3"/>
  <c r="T239" i="3"/>
  <c r="U195" i="3"/>
  <c r="T195" i="3"/>
  <c r="AB171" i="3"/>
  <c r="AA171" i="3"/>
  <c r="U151" i="3"/>
  <c r="T151" i="3"/>
  <c r="U104" i="3"/>
  <c r="C104" i="3" s="1"/>
  <c r="T104" i="3"/>
  <c r="U48" i="3"/>
  <c r="T48" i="3"/>
  <c r="AB133" i="3"/>
  <c r="AA133" i="3"/>
  <c r="AB19" i="3"/>
  <c r="AA19" i="3"/>
  <c r="U464" i="3"/>
  <c r="T464" i="3"/>
  <c r="U406" i="3"/>
  <c r="C406" i="3" s="1"/>
  <c r="T406" i="3"/>
  <c r="U386" i="3"/>
  <c r="T386" i="3"/>
  <c r="AB362" i="3"/>
  <c r="AA362" i="3"/>
  <c r="U338" i="3"/>
  <c r="T338" i="3"/>
  <c r="U314" i="3"/>
  <c r="C314" i="3" s="1"/>
  <c r="T314" i="3"/>
  <c r="AB294" i="3"/>
  <c r="AA294" i="3"/>
  <c r="U21" i="3"/>
  <c r="T21" i="3"/>
  <c r="U39" i="3"/>
  <c r="C39" i="3" s="1"/>
  <c r="T39" i="3"/>
  <c r="U456" i="3"/>
  <c r="T456" i="3"/>
  <c r="U424" i="3"/>
  <c r="T424" i="3"/>
  <c r="U266" i="3"/>
  <c r="C266" i="3" s="1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C91" i="3" s="1"/>
  <c r="T91" i="3"/>
  <c r="U463" i="3"/>
  <c r="C463" i="3" s="1"/>
  <c r="T463" i="3"/>
  <c r="U397" i="3"/>
  <c r="C397" i="3" s="1"/>
  <c r="T397" i="3"/>
  <c r="U369" i="3"/>
  <c r="T369" i="3"/>
  <c r="U337" i="3"/>
  <c r="T337" i="3"/>
  <c r="U317" i="3"/>
  <c r="C317" i="3" s="1"/>
  <c r="T317" i="3"/>
  <c r="U293" i="3"/>
  <c r="T293" i="3"/>
  <c r="U71" i="3"/>
  <c r="T71" i="3"/>
  <c r="U51" i="3"/>
  <c r="C51" i="3" s="1"/>
  <c r="T51" i="3"/>
  <c r="AB32" i="3"/>
  <c r="AA32" i="3"/>
  <c r="AB455" i="3"/>
  <c r="AA455" i="3"/>
  <c r="AB281" i="3"/>
  <c r="AA281" i="3"/>
  <c r="U245" i="3"/>
  <c r="T245" i="3"/>
  <c r="U221" i="3"/>
  <c r="C221" i="3" s="1"/>
  <c r="T221" i="3"/>
  <c r="AB173" i="3"/>
  <c r="AA173" i="3"/>
  <c r="U94" i="3"/>
  <c r="T94" i="3"/>
  <c r="U439" i="3"/>
  <c r="C439" i="3" s="1"/>
  <c r="T439" i="3"/>
  <c r="U257" i="3"/>
  <c r="T257" i="3"/>
  <c r="U229" i="3"/>
  <c r="T229" i="3"/>
  <c r="AB229" i="3"/>
  <c r="AA229" i="3"/>
  <c r="C102" i="3"/>
  <c r="C415" i="3"/>
  <c r="C434" i="3"/>
  <c r="W75" i="3"/>
  <c r="W406" i="3"/>
  <c r="W266" i="3"/>
  <c r="C182" i="3"/>
  <c r="C31" i="3"/>
  <c r="C154" i="3"/>
  <c r="W32" i="3"/>
  <c r="W352" i="3"/>
  <c r="C37" i="3"/>
  <c r="W434" i="3"/>
  <c r="W459" i="3"/>
  <c r="W351" i="3"/>
  <c r="C272" i="3"/>
  <c r="W133" i="3"/>
  <c r="W106" i="3"/>
  <c r="W412" i="3"/>
  <c r="W82" i="3"/>
  <c r="W70" i="3"/>
  <c r="C418" i="3"/>
  <c r="W445" i="3"/>
  <c r="C163" i="3"/>
  <c r="C333" i="3"/>
  <c r="C233" i="3"/>
  <c r="C10" i="3"/>
  <c r="C242" i="3"/>
  <c r="W78" i="3"/>
  <c r="C62" i="3"/>
  <c r="W140" i="3"/>
  <c r="W453" i="3"/>
  <c r="W199" i="3"/>
  <c r="W159" i="3"/>
  <c r="C278" i="3"/>
  <c r="W384" i="3"/>
  <c r="W442" i="3"/>
  <c r="W430" i="3"/>
  <c r="W465" i="3"/>
  <c r="W47" i="3"/>
  <c r="W105" i="3"/>
  <c r="W232" i="3"/>
  <c r="W85" i="3"/>
  <c r="W380" i="3"/>
  <c r="W205" i="3"/>
  <c r="W285" i="3"/>
  <c r="W86" i="3"/>
  <c r="W418" i="3"/>
  <c r="C403" i="3"/>
  <c r="W367" i="3"/>
  <c r="W38" i="3"/>
  <c r="C18" i="3"/>
  <c r="W362" i="3"/>
  <c r="W126" i="3"/>
  <c r="W273" i="3"/>
  <c r="C372" i="3"/>
  <c r="W58" i="3"/>
  <c r="C308" i="3"/>
  <c r="W364" i="3"/>
  <c r="W308" i="3"/>
  <c r="W450" i="3"/>
  <c r="W244" i="3"/>
  <c r="W176" i="3"/>
  <c r="W343" i="3"/>
  <c r="W31" i="3"/>
  <c r="C11" i="3"/>
  <c r="C276" i="3"/>
  <c r="W372" i="3"/>
  <c r="W300" i="3"/>
  <c r="W462" i="3"/>
  <c r="W264" i="3"/>
  <c r="W160" i="3"/>
  <c r="W122" i="3"/>
  <c r="W19" i="3"/>
  <c r="W398" i="3"/>
  <c r="W109" i="3"/>
  <c r="W443" i="3"/>
  <c r="W157" i="3"/>
  <c r="W94" i="3"/>
  <c r="W125" i="3"/>
  <c r="C22" i="3"/>
  <c r="C14" i="3"/>
  <c r="C197" i="3"/>
  <c r="C383" i="3"/>
  <c r="W303" i="3"/>
  <c r="W30" i="3"/>
  <c r="W104" i="3"/>
  <c r="W394" i="3"/>
  <c r="W314" i="3"/>
  <c r="W383" i="3"/>
  <c r="W69" i="3"/>
  <c r="W10" i="3"/>
  <c r="W37" i="3"/>
  <c r="W461" i="3"/>
  <c r="W294" i="3"/>
  <c r="W170" i="3"/>
  <c r="W455" i="3"/>
  <c r="C252" i="3"/>
  <c r="W18" i="3"/>
  <c r="W152" i="3"/>
  <c r="W433" i="3"/>
  <c r="W93" i="3"/>
  <c r="W91" i="3"/>
  <c r="W71" i="3"/>
  <c r="C126" i="3"/>
  <c r="W466" i="3"/>
  <c r="W3" i="3"/>
  <c r="C343" i="3"/>
  <c r="W98" i="3"/>
  <c r="W457" i="3"/>
  <c r="W23" i="3"/>
  <c r="W197" i="3"/>
  <c r="W250" i="3"/>
  <c r="W103" i="3"/>
  <c r="W329" i="3"/>
  <c r="W313" i="3"/>
  <c r="W35" i="3"/>
  <c r="W229" i="3"/>
  <c r="W439" i="3"/>
  <c r="W426" i="3"/>
  <c r="W423" i="3"/>
  <c r="C419" i="3"/>
  <c r="W411" i="3"/>
  <c r="W395" i="3"/>
  <c r="W368" i="3"/>
  <c r="W358" i="3"/>
  <c r="W356" i="3"/>
  <c r="W346" i="3"/>
  <c r="C334" i="3"/>
  <c r="W317" i="3"/>
  <c r="W322" i="3"/>
  <c r="W306" i="3"/>
  <c r="W312" i="3"/>
  <c r="W280" i="3"/>
  <c r="W281" i="3"/>
  <c r="W275" i="3"/>
  <c r="W270" i="3"/>
  <c r="W262" i="3"/>
  <c r="W256" i="3"/>
  <c r="W253" i="3"/>
  <c r="W254" i="3"/>
  <c r="W248" i="3"/>
  <c r="W237" i="3"/>
  <c r="W240" i="3"/>
  <c r="W238" i="3"/>
  <c r="W236" i="3"/>
  <c r="W224" i="3"/>
  <c r="W212" i="3"/>
  <c r="W207" i="3"/>
  <c r="C205" i="3"/>
  <c r="W185" i="3"/>
  <c r="W184" i="3"/>
  <c r="AB267" i="3"/>
  <c r="C267" i="3" s="1"/>
  <c r="W267" i="3"/>
  <c r="AB309" i="3"/>
  <c r="C309" i="3" s="1"/>
  <c r="W309" i="3"/>
  <c r="AB96" i="3"/>
  <c r="C96" i="3" s="1"/>
  <c r="W96" i="3"/>
  <c r="AB26" i="3"/>
  <c r="W26" i="3"/>
  <c r="AB243" i="3"/>
  <c r="W243" i="3"/>
  <c r="AB29" i="3"/>
  <c r="C29" i="3" s="1"/>
  <c r="W29" i="3"/>
  <c r="AB193" i="3"/>
  <c r="C193" i="3" s="1"/>
  <c r="W193" i="3"/>
  <c r="AB297" i="3"/>
  <c r="W297" i="3"/>
  <c r="AB121" i="3"/>
  <c r="C121" i="3" s="1"/>
  <c r="W121" i="3"/>
  <c r="AB287" i="3"/>
  <c r="C287" i="3" s="1"/>
  <c r="W287" i="3"/>
  <c r="C344" i="3"/>
  <c r="AB49" i="3"/>
  <c r="W49" i="3"/>
  <c r="AB234" i="3"/>
  <c r="W234" i="3"/>
  <c r="AB130" i="3"/>
  <c r="C130" i="3" s="1"/>
  <c r="W130" i="3"/>
  <c r="AB431" i="3"/>
  <c r="W431" i="3"/>
  <c r="AB235" i="3"/>
  <c r="C235" i="3" s="1"/>
  <c r="AB191" i="3"/>
  <c r="C191" i="3" s="1"/>
  <c r="W191" i="3"/>
  <c r="W404" i="3"/>
  <c r="W392" i="3"/>
  <c r="W336" i="3"/>
  <c r="W324" i="3"/>
  <c r="W50" i="3"/>
  <c r="W27" i="3"/>
  <c r="W284" i="3"/>
  <c r="AB228" i="3"/>
  <c r="W228" i="3"/>
  <c r="W144" i="3"/>
  <c r="W132" i="3"/>
  <c r="W422" i="3"/>
  <c r="AB399" i="3"/>
  <c r="C399" i="3" s="1"/>
  <c r="W399" i="3"/>
  <c r="W371" i="3"/>
  <c r="AB77" i="3"/>
  <c r="W77" i="3"/>
  <c r="W100" i="3"/>
  <c r="W101" i="3"/>
  <c r="W175" i="3"/>
  <c r="W436" i="3"/>
  <c r="AB390" i="3"/>
  <c r="W390" i="3"/>
  <c r="AB124" i="3"/>
  <c r="C124" i="3" s="1"/>
  <c r="W124" i="3"/>
  <c r="AB214" i="3"/>
  <c r="C214" i="3" s="1"/>
  <c r="W214" i="3"/>
  <c r="AB289" i="3"/>
  <c r="C289" i="3" s="1"/>
  <c r="W289" i="3"/>
  <c r="AB301" i="3"/>
  <c r="W301" i="3"/>
  <c r="AB290" i="3"/>
  <c r="W290" i="3"/>
  <c r="AB89" i="3"/>
  <c r="C89" i="3" s="1"/>
  <c r="W89" i="3"/>
  <c r="AB274" i="3"/>
  <c r="C274" i="3" s="1"/>
  <c r="W274" i="3"/>
  <c r="AB283" i="3"/>
  <c r="W283" i="3"/>
  <c r="AB227" i="3"/>
  <c r="C227" i="3" s="1"/>
  <c r="W227" i="3"/>
  <c r="AB64" i="3"/>
  <c r="W64" i="3"/>
  <c r="AB5" i="3"/>
  <c r="W5" i="3"/>
  <c r="AB131" i="3"/>
  <c r="W131" i="3"/>
  <c r="AB114" i="3"/>
  <c r="W114" i="3"/>
  <c r="AB138" i="3"/>
  <c r="W138" i="3"/>
  <c r="AB46" i="3"/>
  <c r="C46" i="3" s="1"/>
  <c r="W46" i="3"/>
  <c r="AB410" i="3"/>
  <c r="W410" i="3"/>
  <c r="AB57" i="3"/>
  <c r="W57" i="3"/>
  <c r="AB8" i="3"/>
  <c r="C8" i="3" s="1"/>
  <c r="W8" i="3"/>
  <c r="AB326" i="3"/>
  <c r="C326" i="3" s="1"/>
  <c r="W326" i="3"/>
  <c r="AB428" i="3"/>
  <c r="W428" i="3"/>
  <c r="AB111" i="3"/>
  <c r="W111" i="3"/>
  <c r="AB162" i="3"/>
  <c r="W162" i="3"/>
  <c r="AB451" i="3"/>
  <c r="C451" i="3" s="1"/>
  <c r="W451" i="3"/>
  <c r="AB150" i="3"/>
  <c r="C150" i="3" s="1"/>
  <c r="W150" i="3"/>
  <c r="AB60" i="3"/>
  <c r="W60" i="3"/>
  <c r="AB386" i="3"/>
  <c r="W386" i="3"/>
  <c r="W344" i="3"/>
  <c r="W332" i="3"/>
  <c r="W288" i="3"/>
  <c r="AB454" i="3"/>
  <c r="W454" i="3"/>
  <c r="W272" i="3"/>
  <c r="AB180" i="3"/>
  <c r="W180" i="3"/>
  <c r="W164" i="3"/>
  <c r="W42" i="3"/>
  <c r="W115" i="3"/>
  <c r="W13" i="3"/>
  <c r="AB21" i="3"/>
  <c r="W21" i="3"/>
  <c r="AB389" i="3"/>
  <c r="W389" i="3"/>
  <c r="AB142" i="3"/>
  <c r="W142" i="3"/>
  <c r="AB226" i="3"/>
  <c r="W226" i="3"/>
  <c r="AB222" i="3"/>
  <c r="W222" i="3"/>
  <c r="AB393" i="3"/>
  <c r="C393" i="3" s="1"/>
  <c r="W393" i="3"/>
  <c r="AB335" i="3"/>
  <c r="W335" i="3"/>
  <c r="AB263" i="3"/>
  <c r="W263" i="3"/>
  <c r="AB251" i="3"/>
  <c r="W251" i="3"/>
  <c r="AB218" i="3"/>
  <c r="W218" i="3"/>
  <c r="AB195" i="3"/>
  <c r="W195" i="3"/>
  <c r="AB80" i="3"/>
  <c r="C80" i="3" s="1"/>
  <c r="W80" i="3"/>
  <c r="AB143" i="3"/>
  <c r="W143" i="3"/>
  <c r="AB120" i="3"/>
  <c r="W120" i="3"/>
  <c r="AB241" i="3"/>
  <c r="C241" i="3" s="1"/>
  <c r="W241" i="3"/>
  <c r="AB420" i="3"/>
  <c r="W420" i="3"/>
  <c r="AB108" i="3"/>
  <c r="C108" i="3" s="1"/>
  <c r="W108" i="3"/>
  <c r="AB177" i="3"/>
  <c r="W177" i="3"/>
  <c r="AB286" i="3"/>
  <c r="C286" i="3" s="1"/>
  <c r="W286" i="3"/>
  <c r="AB305" i="3"/>
  <c r="W305" i="3"/>
  <c r="AB25" i="3"/>
  <c r="W25" i="3"/>
  <c r="AB427" i="3"/>
  <c r="W427" i="3"/>
  <c r="AB444" i="3"/>
  <c r="C444" i="3" s="1"/>
  <c r="W444" i="3"/>
  <c r="AB20" i="3"/>
  <c r="W20" i="3"/>
  <c r="AB402" i="3"/>
  <c r="C402" i="3" s="1"/>
  <c r="W402" i="3"/>
  <c r="AB366" i="3"/>
  <c r="W366" i="3"/>
  <c r="W470" i="3"/>
  <c r="W400" i="3"/>
  <c r="W388" i="3"/>
  <c r="W320" i="3"/>
  <c r="W268" i="3"/>
  <c r="AB192" i="3"/>
  <c r="C192" i="3" s="1"/>
  <c r="W192" i="3"/>
  <c r="AB469" i="3"/>
  <c r="C469" i="3" s="1"/>
  <c r="W469" i="3"/>
  <c r="AB407" i="3"/>
  <c r="W407" i="3"/>
  <c r="W315" i="3"/>
  <c r="W72" i="3"/>
  <c r="W153" i="3"/>
  <c r="W110" i="3"/>
  <c r="W247" i="3"/>
  <c r="W223" i="3"/>
  <c r="AB370" i="3"/>
  <c r="W370" i="3"/>
  <c r="W334" i="3"/>
  <c r="W206" i="3"/>
  <c r="W349" i="3"/>
  <c r="W97" i="3"/>
  <c r="AB361" i="3"/>
  <c r="C361" i="3" s="1"/>
  <c r="W361" i="3"/>
  <c r="AB245" i="3"/>
  <c r="W245" i="3"/>
  <c r="AB190" i="3"/>
  <c r="W190" i="3"/>
  <c r="AB211" i="3"/>
  <c r="C211" i="3" s="1"/>
  <c r="W211" i="3"/>
  <c r="AB189" i="3"/>
  <c r="W189" i="3"/>
  <c r="AB165" i="3"/>
  <c r="W165" i="3"/>
  <c r="AB440" i="3"/>
  <c r="W440" i="3"/>
  <c r="AB374" i="3"/>
  <c r="C374" i="3" s="1"/>
  <c r="W374" i="3"/>
  <c r="AB210" i="3"/>
  <c r="C210" i="3" s="1"/>
  <c r="W210" i="3"/>
  <c r="AB168" i="3"/>
  <c r="W168" i="3"/>
  <c r="AB84" i="3"/>
  <c r="C84" i="3" s="1"/>
  <c r="W84" i="3"/>
  <c r="AB139" i="3"/>
  <c r="W139" i="3"/>
  <c r="AB198" i="3"/>
  <c r="W198" i="3"/>
  <c r="AB246" i="3"/>
  <c r="W246" i="3"/>
  <c r="AB378" i="3"/>
  <c r="C378" i="3" s="1"/>
  <c r="W378" i="3"/>
  <c r="AB45" i="3"/>
  <c r="W45" i="3"/>
  <c r="AB209" i="3"/>
  <c r="W209" i="3"/>
  <c r="AB377" i="3"/>
  <c r="W377" i="3"/>
  <c r="AB202" i="3"/>
  <c r="C202" i="3" s="1"/>
  <c r="W202" i="3"/>
  <c r="AB318" i="3"/>
  <c r="W318" i="3"/>
  <c r="AB413" i="3"/>
  <c r="W413" i="3"/>
  <c r="AB83" i="3"/>
  <c r="W83" i="3"/>
  <c r="AB187" i="3"/>
  <c r="C187" i="3" s="1"/>
  <c r="W187" i="3"/>
  <c r="AB307" i="3"/>
  <c r="C307" i="3" s="1"/>
  <c r="W307" i="3"/>
  <c r="W419" i="3"/>
  <c r="W376" i="3"/>
  <c r="AB90" i="3"/>
  <c r="C90" i="3" s="1"/>
  <c r="W90" i="3"/>
  <c r="W220" i="3"/>
  <c r="AB208" i="3"/>
  <c r="C208" i="3" s="1"/>
  <c r="W208" i="3"/>
  <c r="W188" i="3"/>
  <c r="W379" i="3"/>
  <c r="AB347" i="3"/>
  <c r="W347" i="3"/>
  <c r="W327" i="3"/>
  <c r="W53" i="3"/>
  <c r="W116" i="3"/>
  <c r="W425" i="3"/>
  <c r="AB203" i="3"/>
  <c r="W203" i="3"/>
  <c r="W155" i="3"/>
  <c r="W128" i="3"/>
  <c r="W76" i="3"/>
  <c r="W169" i="3"/>
  <c r="W118" i="3"/>
  <c r="AB417" i="3"/>
  <c r="C417" i="3" s="1"/>
  <c r="W417" i="3"/>
  <c r="W424" i="3"/>
  <c r="W182" i="3"/>
  <c r="AB95" i="3"/>
  <c r="W95" i="3"/>
  <c r="W44" i="3"/>
  <c r="AB299" i="3"/>
  <c r="W299" i="3"/>
  <c r="AB68" i="3"/>
  <c r="C68" i="3" s="1"/>
  <c r="W68" i="3"/>
  <c r="AB365" i="3"/>
  <c r="W365" i="3"/>
  <c r="AB55" i="3"/>
  <c r="W55" i="3"/>
  <c r="AB337" i="3"/>
  <c r="W337" i="3"/>
  <c r="AB12" i="3"/>
  <c r="C12" i="3" s="1"/>
  <c r="W12" i="3"/>
  <c r="AB416" i="3"/>
  <c r="C416" i="3" s="1"/>
  <c r="W416" i="3"/>
  <c r="AB345" i="3"/>
  <c r="W345" i="3"/>
  <c r="AB261" i="3"/>
  <c r="W261" i="3"/>
  <c r="AB448" i="3"/>
  <c r="C448" i="3" s="1"/>
  <c r="W448" i="3"/>
  <c r="AB369" i="3"/>
  <c r="W369" i="3"/>
  <c r="AB363" i="3"/>
  <c r="W363" i="3"/>
  <c r="AB178" i="3"/>
  <c r="C178" i="3" s="1"/>
  <c r="W178" i="3"/>
  <c r="AB339" i="3"/>
  <c r="W339" i="3"/>
  <c r="AB260" i="3"/>
  <c r="W260" i="3"/>
  <c r="AB174" i="3"/>
  <c r="C174" i="3" s="1"/>
  <c r="W174" i="3"/>
  <c r="AB166" i="3"/>
  <c r="W166" i="3"/>
  <c r="AB48" i="3"/>
  <c r="W48" i="3"/>
  <c r="AB33" i="3"/>
  <c r="W33" i="3"/>
  <c r="C422" i="3"/>
  <c r="AB194" i="3"/>
  <c r="W194" i="3"/>
  <c r="C368" i="3"/>
  <c r="AB56" i="3"/>
  <c r="W56" i="3"/>
  <c r="AB88" i="3"/>
  <c r="C88" i="3" s="1"/>
  <c r="W88" i="3"/>
  <c r="AB298" i="3"/>
  <c r="C298" i="3" s="1"/>
  <c r="W298" i="3"/>
  <c r="AB119" i="3"/>
  <c r="W119" i="3"/>
  <c r="AB258" i="3"/>
  <c r="C258" i="3" s="1"/>
  <c r="W258" i="3"/>
  <c r="AB181" i="3"/>
  <c r="W181" i="3"/>
  <c r="AB435" i="3"/>
  <c r="W435" i="3"/>
  <c r="AB282" i="3"/>
  <c r="C282" i="3" s="1"/>
  <c r="W282" i="3"/>
  <c r="AB4" i="3"/>
  <c r="C4" i="3" s="1"/>
  <c r="W4" i="3"/>
  <c r="AB231" i="3"/>
  <c r="C231" i="3" s="1"/>
  <c r="W231" i="3"/>
  <c r="AB79" i="3"/>
  <c r="C79" i="3" s="1"/>
  <c r="W79" i="3"/>
  <c r="AB92" i="3"/>
  <c r="W92" i="3"/>
  <c r="AB357" i="3"/>
  <c r="C357" i="3" s="1"/>
  <c r="W357" i="3"/>
  <c r="AB279" i="3"/>
  <c r="C279" i="3" s="1"/>
  <c r="W279" i="3"/>
  <c r="AB219" i="3"/>
  <c r="W219" i="3"/>
  <c r="W408" i="3"/>
  <c r="W396" i="3"/>
  <c r="W340" i="3"/>
  <c r="W328" i="3"/>
  <c r="W316" i="3"/>
  <c r="W296" i="3"/>
  <c r="W66" i="3"/>
  <c r="W54" i="3"/>
  <c r="W43" i="3"/>
  <c r="W438" i="3"/>
  <c r="W252" i="3"/>
  <c r="W403" i="3"/>
  <c r="W391" i="3"/>
  <c r="W311" i="3"/>
  <c r="W291" i="3"/>
  <c r="W22" i="3"/>
  <c r="W213" i="3"/>
  <c r="W437" i="3"/>
  <c r="AB167" i="3"/>
  <c r="W167" i="3"/>
  <c r="W127" i="3"/>
  <c r="W221" i="3"/>
  <c r="AB129" i="3"/>
  <c r="C129" i="3" s="1"/>
  <c r="W129" i="3"/>
  <c r="AB319" i="3"/>
  <c r="C319" i="3" s="1"/>
  <c r="W319" i="3"/>
  <c r="AB9" i="3"/>
  <c r="C9" i="3" s="1"/>
  <c r="W9" i="3"/>
  <c r="AB40" i="3"/>
  <c r="W40" i="3"/>
  <c r="AB447" i="3"/>
  <c r="C447" i="3" s="1"/>
  <c r="W447" i="3"/>
  <c r="AB401" i="3"/>
  <c r="W401" i="3"/>
  <c r="AB341" i="3"/>
  <c r="W341" i="3"/>
  <c r="AB342" i="3"/>
  <c r="W342" i="3"/>
  <c r="AB331" i="3"/>
  <c r="C331" i="3" s="1"/>
  <c r="W331" i="3"/>
  <c r="AB255" i="3"/>
  <c r="C255" i="3" s="1"/>
  <c r="W255" i="3"/>
  <c r="AB147" i="3"/>
  <c r="C147" i="3" s="1"/>
  <c r="W147" i="3"/>
  <c r="C27" i="3"/>
  <c r="AB52" i="3"/>
  <c r="W52" i="3"/>
  <c r="AB204" i="3"/>
  <c r="W204" i="3"/>
  <c r="AB373" i="3"/>
  <c r="W373" i="3"/>
  <c r="AB405" i="3"/>
  <c r="W405" i="3"/>
  <c r="AB225" i="3"/>
  <c r="W225" i="3"/>
  <c r="AB257" i="3"/>
  <c r="W257" i="3"/>
  <c r="AB295" i="3"/>
  <c r="W295" i="3"/>
  <c r="AB259" i="3"/>
  <c r="C259" i="3" s="1"/>
  <c r="W259" i="3"/>
  <c r="AB310" i="3"/>
  <c r="C310" i="3" s="1"/>
  <c r="W310" i="3"/>
  <c r="AB217" i="3"/>
  <c r="C217" i="3" s="1"/>
  <c r="W217" i="3"/>
  <c r="AB460" i="3"/>
  <c r="W460" i="3"/>
  <c r="AB135" i="3"/>
  <c r="C135" i="3" s="1"/>
  <c r="W135" i="3"/>
  <c r="AB81" i="3"/>
  <c r="W81" i="3"/>
  <c r="AB34" i="3"/>
  <c r="W34" i="3"/>
  <c r="AB16" i="3"/>
  <c r="C16" i="3" s="1"/>
  <c r="W16" i="3"/>
  <c r="AB452" i="3"/>
  <c r="W452" i="3"/>
  <c r="AB429" i="3"/>
  <c r="W429" i="3"/>
  <c r="AB134" i="3"/>
  <c r="W134" i="3"/>
  <c r="W348" i="3"/>
  <c r="W172" i="3"/>
  <c r="AB148" i="3"/>
  <c r="W148" i="3"/>
  <c r="W136" i="3"/>
  <c r="AB375" i="3"/>
  <c r="W375" i="3"/>
  <c r="AB449" i="3"/>
  <c r="C449" i="3" s="1"/>
  <c r="W449" i="3"/>
  <c r="AB239" i="3"/>
  <c r="W239" i="3"/>
  <c r="AB215" i="3"/>
  <c r="W215" i="3"/>
  <c r="W14" i="3"/>
  <c r="W468" i="3"/>
  <c r="W382" i="3"/>
  <c r="AB161" i="3"/>
  <c r="W161" i="3"/>
  <c r="W158" i="3"/>
  <c r="W409" i="3"/>
  <c r="W325" i="3"/>
  <c r="AB87" i="3"/>
  <c r="C87" i="3" s="1"/>
  <c r="W87" i="3"/>
  <c r="AB359" i="3"/>
  <c r="W359" i="3"/>
  <c r="AB277" i="3"/>
  <c r="C277" i="3" s="1"/>
  <c r="W277" i="3"/>
  <c r="AB112" i="3"/>
  <c r="W112" i="3"/>
  <c r="AB230" i="3"/>
  <c r="C230" i="3" s="1"/>
  <c r="W230" i="3"/>
  <c r="AB432" i="3"/>
  <c r="W432" i="3"/>
  <c r="AB464" i="3"/>
  <c r="W464" i="3"/>
  <c r="AB456" i="3"/>
  <c r="W456" i="3"/>
  <c r="AB293" i="3"/>
  <c r="W293" i="3"/>
  <c r="AB151" i="3"/>
  <c r="W151" i="3"/>
  <c r="AB17" i="3"/>
  <c r="C17" i="3" s="1"/>
  <c r="W17" i="3"/>
  <c r="AB353" i="3"/>
  <c r="C353" i="3" s="1"/>
  <c r="W353" i="3"/>
  <c r="AB302" i="3"/>
  <c r="C302" i="3" s="1"/>
  <c r="W302" i="3"/>
  <c r="AB196" i="3"/>
  <c r="C196" i="3" s="1"/>
  <c r="W196" i="3"/>
  <c r="AB338" i="3"/>
  <c r="C338" i="3" s="1"/>
  <c r="W338" i="3"/>
  <c r="AB271" i="3"/>
  <c r="W271" i="3"/>
  <c r="AB63" i="3"/>
  <c r="W63" i="3"/>
  <c r="AB2" i="3"/>
  <c r="C2" i="3" s="1"/>
  <c r="W2" i="3"/>
  <c r="AB385" i="3"/>
  <c r="W385" i="3"/>
  <c r="AB36" i="3"/>
  <c r="C36" i="3" s="1"/>
  <c r="W36" i="3"/>
  <c r="AB24" i="3"/>
  <c r="C24" i="3" s="1"/>
  <c r="W24" i="3"/>
  <c r="AB186" i="3"/>
  <c r="C186" i="3" s="1"/>
  <c r="W186" i="3"/>
  <c r="AB467" i="3"/>
  <c r="C467" i="3" s="1"/>
  <c r="W467" i="3"/>
  <c r="AB354" i="3"/>
  <c r="C354" i="3" s="1"/>
  <c r="W354" i="3"/>
  <c r="AB61" i="3"/>
  <c r="C61" i="3" s="1"/>
  <c r="W61" i="3"/>
  <c r="W415" i="3"/>
  <c r="W360" i="3"/>
  <c r="W304" i="3"/>
  <c r="W292" i="3"/>
  <c r="W74" i="3"/>
  <c r="W62" i="3"/>
  <c r="W458" i="3"/>
  <c r="W446" i="3"/>
  <c r="W276" i="3"/>
  <c r="AB216" i="3"/>
  <c r="C216" i="3" s="1"/>
  <c r="W216" i="3"/>
  <c r="W200" i="3"/>
  <c r="W156" i="3"/>
  <c r="AB387" i="3"/>
  <c r="W387" i="3"/>
  <c r="AB355" i="3"/>
  <c r="W355" i="3"/>
  <c r="W323" i="3"/>
  <c r="W65" i="3"/>
  <c r="W179" i="3"/>
  <c r="W41" i="3"/>
  <c r="AB113" i="3"/>
  <c r="C113" i="3" s="1"/>
  <c r="W113" i="3"/>
  <c r="W381" i="3"/>
  <c r="W233" i="3"/>
  <c r="W73" i="3"/>
  <c r="W137" i="3"/>
  <c r="W11" i="3"/>
  <c r="W163" i="3"/>
  <c r="W6" i="3"/>
  <c r="W149" i="3"/>
  <c r="W102" i="3"/>
  <c r="W414" i="3"/>
  <c r="W145" i="3"/>
  <c r="W146" i="3"/>
  <c r="W123" i="3"/>
  <c r="W333" i="3"/>
  <c r="W321" i="3"/>
  <c r="W51" i="3"/>
  <c r="W183" i="3"/>
  <c r="W330" i="3"/>
  <c r="W154" i="3"/>
  <c r="W28" i="3"/>
  <c r="W265" i="3"/>
  <c r="W117" i="3"/>
  <c r="W441" i="3"/>
  <c r="W171" i="3"/>
  <c r="W15" i="3"/>
  <c r="W421" i="3"/>
  <c r="W278" i="3"/>
  <c r="W99" i="3"/>
  <c r="W59" i="3"/>
  <c r="W141" i="3"/>
  <c r="W350" i="3"/>
  <c r="W242" i="3"/>
  <c r="W39" i="3"/>
  <c r="W7" i="3"/>
  <c r="W107" i="3"/>
  <c r="W463" i="3"/>
  <c r="W397" i="3"/>
  <c r="W67" i="3"/>
  <c r="W269" i="3"/>
  <c r="W249" i="3"/>
  <c r="W201" i="3"/>
  <c r="W173" i="3"/>
  <c r="C396" i="3"/>
  <c r="C220" i="3"/>
  <c r="C391" i="3"/>
  <c r="C72" i="3"/>
  <c r="C379" i="3"/>
  <c r="C443" i="3"/>
  <c r="C41" i="3"/>
  <c r="C315" i="3"/>
  <c r="C127" i="3"/>
  <c r="C424" i="3"/>
  <c r="C118" i="3"/>
  <c r="C172" i="3"/>
  <c r="C194" i="3" l="1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K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<sst xmlns="http://schemas.openxmlformats.org/spreadsheetml/2006/main" count="9016" uniqueCount="4007">
  <si>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</si>
  <si>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</si>
  <si>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</si>
  <si>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</si>
  <si>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</si>
  <si>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</si>
  <si>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</si>
  <si>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</si>
  <si>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</si>
  <si>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</si>
  <si>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</si>
  <si>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</si>
  <si>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</si>
  <si>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</si>
  <si>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</si>
  <si>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</si>
  <si>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</si>
  <si>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</si>
  <si>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</si>
  <si>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</si>
  <si>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</si>
  <si>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</si>
  <si>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</si>
  <si>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</si>
  <si>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</si>
  <si>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</si>
  <si>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</si>
  <si>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</si>
  <si>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</si>
  <si>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</si>
  <si>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</si>
  <si>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</si>
  <si>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</si>
  <si>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</si>
  <si>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</si>
  <si>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</si>
  <si>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</si>
  <si>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</si>
  <si>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</si>
  <si>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</si>
  <si>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</si>
  <si>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</si>
  <si>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</si>
  <si>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</si>
  <si>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</si>
  <si>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</si>
  <si>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</si>
  <si>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</si>
  <si>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</si>
  <si>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</si>
  <si>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</si>
  <si>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</si>
  <si>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</si>
  <si>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</si>
  <si>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</si>
  <si>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</si>
  <si>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</si>
  <si>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</si>
  <si>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</si>
  <si>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</si>
  <si>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</si>
  <si>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</si>
  <si>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</si>
  <si>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</si>
  <si>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</si>
  <si>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</si>
  <si>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</si>
  <si>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</si>
  <si>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</si>
  <si>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</si>
  <si>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</si>
  <si>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</si>
  <si>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</si>
  <si>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</si>
  <si>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</si>
  <si>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</si>
  <si>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</si>
  <si>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</si>
  <si>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</si>
  <si>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</si>
  <si>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</si>
  <si>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</si>
  <si>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</si>
  <si>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</si>
  <si>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</si>
  <si>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</si>
  <si>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</si>
  <si>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</si>
  <si>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</si>
  <si>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</si>
  <si>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</si>
  <si>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</si>
  <si>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</si>
  <si>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</si>
  <si>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</si>
  <si>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</si>
  <si>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</si>
  <si>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</si>
  <si>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</si>
  <si>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</si>
  <si>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</si>
  <si>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</si>
  <si>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</si>
  <si>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</si>
  <si>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</si>
  <si>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</si>
  <si>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</si>
  <si>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</si>
  <si>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</si>
  <si>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</si>
  <si>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</si>
  <si>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</si>
  <si>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</si>
  <si>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</si>
  <si>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</si>
  <si>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</si>
  <si>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</si>
  <si>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</si>
  <si>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</si>
  <si>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</si>
  <si>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</si>
  <si>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</si>
  <si>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</si>
  <si>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</si>
  <si>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</si>
  <si>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</si>
  <si>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</si>
  <si>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</si>
  <si>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</si>
  <si>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</si>
  <si>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</si>
  <si>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</si>
  <si>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</si>
  <si>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</si>
  <si>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</si>
  <si>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</si>
  <si>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</si>
  <si>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</si>
  <si>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</si>
  <si>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</si>
  <si>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</si>
  <si>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</si>
  <si>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</si>
  <si>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</si>
  <si>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</si>
  <si>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</si>
  <si>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</si>
  <si>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</si>
  <si>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</si>
  <si>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</si>
  <si>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</si>
  <si>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</si>
  <si>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</si>
  <si>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</si>
  <si>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</si>
  <si>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</si>
  <si>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</si>
  <si>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</si>
  <si>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</si>
  <si>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</si>
  <si>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</si>
  <si>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</si>
  <si>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</si>
  <si>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</si>
  <si>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</si>
  <si>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</si>
  <si>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</si>
  <si>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</si>
  <si>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</si>
  <si>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</si>
  <si>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</si>
  <si>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</si>
  <si>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</si>
  <si>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</si>
  <si>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</si>
  <si>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</si>
  <si>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</si>
  <si>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</si>
  <si>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</si>
  <si>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</si>
  <si>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</si>
  <si>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</si>
  <si>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</si>
  <si>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</si>
  <si>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</si>
  <si>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</si>
  <si>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</si>
  <si>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</si>
  <si>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</si>
  <si>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</si>
  <si>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</si>
  <si>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</si>
  <si>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</si>
  <si>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</si>
  <si>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</si>
  <si>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</si>
  <si>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</si>
  <si>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</si>
  <si>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</si>
  <si>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</si>
  <si>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</si>
  <si>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</si>
  <si>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</si>
  <si>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</si>
  <si>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</si>
  <si>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</si>
  <si>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</si>
  <si>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</si>
  <si>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</si>
  <si>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</si>
  <si>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</si>
  <si>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</si>
  <si>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</si>
  <si>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</si>
  <si>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</si>
  <si>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</si>
  <si>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</si>
  <si>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</si>
  <si>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</si>
  <si>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</si>
  <si>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</si>
  <si>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</si>
  <si>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</si>
  <si>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</si>
  <si>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</si>
  <si>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</si>
  <si>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</si>
  <si>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</si>
  <si>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</si>
  <si>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</si>
  <si>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</si>
  <si>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</si>
  <si>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</si>
  <si>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</si>
  <si>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</si>
  <si>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</si>
  <si>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</si>
  <si>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</si>
  <si>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</si>
  <si>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</si>
  <si>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</si>
  <si>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</si>
  <si>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</si>
  <si>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</si>
  <si>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</si>
  <si>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</si>
  <si>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</si>
  <si>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</si>
  <si>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</si>
  <si>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</si>
  <si>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</si>
  <si>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</si>
  <si>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</si>
  <si>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</si>
  <si>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</si>
  <si>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</si>
  <si>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</si>
  <si>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</si>
  <si>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</si>
  <si>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</si>
  <si>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</si>
  <si>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</si>
  <si>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</si>
  <si>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</si>
  <si>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</si>
  <si>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</si>
  <si>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</si>
  <si>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</si>
  <si>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</si>
  <si>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</si>
  <si>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</si>
  <si>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</si>
  <si>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</si>
  <si>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</si>
  <si>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</si>
  <si>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</si>
  <si>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</si>
  <si>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</si>
  <si>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</si>
  <si>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</si>
  <si>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</si>
  <si>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</si>
  <si>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</si>
  <si>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</si>
  <si>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</si>
  <si>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</si>
  <si>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</si>
  <si>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</si>
  <si>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</si>
  <si>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</si>
  <si>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</si>
  <si>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</si>
  <si>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</si>
  <si>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</si>
  <si>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</si>
  <si>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</si>
  <si>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</si>
  <si>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</si>
  <si>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</si>
  <si>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</si>
  <si>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</si>
  <si>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</si>
  <si>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</si>
  <si>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</si>
  <si>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</si>
  <si>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</si>
  <si>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</si>
  <si>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</si>
  <si>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</si>
  <si>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</si>
  <si>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</si>
  <si>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</si>
  <si>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</si>
  <si>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</si>
  <si>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</si>
  <si>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</si>
  <si>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</si>
  <si>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</si>
  <si>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</si>
  <si>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</si>
  <si>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</si>
  <si>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</si>
  <si>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</si>
  <si>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</si>
  <si>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</si>
  <si>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</si>
  <si>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</si>
  <si>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</si>
  <si>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</si>
  <si>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</si>
  <si>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</si>
  <si>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</si>
  <si>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</si>
  <si>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</si>
  <si>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</si>
  <si>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</si>
  <si>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</si>
  <si>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</si>
  <si>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</si>
  <si>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</si>
  <si>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</si>
  <si>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</si>
  <si>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</si>
  <si>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</si>
  <si>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</si>
  <si>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</si>
  <si>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</si>
  <si>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</si>
  <si>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</si>
  <si>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</si>
  <si>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</si>
  <si>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</si>
  <si>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</si>
  <si>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</si>
  <si>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</si>
  <si>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</si>
  <si>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</si>
  <si>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</si>
  <si>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</si>
  <si>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</si>
  <si>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</si>
  <si>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</si>
  <si>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</si>
  <si>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</si>
  <si>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</si>
  <si>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</si>
  <si>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</si>
  <si>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</si>
  <si>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</si>
  <si>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</si>
  <si>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</si>
  <si>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</si>
  <si>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</si>
  <si>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</si>
  <si>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</si>
  <si>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</si>
  <si>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</si>
  <si>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</si>
  <si>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</si>
  <si>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</si>
  <si>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</si>
  <si>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</si>
  <si>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</si>
  <si>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</si>
  <si>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</si>
  <si>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</si>
  <si>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</si>
  <si>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</si>
  <si>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</si>
  <si>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</si>
  <si>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</si>
  <si>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</si>
  <si>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</si>
  <si>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</si>
  <si>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</si>
  <si>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</si>
  <si>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</si>
  <si>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</si>
  <si>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</si>
  <si>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</si>
  <si>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</si>
  <si>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</si>
  <si>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</si>
  <si>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</si>
  <si>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</si>
  <si>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</si>
  <si>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</si>
  <si>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</si>
  <si>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</si>
  <si>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</si>
  <si>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</si>
  <si>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</si>
  <si>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</si>
  <si>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</si>
  <si>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</si>
  <si>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</si>
  <si>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</si>
  <si>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</si>
  <si>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</si>
  <si>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</si>
  <si>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</si>
  <si>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</si>
  <si>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</si>
  <si>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</si>
  <si>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</si>
  <si>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</si>
  <si>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</si>
  <si>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</si>
  <si>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</si>
  <si>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</si>
  <si>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</si>
  <si>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</si>
  <si>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</si>
  <si>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</si>
  <si>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</si>
  <si>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</si>
  <si>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</si>
  <si>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</si>
  <si>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</si>
  <si>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</si>
  <si>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</si>
  <si>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</si>
  <si>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</si>
  <si>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</si>
  <si>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</si>
  <si>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</si>
  <si>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</si>
  <si>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</si>
  <si>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</si>
  <si>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</si>
  <si>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</si>
  <si>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</si>
  <si>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</si>
  <si>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</si>
  <si>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</si>
  <si>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</si>
  <si>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</si>
  <si>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</si>
  <si>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</si>
  <si>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</si>
  <si>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</si>
  <si>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</si>
  <si>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</si>
  <si>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</si>
  <si>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</si>
  <si>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</si>
  <si>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</si>
  <si>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</si>
  <si>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</si>
  <si>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</si>
  <si>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</si>
  <si>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</si>
  <si>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</si>
  <si>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</si>
  <si>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</si>
  <si>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</si>
  <si>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</si>
  <si>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</si>
  <si>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</si>
  <si>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</si>
  <si>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</si>
  <si>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</si>
  <si>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</si>
  <si>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</si>
  <si>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</si>
  <si>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</si>
  <si>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</si>
  <si>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</si>
  <si>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</si>
  <si>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</si>
  <si>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</si>
  <si>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</si>
  <si>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</si>
  <si>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</si>
  <si>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</si>
  <si>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</si>
  <si>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</si>
  <si>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</si>
  <si>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</si>
  <si>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</si>
  <si>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</si>
  <si>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</si>
  <si>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</si>
  <si>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</si>
  <si>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</si>
  <si>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</si>
  <si>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</si>
  <si>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</si>
  <si>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</si>
  <si>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</si>
  <si>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</si>
  <si>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</si>
  <si>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</si>
  <si>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</si>
  <si>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</si>
  <si>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</si>
  <si>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</si>
  <si>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</si>
  <si>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</si>
  <si>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</si>
  <si>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</si>
  <si>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</si>
  <si>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</si>
  <si>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</si>
  <si>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</si>
  <si>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</si>
  <si>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</si>
  <si>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</si>
  <si>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</si>
  <si>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</si>
  <si>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</si>
  <si>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</si>
  <si>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</si>
  <si>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</si>
  <si>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</si>
  <si>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</si>
  <si>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</si>
  <si>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</si>
  <si>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</si>
  <si>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</si>
  <si>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</si>
  <si>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</si>
  <si>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</si>
  <si>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</si>
  <si>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</si>
  <si>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</si>
  <si>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</si>
  <si>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</si>
  <si>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</si>
  <si>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</si>
  <si>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</si>
  <si>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</si>
  <si>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</si>
  <si>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</si>
  <si>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</si>
  <si>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</si>
  <si>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</si>
  <si>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</si>
  <si>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</si>
  <si>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</si>
  <si>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</si>
  <si>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</si>
  <si>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</si>
  <si>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</si>
  <si>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</si>
  <si>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</si>
  <si>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</si>
  <si>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</si>
  <si>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</si>
  <si>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</si>
  <si>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</si>
  <si>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</si>
  <si>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</si>
  <si>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</si>
  <si>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</si>
  <si>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</si>
  <si>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</si>
  <si>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</si>
  <si>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</si>
  <si>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</si>
  <si>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</si>
  <si>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</si>
  <si>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</si>
  <si>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</si>
  <si>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</si>
  <si>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</si>
  <si>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</si>
  <si>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</si>
  <si>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</si>
  <si>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</si>
  <si>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</si>
  <si>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</si>
  <si>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</si>
  <si>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</si>
  <si>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</si>
  <si>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</si>
  <si>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</si>
  <si>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</si>
  <si>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</si>
  <si>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</si>
  <si>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</si>
  <si>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</si>
  <si>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</si>
  <si>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</si>
  <si>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</si>
  <si>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</si>
  <si>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</si>
  <si>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</si>
  <si>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</si>
  <si>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</si>
  <si>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</si>
  <si>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</si>
  <si>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</si>
  <si>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</si>
  <si>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</si>
  <si>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</si>
  <si>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</si>
  <si>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</si>
  <si>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</si>
  <si>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</si>
  <si>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</si>
  <si>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</si>
  <si>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</si>
  <si>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</si>
  <si>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</si>
  <si>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</si>
  <si>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</si>
  <si>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</si>
  <si>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</si>
  <si>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</si>
  <si>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</si>
  <si>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</si>
  <si>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</si>
  <si>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</si>
  <si>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</si>
  <si>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</si>
  <si>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</si>
  <si>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</si>
  <si>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</si>
  <si>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</si>
  <si>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</si>
  <si>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</si>
  <si>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</si>
  <si>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</si>
  <si>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</si>
  <si>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</si>
  <si>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</si>
  <si>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</si>
  <si>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</si>
  <si>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</si>
  <si>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</si>
  <si>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</si>
  <si>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</si>
  <si>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</si>
  <si>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</si>
  <si>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</si>
  <si>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</si>
  <si>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</si>
  <si>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</si>
  <si>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</si>
  <si>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</si>
  <si>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</si>
  <si>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</si>
  <si>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</si>
  <si>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</si>
  <si>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</si>
  <si>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</si>
  <si>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</si>
  <si>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</si>
  <si>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</si>
  <si>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</si>
  <si>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</si>
  <si>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</si>
  <si>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</si>
  <si>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</si>
  <si>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</si>
  <si>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</si>
  <si>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</si>
  <si>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</si>
  <si>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</si>
  <si>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</si>
  <si>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</si>
  <si>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</si>
  <si>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</si>
  <si>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</si>
  <si>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</si>
  <si>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</si>
  <si>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</si>
  <si>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</si>
  <si>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</si>
  <si>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</si>
  <si>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</si>
  <si>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</si>
  <si>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</si>
  <si>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</si>
  <si>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</si>
  <si>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</si>
  <si>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</si>
  <si>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</si>
  <si>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</si>
  <si>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</si>
  <si>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</si>
  <si>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</si>
  <si>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</si>
  <si>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</si>
  <si>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</si>
  <si>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</si>
  <si>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</si>
  <si>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</si>
  <si>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</si>
  <si>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</si>
  <si>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</si>
  <si>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</si>
  <si>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</si>
  <si>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</si>
  <si>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</si>
  <si>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</si>
  <si>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</si>
  <si>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</si>
  <si>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</si>
  <si>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</si>
  <si>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</si>
  <si>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</si>
  <si>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</si>
  <si>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</si>
  <si>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</si>
  <si>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</si>
  <si>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</si>
  <si>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</si>
  <si>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</si>
  <si>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</si>
  <si>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</si>
  <si>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</si>
  <si>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</si>
  <si>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</si>
  <si>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</si>
  <si>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</si>
  <si>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</si>
  <si>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</si>
  <si>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</si>
  <si>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</si>
  <si>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</si>
  <si>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</si>
  <si>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</si>
  <si>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</si>
  <si>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</si>
  <si>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</si>
  <si>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</si>
  <si>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</si>
  <si>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</si>
  <si>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</si>
  <si>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</si>
  <si>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</si>
  <si>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</si>
  <si>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</si>
  <si>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</si>
  <si>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</si>
  <si>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</si>
  <si>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</si>
  <si>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</si>
  <si>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</si>
  <si>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</si>
  <si>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</si>
  <si>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</si>
  <si>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</si>
  <si>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</si>
  <si>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</si>
  <si>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</si>
  <si>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</si>
  <si>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</si>
  <si>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</si>
  <si>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</si>
  <si>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</si>
  <si>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</si>
  <si>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</si>
  <si>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</si>
  <si>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</si>
  <si>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</si>
  <si>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</si>
  <si>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</si>
  <si>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</si>
  <si>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</si>
  <si>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</si>
  <si>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</si>
  <si>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</si>
  <si>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</si>
  <si>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</si>
  <si>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</si>
  <si>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</si>
  <si>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</si>
  <si>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</si>
  <si>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</si>
  <si>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</si>
  <si>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</si>
  <si>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</si>
  <si>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</si>
  <si>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</si>
  <si>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</si>
  <si>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</si>
  <si>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</si>
  <si>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</si>
  <si>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</si>
  <si>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</si>
  <si>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</si>
  <si>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</si>
  <si>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</si>
  <si>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</si>
  <si>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</si>
  <si>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</si>
  <si>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</si>
  <si>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</si>
  <si>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</si>
  <si>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</si>
  <si>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</si>
  <si>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</si>
  <si>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</si>
  <si>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</si>
  <si>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</si>
  <si>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</si>
  <si>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</si>
  <si>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</si>
  <si>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</si>
  <si>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</si>
  <si>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</si>
  <si>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</si>
  <si>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</si>
  <si>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</si>
  <si>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</si>
  <si>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</si>
  <si>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</si>
  <si>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</si>
  <si>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</si>
  <si>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</si>
  <si>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</si>
  <si>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</si>
  <si>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</si>
  <si>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</si>
  <si>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</si>
  <si>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</si>
  <si>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</si>
  <si>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</si>
  <si>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</si>
  <si>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</si>
  <si>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</si>
  <si>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</si>
  <si>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</si>
  <si>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</si>
  <si>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</si>
  <si>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</si>
  <si>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</si>
  <si>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</si>
  <si>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</si>
  <si>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</si>
  <si>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</si>
  <si>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</si>
  <si>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</si>
  <si>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</si>
  <si>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</si>
  <si>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</si>
  <si>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</si>
  <si>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</si>
  <si>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</si>
  <si>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</si>
  <si>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</si>
  <si>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</si>
  <si>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</si>
  <si>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</si>
  <si>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</si>
  <si>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</si>
  <si>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</si>
  <si>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</si>
  <si>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</si>
  <si>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</si>
  <si>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</si>
  <si>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</si>
  <si>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</si>
  <si>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</si>
  <si>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</si>
  <si>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</si>
  <si>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</si>
  <si>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</si>
  <si>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</si>
  <si>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</si>
  <si>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</si>
  <si>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</si>
  <si>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</si>
  <si>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</si>
  <si>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</si>
  <si>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</si>
  <si>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</si>
  <si>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</si>
  <si>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</si>
  <si>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</si>
  <si>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</si>
  <si>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</si>
  <si>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</si>
  <si>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</si>
  <si>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</si>
  <si>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</si>
  <si>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</si>
  <si>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</si>
  <si>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</si>
  <si>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</si>
  <si>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</si>
  <si>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</si>
  <si>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</si>
  <si>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</si>
  <si>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</si>
  <si>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</si>
  <si>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</si>
  <si>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</si>
  <si>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</si>
  <si>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</si>
  <si>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</si>
  <si>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</si>
  <si>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</si>
  <si>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</si>
  <si>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</si>
  <si>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</si>
  <si>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</si>
  <si>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</si>
  <si>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</si>
  <si>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</si>
  <si>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</si>
  <si>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</si>
  <si>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</si>
  <si>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</si>
  <si>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</si>
  <si>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</si>
  <si>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</si>
  <si>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</si>
  <si>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</si>
  <si>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</si>
  <si>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</si>
  <si>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</si>
  <si>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</si>
  <si>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</si>
  <si>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</si>
  <si>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</si>
  <si>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</si>
  <si>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</si>
  <si>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</si>
  <si>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</si>
  <si>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</si>
  <si>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</si>
  <si>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</si>
  <si>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</si>
  <si>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</si>
  <si>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</si>
  <si>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</si>
  <si>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</si>
  <si>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</si>
  <si>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</si>
  <si>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</si>
  <si>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</si>
  <si>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</si>
  <si>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</si>
  <si>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</si>
  <si>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</si>
  <si>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</si>
  <si>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</si>
  <si>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</si>
  <si>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</si>
  <si>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</si>
  <si>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</si>
  <si>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</si>
  <si>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</si>
  <si>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</si>
  <si>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</si>
  <si>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</si>
  <si>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</si>
  <si>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</si>
  <si>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</si>
  <si>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</si>
  <si>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</si>
  <si>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</si>
  <si>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</si>
  <si>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</si>
  <si>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</si>
  <si>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</si>
  <si>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</si>
  <si>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</si>
  <si>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</si>
  <si>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</si>
  <si>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</si>
  <si>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</si>
  <si>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</si>
  <si>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</si>
  <si>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</si>
  <si>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</si>
  <si>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</si>
  <si>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</si>
  <si>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</si>
  <si>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</si>
  <si>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</si>
  <si>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</si>
  <si>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</si>
  <si>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</si>
  <si>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</si>
  <si>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</si>
  <si>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</si>
  <si>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</si>
  <si>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</si>
  <si>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</si>
  <si>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</si>
  <si>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</si>
  <si>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</si>
  <si>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</si>
  <si>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</si>
  <si>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</si>
  <si>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</si>
  <si>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</si>
  <si>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</si>
  <si>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</si>
  <si>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</si>
  <si>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</si>
  <si>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</si>
  <si>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</si>
  <si>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</si>
  <si>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</si>
  <si>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</si>
  <si>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</si>
  <si>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</si>
  <si>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</si>
  <si>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</si>
  <si>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</si>
  <si>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</si>
  <si>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</si>
  <si>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</si>
  <si>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</si>
  <si>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</si>
  <si>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</si>
  <si>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</si>
  <si>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</si>
  <si>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</si>
  <si>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</si>
  <si>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</si>
  <si>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</si>
  <si>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</si>
  <si>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</si>
  <si>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</si>
  <si>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</si>
  <si>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</si>
  <si>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</si>
  <si>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</si>
  <si>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</si>
  <si>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</si>
  <si>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</si>
  <si>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</si>
  <si>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</si>
  <si>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</si>
  <si>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</si>
  <si>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</si>
  <si>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</si>
  <si>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</si>
  <si>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</si>
  <si>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</si>
  <si>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</si>
  <si>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</si>
  <si>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</si>
  <si>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</si>
  <si>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</si>
  <si>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</si>
  <si>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</si>
  <si>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</si>
  <si>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</si>
  <si>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</si>
  <si>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</si>
  <si>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</si>
  <si>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</si>
  <si>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</si>
  <si>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</si>
  <si>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</si>
  <si>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</si>
  <si>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</si>
  <si>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</si>
  <si>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</si>
  <si>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</si>
  <si>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</si>
  <si>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</si>
  <si>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</si>
  <si>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</si>
  <si>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</si>
  <si>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</si>
  <si>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</si>
  <si>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</si>
  <si>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</si>
  <si>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</si>
  <si>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</si>
  <si>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</si>
  <si>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</si>
  <si>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</si>
  <si>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</si>
  <si>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</si>
  <si>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</si>
  <si>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</si>
  <si>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</si>
  <si>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</si>
  <si>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</si>
  <si>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</si>
  <si>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</si>
  <si>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</si>
  <si>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</si>
  <si>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</si>
  <si>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</si>
  <si>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</si>
  <si>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</si>
  <si>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</si>
  <si>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</si>
  <si>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</si>
  <si>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</si>
  <si>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</si>
  <si>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</si>
  <si>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</si>
  <si>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</si>
  <si>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</si>
  <si>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</si>
  <si>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</si>
  <si>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</si>
  <si>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</si>
  <si>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</si>
  <si>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</si>
  <si>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</si>
  <si>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</si>
  <si>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</si>
  <si>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</si>
  <si>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</si>
  <si>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</si>
  <si>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</si>
  <si>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</si>
  <si>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</si>
  <si>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</si>
  <si>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</si>
  <si>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</si>
  <si>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</si>
  <si>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</si>
  <si>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</si>
  <si>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</si>
  <si>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</si>
  <si>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</si>
  <si>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</si>
  <si>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</si>
  <si>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</si>
  <si>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</si>
  <si>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</si>
  <si>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</si>
  <si>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</si>
  <si>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</si>
  <si>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</si>
  <si>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</si>
  <si>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</si>
  <si>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</si>
  <si>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</si>
  <si>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</si>
  <si>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</si>
  <si>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</si>
  <si>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</si>
  <si>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</si>
  <si>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</si>
  <si>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</si>
  <si>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</si>
  <si>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</si>
  <si>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</si>
  <si>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</si>
  <si>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</si>
  <si>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</si>
  <si>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</si>
  <si>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</si>
  <si>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</si>
  <si>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</si>
  <si>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</si>
  <si>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</si>
  <si>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</si>
  <si>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</si>
  <si>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</si>
  <si>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</si>
  <si>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</si>
  <si>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</si>
  <si>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</si>
  <si>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</si>
  <si>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</si>
  <si>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</si>
  <si>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</si>
  <si>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</si>
  <si>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</si>
  <si>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</si>
  <si>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</si>
  <si>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</si>
  <si>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</si>
  <si>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</si>
  <si>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</si>
  <si>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</si>
  <si>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</si>
  <si>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</si>
  <si>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</si>
  <si>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</si>
  <si>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</si>
  <si>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</si>
  <si>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</si>
  <si>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</si>
  <si>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</si>
  <si>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</si>
  <si>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</si>
  <si>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</si>
  <si>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</si>
  <si>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</si>
  <si>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</si>
  <si>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</si>
  <si>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</si>
  <si>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</si>
  <si>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</si>
  <si>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</si>
  <si>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</si>
  <si>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</si>
  <si>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</si>
  <si>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</si>
  <si>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</si>
  <si>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</si>
  <si>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</si>
  <si>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</si>
  <si>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</si>
  <si>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</si>
  <si>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</si>
  <si>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</si>
  <si>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</si>
  <si>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</si>
  <si>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</si>
  <si>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</si>
  <si>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</si>
  <si>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</si>
  <si>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</si>
  <si>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</si>
  <si>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</si>
  <si>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</si>
  <si>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</si>
  <si>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</si>
  <si>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</si>
  <si>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</si>
  <si>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</si>
  <si>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</si>
  <si>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</si>
  <si>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</si>
  <si>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</si>
  <si>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</si>
  <si>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</si>
  <si>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</si>
  <si>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</si>
  <si>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</si>
  <si>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</si>
  <si>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</si>
  <si>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</si>
  <si>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</si>
  <si>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</si>
  <si>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</si>
  <si>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</si>
  <si>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</si>
  <si>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</si>
  <si>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</si>
  <si>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</si>
  <si>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</si>
  <si>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</si>
  <si>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</si>
  <si>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</si>
  <si>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</si>
  <si>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</si>
  <si>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</si>
  <si>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</si>
  <si>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</si>
  <si>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</si>
  <si>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</si>
  <si>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</si>
  <si>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</si>
  <si>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</si>
  <si>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</si>
  <si>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</si>
  <si>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</si>
  <si>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</si>
  <si>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</si>
  <si>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</si>
  <si>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</si>
  <si>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</si>
  <si>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</si>
  <si>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</si>
  <si>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</si>
  <si>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</si>
  <si>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</si>
  <si>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</si>
  <si>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</si>
  <si>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</si>
  <si>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</si>
  <si>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</si>
  <si>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</si>
  <si>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</si>
  <si>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</si>
  <si>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</si>
  <si>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</si>
  <si>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</si>
  <si>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</si>
  <si>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</si>
  <si>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</si>
  <si>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</si>
  <si>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</si>
  <si>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</si>
  <si>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</si>
  <si>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</si>
  <si>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</si>
  <si>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</si>
  <si>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</si>
  <si>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</si>
  <si>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</si>
  <si>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</si>
  <si>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</si>
  <si>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</si>
  <si>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</si>
  <si>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</si>
  <si>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</si>
  <si>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</si>
  <si>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</si>
  <si>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</si>
  <si>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</si>
  <si>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</si>
  <si>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</si>
  <si>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</si>
  <si>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</si>
  <si>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</si>
  <si>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</si>
  <si>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</si>
  <si>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</si>
  <si>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</si>
  <si>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</si>
  <si>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</si>
  <si>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</si>
  <si>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</si>
  <si>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</si>
  <si>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</si>
  <si>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</si>
  <si>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</si>
  <si>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</si>
  <si>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</si>
  <si>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</si>
  <si>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</si>
  <si>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</si>
  <si>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</si>
  <si>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</si>
  <si>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</si>
  <si>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</si>
  <si>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</si>
  <si>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</si>
  <si>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</si>
  <si>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</si>
  <si>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</si>
  <si>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</si>
  <si>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</si>
  <si>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</si>
  <si>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</si>
  <si>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</si>
  <si>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</si>
  <si>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</si>
  <si>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</si>
  <si>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</si>
  <si>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</si>
  <si>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</si>
  <si>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</si>
  <si>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</si>
  <si>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</si>
  <si>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</si>
  <si>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</si>
  <si>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</si>
  <si>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</si>
  <si>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</si>
  <si>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</si>
  <si>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</si>
  <si>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</si>
  <si>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</si>
  <si>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</si>
  <si>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</si>
  <si>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</si>
  <si>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</si>
  <si>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</si>
  <si>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</si>
  <si>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</si>
  <si>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</si>
  <si>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</si>
  <si>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</si>
  <si>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</si>
  <si>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</si>
  <si>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</si>
  <si>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</si>
  <si>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</si>
  <si>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</si>
  <si>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</si>
  <si>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</si>
  <si>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</si>
  <si>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</si>
  <si>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</si>
  <si>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</si>
  <si>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</si>
  <si>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</si>
  <si>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</si>
  <si>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</si>
  <si>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</si>
  <si>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</si>
  <si>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</si>
  <si>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</si>
  <si>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</si>
  <si>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</si>
  <si>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</si>
  <si>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</si>
  <si>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</si>
  <si>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</si>
  <si>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</si>
  <si>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</si>
  <si>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</si>
  <si>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</si>
  <si>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</si>
  <si>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</si>
  <si>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</si>
  <si>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</si>
  <si>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</si>
  <si>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</si>
  <si>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</si>
  <si>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</si>
  <si>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</si>
  <si>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</si>
  <si>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</si>
  <si>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</si>
  <si>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</si>
  <si>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</si>
  <si>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</si>
  <si>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</si>
  <si>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</si>
  <si>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</si>
  <si>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</si>
  <si>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</si>
  <si>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</si>
  <si>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</si>
  <si>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</si>
  <si>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</si>
  <si>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</si>
  <si>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</si>
  <si>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</si>
  <si>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</si>
  <si>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</si>
  <si>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</si>
  <si>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</si>
  <si>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</si>
  <si>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</si>
  <si>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</si>
  <si>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</si>
  <si>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</si>
  <si>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</si>
  <si>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</si>
  <si>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</si>
  <si>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</si>
  <si>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</si>
  <si>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</si>
  <si>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</si>
  <si>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</si>
  <si>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</si>
  <si>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</si>
  <si>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</si>
  <si>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</si>
  <si>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</si>
  <si>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</si>
  <si>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</si>
  <si>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</si>
  <si>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</si>
  <si>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</si>
  <si>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</si>
  <si>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</si>
  <si>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</si>
  <si>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</si>
  <si>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</si>
  <si>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</si>
  <si>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</si>
  <si>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</si>
  <si>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</si>
  <si>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</si>
  <si>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</si>
  <si>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</si>
  <si>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</si>
  <si>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</si>
  <si>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</si>
  <si>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</si>
  <si>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</si>
  <si>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</si>
  <si>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</si>
  <si>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</si>
  <si>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</si>
  <si>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</si>
  <si>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</si>
  <si>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</si>
  <si>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</si>
  <si>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</si>
  <si>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</si>
  <si>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</si>
  <si>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</si>
  <si>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</si>
  <si>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</si>
  <si>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</si>
  <si>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</si>
  <si>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</si>
  <si>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</si>
  <si>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</si>
  <si>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</si>
  <si>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</si>
  <si>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</si>
  <si>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</si>
  <si>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</si>
  <si>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</si>
  <si>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</si>
  <si>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</si>
  <si>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</si>
  <si>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</si>
  <si>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</si>
  <si>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</si>
  <si>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</si>
  <si>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</si>
  <si>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</si>
  <si>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</si>
  <si>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</si>
  <si>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</si>
  <si>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</si>
  <si>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</si>
  <si>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</si>
  <si>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</si>
  <si>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</si>
  <si>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</si>
  <si>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</si>
  <si>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</si>
  <si>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</si>
  <si>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</si>
  <si>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</si>
  <si>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</si>
  <si>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</si>
  <si>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</si>
  <si>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</si>
  <si>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</si>
  <si>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</si>
  <si>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</si>
  <si>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</si>
  <si>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</si>
  <si>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</si>
  <si>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</si>
  <si>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</si>
  <si>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</si>
  <si>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</si>
  <si>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</si>
  <si>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</si>
  <si>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</si>
  <si>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</si>
  <si>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</si>
  <si>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</si>
  <si>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</si>
  <si>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</si>
  <si>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</si>
  <si>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</si>
  <si>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</si>
  <si>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</si>
  <si>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</si>
  <si>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</si>
  <si>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</si>
  <si>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</si>
  <si>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</si>
  <si>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</si>
  <si>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</si>
  <si>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</si>
  <si>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</si>
  <si>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</si>
  <si>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</si>
  <si>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</si>
  <si>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</si>
  <si>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</si>
  <si>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</si>
  <si>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</si>
  <si>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</si>
  <si>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</si>
  <si>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</si>
  <si>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</si>
  <si>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</si>
  <si>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</si>
  <si>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</si>
  <si>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</si>
  <si>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</si>
  <si>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</si>
  <si>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</si>
  <si>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</si>
  <si>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</si>
  <si>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</si>
  <si>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</si>
  <si>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</si>
  <si>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</si>
  <si>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</si>
  <si>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</si>
  <si>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</si>
  <si>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</si>
  <si>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</si>
  <si>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</si>
  <si>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</si>
  <si>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</si>
  <si>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</si>
  <si>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</si>
  <si>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</si>
  <si>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</si>
  <si>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</si>
  <si>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</si>
  <si>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</si>
  <si>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</si>
  <si>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</si>
  <si>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</si>
  <si>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</si>
  <si>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</si>
  <si>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</si>
  <si>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</si>
  <si>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</si>
  <si>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</si>
  <si>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</si>
  <si>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</si>
  <si>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</si>
  <si>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</si>
  <si>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</si>
  <si>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</si>
  <si>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</si>
  <si>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</si>
  <si>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</si>
  <si>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</si>
  <si>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</si>
  <si>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</si>
  <si>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</si>
  <si>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</si>
  <si>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</si>
  <si>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</si>
  <si>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</si>
  <si>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</si>
  <si>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</si>
  <si>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</si>
  <si>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</si>
  <si>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</si>
  <si>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</si>
  <si>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</si>
  <si>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</si>
  <si>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</si>
  <si>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</si>
  <si>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</si>
  <si>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</si>
  <si>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</si>
  <si>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</si>
  <si>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</si>
  <si>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</si>
  <si>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</si>
  <si>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</si>
  <si>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</si>
  <si>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</si>
  <si>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</si>
  <si>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</si>
  <si>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</si>
  <si>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</si>
  <si>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</si>
  <si>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</si>
  <si>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</si>
  <si>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</si>
  <si>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</si>
  <si>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</si>
  <si>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</si>
  <si>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</si>
  <si>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</si>
  <si>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</si>
  <si>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</si>
  <si>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</si>
  <si>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</si>
  <si>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</si>
  <si>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</si>
  <si>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</si>
  <si>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</si>
  <si>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</si>
  <si>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</si>
  <si>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</si>
  <si>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</si>
  <si>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</si>
  <si>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</si>
  <si>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</si>
  <si>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</si>
  <si>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</si>
  <si>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</si>
  <si>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</si>
  <si>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</si>
  <si>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</si>
  <si>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</si>
  <si>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</si>
  <si>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</si>
  <si>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</si>
  <si>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</si>
  <si>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</si>
  <si>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</si>
  <si>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</si>
  <si>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</si>
  <si>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</si>
  <si>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</si>
  <si>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</si>
  <si>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</si>
  <si>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</si>
  <si>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</si>
  <si>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</si>
  <si>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</si>
  <si>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</si>
  <si>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</si>
  <si>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</si>
  <si>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</si>
  <si>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</si>
  <si>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</si>
  <si>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</si>
  <si>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</si>
  <si>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</si>
  <si>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</si>
  <si>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</si>
  <si>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</si>
  <si>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</si>
  <si>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</si>
  <si>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</si>
  <si>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</si>
  <si>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</si>
  <si>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</si>
  <si>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</si>
  <si>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</si>
  <si>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</si>
  <si>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</si>
  <si>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</si>
  <si>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</si>
  <si>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</si>
  <si>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</si>
  <si>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</si>
  <si>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</si>
  <si>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</si>
  <si>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</si>
  <si>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</si>
  <si>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</si>
  <si>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</si>
  <si>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</si>
  <si>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</si>
  <si>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</si>
  <si>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</si>
  <si>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</si>
  <si>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</si>
  <si>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</si>
  <si>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</si>
  <si>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</si>
  <si>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</si>
  <si>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</si>
  <si>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</si>
  <si>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</si>
  <si>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</si>
  <si>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</si>
  <si>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</si>
  <si>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</si>
  <si>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</si>
  <si>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</si>
  <si>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</si>
  <si>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</si>
  <si>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</si>
  <si>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</si>
  <si>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</si>
  <si>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</si>
  <si>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</si>
  <si>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</si>
  <si>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</si>
  <si>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</si>
  <si>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</si>
  <si>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</si>
  <si>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</si>
  <si>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</si>
  <si>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</si>
  <si>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</si>
  <si>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</si>
  <si>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</si>
  <si>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</si>
  <si>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</si>
  <si>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</si>
  <si>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</si>
  <si>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</si>
  <si>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</si>
  <si>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</si>
  <si>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</si>
  <si>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</si>
  <si>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</si>
  <si>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</si>
  <si>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</si>
  <si>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</si>
  <si>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</si>
  <si>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</si>
  <si>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</si>
  <si>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</si>
  <si>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</si>
  <si>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</si>
  <si>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</si>
  <si>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</si>
  <si>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</si>
  <si>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</si>
  <si>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</si>
  <si>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</si>
  <si>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</si>
  <si>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</si>
  <si>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</si>
  <si>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</si>
  <si>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</si>
  <si>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</si>
  <si>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</si>
  <si>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</si>
  <si>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</si>
  <si>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</si>
  <si>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</si>
  <si>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</si>
  <si>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</si>
  <si>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</si>
  <si>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</si>
  <si>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</si>
  <si>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</si>
  <si>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</si>
  <si>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</si>
  <si>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</si>
  <si>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</si>
  <si>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</si>
  <si>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</si>
  <si>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</si>
  <si>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</si>
  <si>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</si>
  <si>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</si>
  <si>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</si>
  <si>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</si>
  <si>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</si>
  <si>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</si>
  <si>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</si>
  <si>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</si>
  <si>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</si>
  <si>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</si>
  <si>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</si>
  <si>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</si>
  <si>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</si>
  <si>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</si>
  <si>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</si>
  <si>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</si>
  <si>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</si>
  <si>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</si>
  <si>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</si>
  <si>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</si>
  <si>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</si>
  <si>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</si>
  <si>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</si>
  <si>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</si>
  <si>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</si>
  <si>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</si>
  <si>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</si>
  <si>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</si>
  <si>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</si>
  <si>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</si>
  <si>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</si>
  <si>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</si>
  <si>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</si>
  <si>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</si>
  <si>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</si>
  <si>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</si>
  <si>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</si>
  <si>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</si>
  <si>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</si>
  <si>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</si>
  <si>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</si>
  <si>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</si>
  <si>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</si>
  <si>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</si>
  <si>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</si>
  <si>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</si>
  <si>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</si>
  <si>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</si>
  <si>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</si>
  <si>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</si>
  <si>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</si>
  <si>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</si>
  <si>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</si>
  <si>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</si>
  <si>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</si>
  <si>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</si>
  <si>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</si>
  <si>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</si>
  <si>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</si>
  <si>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</si>
  <si>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</si>
  <si>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</si>
  <si>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</si>
  <si>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</si>
  <si>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</si>
  <si>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</si>
  <si>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</si>
  <si>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</si>
  <si>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</si>
  <si>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</si>
  <si>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</si>
  <si>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</si>
  <si>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</si>
  <si>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</si>
  <si>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</si>
  <si>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</si>
  <si>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</si>
  <si>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</si>
  <si>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</si>
  <si>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</si>
  <si>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</si>
  <si>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</si>
  <si>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</si>
  <si>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</si>
  <si>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</si>
  <si>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</si>
  <si>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</si>
  <si>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</si>
  <si>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</si>
  <si>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</si>
  <si>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</si>
  <si>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</si>
  <si>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</si>
  <si>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</si>
  <si>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</si>
  <si>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</si>
  <si>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</si>
  <si>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</si>
  <si>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</si>
  <si>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</si>
  <si>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</si>
  <si>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</si>
  <si>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</si>
  <si>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</si>
  <si>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</si>
  <si>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</si>
  <si>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</si>
  <si>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</si>
  <si>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</si>
  <si>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</si>
  <si>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</si>
  <si>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</si>
  <si>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</si>
  <si>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</si>
  <si>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</si>
  <si>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</si>
  <si>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</si>
  <si>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</si>
  <si>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</si>
  <si>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</si>
  <si>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</si>
  <si>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</si>
  <si>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</si>
  <si>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</si>
  <si>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</si>
  <si>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</si>
  <si>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</si>
  <si>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</si>
  <si>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</si>
  <si>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</si>
  <si>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</si>
  <si>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</si>
  <si>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</si>
  <si>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</si>
  <si>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</si>
  <si>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</si>
  <si>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</si>
  <si>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</si>
  <si>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</si>
  <si>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</si>
  <si>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</si>
  <si>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</si>
  <si>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</si>
  <si>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</si>
  <si>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</si>
  <si>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</si>
  <si>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</si>
  <si>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</si>
  <si>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</si>
  <si>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</si>
  <si>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</si>
  <si>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</si>
  <si>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</si>
  <si>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</si>
  <si>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</si>
  <si>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</si>
  <si>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</si>
  <si>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</si>
  <si>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</si>
  <si>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</si>
  <si>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</si>
  <si>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</si>
  <si>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</si>
  <si>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</si>
  <si>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</si>
  <si>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</si>
  <si>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</si>
  <si>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</si>
  <si>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</si>
  <si>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</si>
  <si>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</si>
  <si>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</si>
  <si>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</si>
  <si>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</si>
  <si>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</si>
  <si>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</si>
  <si>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</si>
  <si>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</si>
  <si>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</si>
  <si>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</si>
  <si>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</si>
  <si>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</si>
  <si>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</si>
  <si>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</si>
  <si>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</si>
  <si>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</si>
  <si>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</si>
  <si>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</si>
  <si>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</si>
  <si>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</si>
  <si>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</si>
  <si>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</si>
  <si>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</si>
  <si>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</si>
  <si>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</si>
  <si>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</si>
  <si>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</si>
  <si>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</si>
  <si>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</si>
  <si>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</si>
  <si>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</si>
  <si>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</si>
  <si>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</si>
  <si>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</si>
  <si>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</si>
  <si>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</si>
  <si>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</si>
  <si>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</si>
  <si>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</si>
  <si>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</si>
  <si>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</si>
  <si>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</si>
  <si>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</si>
  <si>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</si>
  <si>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</si>
  <si>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</si>
  <si>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</si>
  <si>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</si>
  <si>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</si>
  <si>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</si>
  <si>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</si>
  <si>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</si>
  <si>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</si>
  <si>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</si>
  <si>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</si>
  <si>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</si>
  <si>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</si>
  <si>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</si>
  <si>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</si>
  <si>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</si>
  <si>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</si>
  <si>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</si>
  <si>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</si>
  <si>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</si>
  <si>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</si>
  <si>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</si>
  <si>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</si>
  <si>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</si>
  <si>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</si>
  <si>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</si>
  <si>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</si>
  <si>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</si>
  <si>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</si>
  <si>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</si>
  <si>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</si>
  <si>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</si>
  <si>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</si>
  <si>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</si>
  <si>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</si>
  <si>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</si>
  <si>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</si>
  <si>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</si>
  <si>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</si>
  <si>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</si>
  <si>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</si>
  <si>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</si>
  <si>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</si>
  <si>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</si>
  <si>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</si>
  <si>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</si>
  <si>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</si>
  <si>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</si>
  <si>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</si>
  <si>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</si>
  <si>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</si>
  <si>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</si>
  <si>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</si>
  <si>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</si>
  <si>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</si>
  <si>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</si>
  <si>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</si>
  <si>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</si>
  <si>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</si>
  <si>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</si>
  <si>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</si>
  <si>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</si>
  <si>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</si>
  <si>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</si>
  <si>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</si>
  <si>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</si>
  <si>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</si>
  <si>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</si>
  <si>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</si>
  <si>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</si>
  <si>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</si>
  <si>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</si>
  <si>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</si>
  <si>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</si>
  <si>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</si>
  <si>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</si>
  <si>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</si>
  <si>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</si>
  <si>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</si>
  <si>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</si>
  <si>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</si>
  <si>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</si>
  <si>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</si>
  <si>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</si>
  <si>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</si>
  <si>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</si>
  <si>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</si>
  <si>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</si>
  <si>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</si>
  <si>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</si>
  <si>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</si>
  <si>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</si>
  <si>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</si>
  <si>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</si>
  <si>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</si>
  <si>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</si>
  <si>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</si>
  <si>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</si>
  <si>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</si>
  <si>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</si>
  <si>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</si>
  <si>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</si>
  <si>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</si>
  <si>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</si>
  <si>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</si>
  <si>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</si>
  <si>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</si>
  <si>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</si>
  <si>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</si>
  <si>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</si>
  <si>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</si>
  <si>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</si>
  <si>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</si>
  <si>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</si>
  <si>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</si>
  <si>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</si>
  <si>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</si>
  <si>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</si>
  <si>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</si>
  <si>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</si>
  <si>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</si>
  <si>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</si>
  <si>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</si>
  <si>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</si>
  <si>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</si>
  <si>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</si>
  <si>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</si>
  <si>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</si>
  <si>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</si>
  <si>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</si>
  <si>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</si>
  <si>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</si>
  <si>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</si>
  <si>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</si>
  <si>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</si>
  <si>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</si>
  <si>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</si>
  <si>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</si>
  <si>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</si>
  <si>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</si>
  <si>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</si>
  <si>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</si>
  <si>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</si>
  <si>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</si>
  <si>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</si>
  <si>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</si>
  <si>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</si>
  <si>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</si>
  <si>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</si>
  <si>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</si>
  <si>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</si>
  <si>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</si>
  <si>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</si>
  <si>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</si>
  <si>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</si>
  <si>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</si>
  <si>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</si>
  <si>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</si>
  <si>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</si>
  <si>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</si>
  <si>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</si>
  <si>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</si>
  <si>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</si>
  <si>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</si>
  <si>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</si>
  <si>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</si>
  <si>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</si>
  <si>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</si>
  <si>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</si>
  <si>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</si>
  <si>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</si>
  <si>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</si>
  <si>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</si>
  <si>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</si>
  <si>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</si>
  <si>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</si>
  <si>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</si>
  <si>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</si>
  <si>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</si>
  <si>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</si>
  <si>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</si>
  <si>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</si>
  <si>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</si>
  <si>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</si>
  <si>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</si>
  <si>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</si>
  <si>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</si>
  <si>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</si>
  <si>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</si>
  <si>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</si>
  <si>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</si>
  <si>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</si>
  <si>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</si>
  <si>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</si>
  <si>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</si>
  <si>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</si>
  <si>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</si>
  <si>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</si>
  <si>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</si>
  <si>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</si>
  <si>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</si>
  <si>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</si>
  <si>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</si>
  <si>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</si>
  <si>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</si>
  <si>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</si>
  <si>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</si>
  <si>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</si>
  <si>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</si>
  <si>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</si>
  <si>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</si>
  <si>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</si>
  <si>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</si>
  <si>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</si>
  <si>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</si>
  <si>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</si>
  <si>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</si>
  <si>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</si>
  <si>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</si>
  <si>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</si>
  <si>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</si>
  <si>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</si>
  <si>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</si>
  <si>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</si>
  <si>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</si>
  <si>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</si>
  <si>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</si>
  <si>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</si>
  <si>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</si>
  <si>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</si>
  <si>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</si>
  <si>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</si>
  <si>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</si>
  <si>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</si>
  <si>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</si>
  <si>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</si>
  <si>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</si>
  <si>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</si>
  <si>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</si>
  <si>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</si>
  <si>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</si>
  <si>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</si>
  <si>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</si>
  <si>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</si>
  <si>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</si>
  <si>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</si>
  <si>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</si>
  <si>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</si>
  <si>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</si>
  <si>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</si>
  <si>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</si>
  <si>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</si>
  <si>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</si>
  <si>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</si>
  <si>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</si>
  <si>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</si>
  <si>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</si>
  <si>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</si>
  <si>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</si>
  <si>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</si>
  <si>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</si>
  <si>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</si>
  <si>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</si>
  <si>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</si>
  <si>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</si>
  <si>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</si>
  <si>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</si>
  <si>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</si>
  <si>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</si>
  <si>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</si>
  <si>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</si>
  <si>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</si>
  <si>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</si>
  <si>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</si>
  <si>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</si>
  <si>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</si>
  <si>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</si>
  <si>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</si>
  <si>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</si>
  <si>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</si>
  <si>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</si>
  <si>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</si>
  <si>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</si>
  <si>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</si>
  <si>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</si>
  <si>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</si>
  <si>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</si>
  <si>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</si>
  <si>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</si>
  <si>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</si>
  <si>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</si>
  <si>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</si>
  <si>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</si>
  <si>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</si>
  <si>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</si>
  <si>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</si>
  <si>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</si>
  <si>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</si>
  <si>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</si>
  <si>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</si>
  <si>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</si>
  <si>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</si>
  <si>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</si>
  <si>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</si>
  <si>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</si>
  <si>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</si>
  <si>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</si>
  <si>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</si>
  <si>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</si>
  <si>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</si>
  <si>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</si>
  <si>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</si>
  <si>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</si>
  <si>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</si>
  <si>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</si>
  <si>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</si>
  <si>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</si>
  <si>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</si>
  <si>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</si>
  <si>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</si>
  <si>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</si>
  <si>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</si>
  <si>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</si>
  <si>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</si>
  <si>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</si>
  <si>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</si>
  <si>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</si>
  <si>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</si>
  <si>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</si>
  <si>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</si>
  <si>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</si>
  <si>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</si>
  <si>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</si>
  <si>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</si>
  <si>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</si>
  <si>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</si>
  <si>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</si>
  <si>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</si>
  <si>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</si>
  <si>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</si>
  <si>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</si>
  <si>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</si>
  <si>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</si>
  <si>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</si>
  <si>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</si>
  <si>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</si>
  <si>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</si>
  <si>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</si>
  <si>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</si>
  <si>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</si>
  <si>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</si>
  <si>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</si>
  <si>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</si>
  <si>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</si>
  <si>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</si>
  <si>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</si>
  <si>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</si>
  <si>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</si>
  <si>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</si>
  <si>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</si>
  <si>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</si>
  <si>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</si>
  <si>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</si>
  <si>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</si>
  <si>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</si>
  <si>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</si>
  <si>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</si>
  <si>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</si>
  <si>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</si>
  <si>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</si>
  <si>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</si>
  <si>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</si>
  <si>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</si>
  <si>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</si>
  <si>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</si>
  <si>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</si>
  <si>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</si>
  <si>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</si>
  <si>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</si>
  <si>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</si>
  <si>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</si>
  <si>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</si>
  <si>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</si>
  <si>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</si>
  <si>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</si>
  <si>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</si>
  <si>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</si>
  <si>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</si>
  <si>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</si>
  <si>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</si>
  <si>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</si>
  <si>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</si>
  <si>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</si>
  <si>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</si>
  <si>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</si>
  <si>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</si>
  <si>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</si>
  <si>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</si>
  <si>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</si>
  <si>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</si>
  <si>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</si>
  <si>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</si>
  <si>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</si>
  <si>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</si>
  <si>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</si>
  <si>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</si>
  <si>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</si>
  <si>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</si>
  <si>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</si>
  <si>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</si>
  <si>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</si>
  <si>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</si>
  <si>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</si>
  <si>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</si>
  <si>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</si>
  <si>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</si>
  <si>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</si>
  <si>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</si>
  <si>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</si>
  <si>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</si>
  <si>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</si>
  <si>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</si>
  <si>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</si>
  <si>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</si>
  <si>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</si>
  <si>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</si>
  <si>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</si>
  <si>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</si>
  <si>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</si>
  <si>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</si>
  <si>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</si>
  <si>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</si>
  <si>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</si>
  <si>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</si>
  <si>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</si>
  <si>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</si>
  <si>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</si>
  <si>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</si>
  <si>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</si>
  <si>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</si>
  <si>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</si>
  <si>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</si>
  <si>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</si>
  <si>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</si>
  <si>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</si>
  <si>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</si>
  <si>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</si>
  <si>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</si>
  <si>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</si>
  <si>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</si>
  <si>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</si>
  <si>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</si>
  <si>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</si>
  <si>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</si>
  <si>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</si>
  <si>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</si>
  <si>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</si>
  <si>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</si>
  <si>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</si>
  <si>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</si>
  <si>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</si>
  <si>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</si>
  <si>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</si>
  <si>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</si>
  <si>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</si>
  <si>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</si>
  <si>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</si>
  <si>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</si>
  <si>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</si>
  <si>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</si>
  <si>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</si>
  <si>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</si>
  <si>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</si>
  <si>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</si>
  <si>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</si>
  <si>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</si>
  <si>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</si>
  <si>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</si>
  <si>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</si>
  <si>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</si>
  <si>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</si>
  <si>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</si>
  <si>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</si>
  <si>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</si>
  <si>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</si>
  <si>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</si>
  <si>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</si>
  <si>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</si>
  <si>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</si>
  <si>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</si>
  <si>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</si>
  <si>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</si>
  <si>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</si>
  <si>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</si>
  <si>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</si>
  <si>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</si>
  <si>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</si>
  <si>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</si>
  <si>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</si>
  <si>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</si>
  <si>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</si>
  <si>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</si>
  <si>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</si>
  <si>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</si>
  <si>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</si>
  <si>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</si>
  <si>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</si>
  <si>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</si>
  <si>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</si>
  <si>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</si>
  <si>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</si>
  <si>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</si>
  <si>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</si>
  <si>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</si>
  <si>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</si>
  <si>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</si>
  <si>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</si>
  <si>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</si>
  <si>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</si>
  <si>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</si>
  <si>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</si>
  <si>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</si>
  <si>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</si>
  <si>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</si>
  <si>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</si>
  <si>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</si>
  <si>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</si>
  <si>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</si>
  <si>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</si>
  <si>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</si>
  <si>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</si>
  <si>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</si>
  <si>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</si>
  <si>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</si>
  <si>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</si>
  <si>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</si>
  <si>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</si>
  <si>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</si>
  <si>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</si>
  <si>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</si>
  <si>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</si>
  <si>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</si>
  <si>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</si>
  <si>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</si>
  <si>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</si>
  <si>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</si>
  <si>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</si>
  <si>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</si>
  <si>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</si>
  <si>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</si>
  <si>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</si>
  <si>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</si>
  <si>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</si>
  <si>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</si>
  <si>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</si>
  <si>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</si>
  <si>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</si>
  <si>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</si>
  <si>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</si>
  <si>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</si>
  <si>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</si>
  <si>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</si>
  <si>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</si>
  <si>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</si>
  <si>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</si>
  <si>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</si>
  <si>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</si>
  <si>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</si>
  <si>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</si>
  <si>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</si>
  <si>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</si>
  <si>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</si>
  <si>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</si>
  <si>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</si>
  <si>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</si>
  <si>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</si>
  <si>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</si>
  <si>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</si>
  <si>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</si>
  <si>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</si>
  <si>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</si>
  <si>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</si>
  <si>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</si>
  <si>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</si>
  <si>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</si>
  <si>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</si>
  <si>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</si>
  <si>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</si>
  <si>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</si>
  <si>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</si>
  <si>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</si>
  <si>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</si>
  <si>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</si>
  <si>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</si>
  <si>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</si>
  <si>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</si>
  <si>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</si>
  <si>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</si>
  <si>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</si>
  <si>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</si>
  <si>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</si>
  <si>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</si>
  <si>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</si>
  <si>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</si>
  <si>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</si>
  <si>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</si>
  <si>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</si>
  <si>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</si>
  <si>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</si>
  <si>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</si>
  <si>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</si>
  <si>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</si>
  <si>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</si>
  <si>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</si>
  <si>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</si>
  <si>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</si>
  <si>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</si>
  <si>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</si>
  <si>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</si>
  <si>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</si>
  <si>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</si>
  <si>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</si>
  <si>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</si>
  <si>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</si>
  <si>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</si>
  <si>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</si>
  <si>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</si>
  <si>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</si>
  <si>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</si>
  <si>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</si>
  <si>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</si>
  <si>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</si>
  <si>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</si>
  <si>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</si>
  <si>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</si>
  <si>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</si>
  <si>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</si>
  <si>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</si>
  <si>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</si>
  <si>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</si>
  <si>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</si>
  <si>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</si>
  <si>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</si>
  <si>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</si>
  <si>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</si>
  <si>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</si>
  <si>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</si>
  <si>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</si>
  <si>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</si>
  <si>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</si>
  <si>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</si>
  <si>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</si>
  <si>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</si>
  <si>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</si>
  <si>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</si>
  <si>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</si>
  <si>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</si>
  <si>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</si>
  <si>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</si>
  <si>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</si>
  <si>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</si>
  <si>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</si>
  <si>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</si>
  <si>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</si>
  <si>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</si>
  <si>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</si>
  <si>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</si>
  <si>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</si>
  <si>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</si>
  <si>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</si>
  <si>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</si>
  <si>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</si>
  <si>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</si>
  <si>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</si>
  <si>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</si>
  <si>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</si>
  <si>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</si>
  <si>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</si>
  <si>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</si>
  <si>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</si>
  <si>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</si>
  <si>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</si>
  <si>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</si>
  <si>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</si>
  <si>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</si>
  <si>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</si>
  <si>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</si>
  <si>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</si>
  <si>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</si>
  <si>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</si>
  <si>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</si>
  <si>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</si>
  <si>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</si>
  <si>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</si>
  <si>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</si>
  <si>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</si>
  <si>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</si>
  <si>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</si>
  <si>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</si>
  <si>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</si>
  <si>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</si>
  <si>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</si>
  <si>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</si>
  <si>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</si>
  <si>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</si>
  <si>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</si>
  <si>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</si>
  <si>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</si>
  <si>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</si>
  <si>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</si>
  <si>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</si>
  <si>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</si>
  <si>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</si>
  <si>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</si>
  <si>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</si>
  <si>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</si>
  <si>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</si>
  <si>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</si>
  <si>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</si>
  <si>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</si>
  <si>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</si>
  <si>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</si>
  <si>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</si>
  <si>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</si>
  <si>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</si>
  <si>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</si>
  <si>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</si>
  <si>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</si>
  <si>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</si>
  <si>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</si>
  <si>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</si>
  <si>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</si>
  <si>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</si>
  <si>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</si>
  <si>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</si>
  <si>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</si>
  <si>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</si>
  <si>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</si>
  <si>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</si>
  <si>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</si>
  <si>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</si>
  <si>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</si>
  <si>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</si>
  <si>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</si>
  <si>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</si>
  <si>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</si>
  <si>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</si>
  <si>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</si>
  <si>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</si>
  <si>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의무설치
(면수)</t>
    <phoneticPr fontId="1" type="noConversion"/>
  </si>
  <si>
    <t>의무설치
(시설)</t>
    <phoneticPr fontId="1" type="noConversion"/>
  </si>
  <si>
    <t>실제설치
(지상)</t>
    <phoneticPr fontId="1" type="noConversion"/>
  </si>
  <si>
    <t>실제설치
(지하)</t>
    <phoneticPr fontId="1" type="noConversion"/>
  </si>
  <si>
    <t>실제설치
(급속)</t>
    <phoneticPr fontId="1" type="noConversion"/>
  </si>
  <si>
    <t>실제설치
(완속)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</si>
  <si>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</si>
  <si>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</si>
  <si>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</si>
  <si>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</si>
  <si>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</si>
  <si>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</si>
  <si>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</si>
  <si>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</si>
  <si>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</si>
  <si>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</si>
  <si>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</si>
  <si>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</si>
  <si>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</si>
  <si>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</si>
  <si>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</si>
  <si>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</si>
  <si>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</si>
  <si>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</si>
  <si>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</si>
  <si>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</si>
  <si>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</si>
  <si>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</si>
  <si>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</si>
  <si>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</si>
  <si>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</si>
  <si>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</si>
  <si>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</si>
  <si>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</si>
  <si>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</si>
  <si>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</si>
  <si>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</si>
  <si>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</si>
  <si>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</si>
  <si>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</si>
  <si>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</si>
  <si>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</si>
  <si>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</si>
  <si>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</si>
  <si>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</si>
  <si>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</si>
  <si>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</si>
  <si>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</si>
  <si>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</si>
  <si>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</si>
  <si>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</si>
  <si>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</si>
  <si>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</si>
  <si>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</si>
  <si>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</si>
  <si>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</si>
  <si>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</si>
  <si>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</si>
  <si>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</si>
  <si>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</si>
  <si>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</si>
  <si>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</si>
  <si>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</si>
  <si>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</si>
  <si>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</si>
  <si>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</si>
  <si>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</si>
  <si>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</si>
  <si>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</si>
  <si>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</si>
  <si>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</si>
  <si>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</si>
  <si>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</si>
  <si>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</si>
  <si>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</si>
  <si>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</si>
  <si>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</si>
  <si>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</si>
  <si>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</si>
  <si>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</si>
  <si>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</si>
  <si>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</si>
  <si>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</si>
  <si>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</si>
  <si>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</si>
  <si>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</si>
  <si>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</si>
  <si>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</si>
  <si>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</si>
  <si>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</si>
  <si>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</si>
  <si>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</si>
  <si>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</si>
  <si>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</si>
  <si>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</si>
  <si>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</si>
  <si>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</si>
  <si>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</si>
  <si>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</si>
  <si>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</si>
  <si>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</si>
  <si>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</si>
  <si>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</si>
  <si>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</si>
  <si>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</si>
  <si>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</si>
  <si>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</si>
  <si>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</si>
  <si>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</si>
  <si>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</si>
  <si>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</si>
  <si>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</si>
  <si>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</si>
  <si>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</si>
  <si>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</si>
  <si>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</si>
  <si>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</si>
  <si>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</si>
  <si>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</si>
  <si>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</si>
  <si>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</si>
  <si>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</si>
  <si>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</si>
  <si>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</si>
  <si>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</si>
  <si>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</si>
  <si>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</si>
  <si>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</si>
  <si>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</si>
  <si>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</si>
  <si>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</si>
  <si>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</si>
  <si>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</si>
  <si>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</si>
  <si>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</si>
  <si>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</si>
  <si>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</si>
  <si>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</si>
  <si>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</si>
  <si>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</si>
  <si>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</si>
  <si>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</si>
  <si>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</si>
  <si>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</si>
  <si>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</si>
  <si>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</si>
  <si>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</si>
  <si>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</si>
  <si>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</si>
  <si>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</si>
  <si>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</si>
  <si>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</si>
  <si>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</si>
  <si>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</si>
  <si>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</si>
  <si>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</si>
  <si>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</si>
  <si>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</si>
  <si>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</si>
  <si>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</si>
  <si>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</si>
  <si>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</si>
  <si>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</si>
  <si>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</si>
  <si>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</si>
  <si>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</si>
  <si>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</si>
  <si>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</si>
  <si>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</si>
  <si>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</si>
  <si>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</si>
  <si>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</si>
  <si>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</si>
  <si>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</si>
  <si>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</si>
  <si>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</si>
  <si>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</si>
  <si>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</si>
  <si>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</si>
  <si>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</si>
  <si>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</si>
  <si>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</si>
  <si>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</si>
  <si>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</si>
  <si>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</si>
  <si>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</si>
  <si>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</si>
  <si>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</si>
  <si>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</si>
  <si>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</si>
  <si>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</si>
  <si>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</si>
  <si>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</si>
  <si>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</si>
  <si>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</si>
  <si>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</si>
  <si>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</si>
  <si>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</si>
  <si>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</si>
  <si>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</si>
  <si>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</si>
  <si>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</si>
  <si>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</si>
  <si>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</si>
  <si>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</si>
  <si>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</si>
  <si>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</si>
  <si>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</si>
  <si>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</si>
  <si>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</si>
  <si>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</si>
  <si>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</si>
  <si>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</si>
  <si>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</si>
  <si>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</si>
  <si>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</si>
  <si>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</si>
  <si>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</si>
  <si>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</si>
  <si>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</si>
  <si>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</si>
  <si>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</si>
  <si>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</si>
  <si>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</si>
  <si>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</si>
  <si>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</si>
  <si>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</si>
  <si>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</si>
  <si>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</si>
  <si>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</si>
  <si>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</si>
  <si>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</si>
  <si>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</si>
  <si>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</si>
  <si>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</si>
  <si>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</si>
  <si>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</si>
  <si>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</si>
  <si>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</si>
  <si>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</si>
  <si>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</si>
  <si>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</si>
  <si>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</si>
  <si>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</si>
  <si>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</si>
  <si>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</si>
  <si>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</si>
  <si>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</si>
  <si>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</si>
  <si>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</si>
  <si>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</si>
  <si>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</si>
  <si>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</si>
  <si>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</si>
  <si>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</si>
  <si>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</si>
  <si>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</si>
  <si>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</si>
  <si>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</si>
  <si>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</si>
  <si>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</si>
  <si>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</si>
  <si>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</si>
  <si>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</si>
  <si>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</si>
  <si>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</si>
  <si>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</si>
  <si>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</si>
  <si>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</si>
  <si>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</si>
  <si>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</si>
  <si>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</si>
  <si>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</si>
  <si>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</si>
  <si>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</si>
  <si>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</si>
  <si>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</si>
  <si>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</si>
  <si>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</si>
  <si>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</si>
  <si>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</si>
  <si>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</si>
  <si>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</si>
  <si>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</si>
  <si>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</si>
  <si>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</si>
  <si>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</si>
  <si>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</si>
  <si>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</si>
  <si>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</si>
  <si>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</si>
  <si>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</si>
  <si>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</si>
  <si>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</si>
  <si>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</si>
  <si>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</si>
  <si>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</si>
  <si>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</si>
  <si>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</si>
  <si>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</si>
  <si>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</si>
  <si>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</si>
  <si>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</si>
  <si>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</si>
  <si>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</si>
  <si>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</si>
  <si>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</si>
  <si>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</si>
  <si>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</si>
  <si>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</si>
  <si>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</si>
  <si>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</si>
  <si>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</si>
  <si>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</si>
  <si>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</si>
  <si>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</si>
  <si>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</si>
  <si>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</si>
  <si>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</si>
  <si>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</si>
  <si>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</si>
  <si>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</si>
  <si>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</si>
  <si>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</si>
  <si>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</si>
  <si>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</si>
  <si>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</si>
  <si>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</si>
  <si>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</si>
  <si>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</si>
  <si>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</si>
  <si>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</si>
  <si>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</si>
  <si>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</si>
  <si>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</si>
  <si>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</si>
  <si>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</si>
  <si>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</si>
  <si>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</si>
  <si>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</si>
  <si>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</si>
  <si>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</si>
  <si>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</si>
  <si>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</si>
  <si>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</si>
  <si>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</si>
  <si>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</si>
  <si>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</si>
  <si>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</si>
  <si>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</si>
  <si>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</si>
  <si>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</si>
  <si>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</si>
  <si>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</si>
  <si>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</si>
  <si>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</si>
  <si>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</si>
  <si>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</si>
  <si>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</si>
  <si>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</si>
  <si>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</si>
  <si>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</si>
  <si>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</si>
  <si>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</si>
  <si>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</si>
  <si>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</si>
  <si>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</si>
  <si>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</si>
  <si>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</si>
  <si>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</si>
  <si>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</si>
  <si>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</si>
  <si>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</si>
  <si>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</si>
  <si>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</si>
  <si>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</si>
  <si>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</si>
  <si>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</si>
  <si>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</si>
  <si>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</si>
  <si>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</si>
  <si>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</si>
  <si>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</si>
  <si>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</si>
  <si>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</si>
  <si>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</si>
  <si>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</si>
  <si>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</si>
  <si>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</si>
  <si>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</si>
  <si>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</si>
  <si>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</si>
  <si>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</si>
  <si>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</si>
  <si>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</si>
  <si>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</si>
  <si>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</si>
  <si>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</si>
  <si>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</si>
  <si>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</si>
  <si>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</si>
  <si>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</si>
  <si>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</si>
  <si>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</si>
  <si>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</si>
  <si>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</si>
  <si>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</si>
  <si>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</si>
  <si>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</si>
  <si>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</si>
  <si>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</si>
  <si>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</si>
  <si>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</si>
  <si>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</si>
  <si>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</si>
  <si>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</si>
  <si>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</si>
  <si>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</si>
  <si>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</si>
  <si>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</si>
  <si>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</si>
  <si>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</si>
  <si>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</si>
  <si>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</si>
  <si>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</si>
  <si>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</si>
  <si>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</si>
  <si>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</si>
  <si>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</si>
  <si>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</si>
  <si>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</si>
  <si>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</si>
  <si>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</si>
  <si>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</si>
  <si>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</si>
  <si>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</si>
  <si>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</si>
  <si>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</si>
  <si>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</si>
  <si>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</si>
  <si>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</si>
  <si>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</si>
  <si>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</si>
  <si>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</si>
  <si>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</si>
  <si>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</si>
  <si>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</si>
  <si>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</si>
  <si>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</si>
  <si>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</si>
  <si>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</si>
  <si>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</si>
  <si>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</si>
  <si>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</si>
  <si>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</si>
  <si>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</si>
  <si>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</si>
  <si>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</si>
  <si>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</si>
  <si>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</si>
  <si>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</si>
  <si>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</si>
  <si>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</si>
  <si>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</si>
  <si>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</si>
  <si>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</si>
  <si>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</si>
  <si>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</si>
  <si>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</si>
  <si>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</si>
  <si>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</si>
  <si>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</si>
  <si>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</si>
  <si>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</si>
  <si>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</si>
  <si>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</si>
  <si>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</si>
  <si>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</si>
  <si>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</si>
  <si>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</si>
  <si>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</si>
  <si>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</si>
  <si>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</si>
  <si>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</si>
  <si>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</si>
  <si>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</si>
  <si>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</si>
  <si>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</si>
  <si>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</si>
  <si>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</si>
  <si>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</si>
  <si>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</si>
  <si>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</si>
  <si>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</si>
  <si>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</si>
  <si>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</si>
  <si>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</si>
  <si>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</si>
  <si>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</si>
  <si>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</si>
  <si>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</si>
  <si>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</si>
  <si>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</si>
  <si>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</si>
  <si>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</si>
  <si>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</si>
  <si>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</si>
  <si>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</si>
  <si>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</si>
  <si>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</si>
  <si>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</si>
  <si>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</si>
  <si>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</si>
  <si>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</si>
  <si>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</si>
  <si>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</si>
  <si>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</si>
  <si>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</si>
  <si>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</si>
  <si>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</si>
  <si>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</si>
  <si>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</si>
  <si>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</si>
  <si>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</si>
  <si>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</si>
  <si>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</si>
  <si>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</si>
  <si>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</si>
  <si>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</si>
  <si>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</si>
  <si>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</si>
  <si>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</si>
  <si>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</si>
  <si>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</si>
  <si>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</si>
  <si>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</si>
  <si>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</si>
  <si>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공문(시행계획)</t>
    <phoneticPr fontId="1" type="noConversion"/>
  </si>
  <si>
    <t>공문(시행계획)</t>
    <phoneticPr fontId="1" type="noConversion"/>
  </si>
  <si>
    <t>25.12.2. 공문회신(시민경제과-35388)</t>
    <phoneticPr fontId="1" type="noConversion"/>
  </si>
  <si>
    <t>26.7.이행예정</t>
    <phoneticPr fontId="1" type="noConversion"/>
  </si>
  <si>
    <t>광산구 소관 주차장 설치의무 이행 완료 추진계획(각과장님협조)</t>
    <phoneticPr fontId="1" type="noConversion"/>
  </si>
  <si>
    <t>25.12.2. 공문회신(시민경제과-35388)</t>
    <phoneticPr fontId="1" type="noConversion"/>
  </si>
  <si>
    <t>26.3.이행예정</t>
    <phoneticPr fontId="1" type="noConversion"/>
  </si>
  <si>
    <t>3월이행했는지 출장필요</t>
    <phoneticPr fontId="1" type="noConversion"/>
  </si>
  <si>
    <t>광산구 소관 주차장 설치의무 이행 완료 추진계획(각과장님협조)</t>
    <phoneticPr fontId="1" type="noConversion"/>
  </si>
  <si>
    <t>3월이행했는지 출장필요</t>
    <phoneticPr fontId="1" type="noConversion"/>
  </si>
  <si>
    <t>26.1.5. 공문회신(체육진흥과-84)</t>
    <phoneticPr fontId="1" type="noConversion"/>
  </si>
  <si>
    <t>26.1.5. 공문회신(체육진흥과-84)</t>
    <phoneticPr fontId="1" type="noConversion"/>
  </si>
  <si>
    <t>26.5.이행예정</t>
    <phoneticPr fontId="1" type="noConversion"/>
  </si>
  <si>
    <t>기후부 보조사업 신청 완료</t>
    <phoneticPr fontId="1" type="noConversion"/>
  </si>
  <si>
    <t>기후부 보조사업 신청 완료</t>
    <phoneticPr fontId="1" type="noConversion"/>
  </si>
  <si>
    <t>하천구역 면제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</si>
  <si>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</si>
  <si>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</si>
  <si>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</si>
  <si>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26.1.9.공문회신(청소행정과-1244)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</si>
  <si>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</si>
  <si>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</si>
  <si>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</si>
  <si>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</si>
  <si>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</si>
  <si>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</si>
  <si>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</si>
  <si>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</si>
  <si>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</si>
  <si>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</si>
  <si>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</si>
  <si>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</si>
  <si>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</si>
  <si>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</si>
  <si>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</si>
  <si>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</si>
  <si>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</si>
  <si>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</si>
  <si>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</si>
  <si>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</si>
  <si>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</si>
  <si>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</si>
  <si>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</si>
  <si>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</si>
  <si>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</si>
  <si>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</si>
  <si>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</si>
  <si>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</si>
  <si>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</si>
  <si>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</si>
  <si>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</si>
  <si>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</si>
  <si>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</si>
  <si>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</si>
  <si>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</si>
  <si>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</si>
  <si>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</si>
  <si>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</si>
  <si>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</si>
  <si>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</si>
  <si>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</si>
  <si>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</si>
  <si>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</si>
  <si>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</si>
  <si>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</si>
  <si>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</si>
  <si>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</si>
  <si>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</si>
  <si>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</si>
  <si>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</si>
  <si>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</si>
  <si>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</si>
  <si>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</si>
  <si>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</si>
  <si>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</si>
  <si>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</si>
  <si>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</si>
  <si>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</si>
  <si>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</si>
  <si>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</si>
  <si>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</si>
  <si>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</si>
  <si>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</si>
  <si>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</si>
  <si>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</si>
  <si>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</si>
  <si>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</si>
  <si>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</si>
  <si>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</si>
  <si>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</si>
  <si>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</si>
  <si>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</si>
  <si>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</si>
  <si>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</si>
  <si>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</si>
  <si>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</si>
  <si>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</si>
  <si>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</si>
  <si>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</si>
  <si>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</si>
  <si>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</si>
  <si>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</si>
  <si>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</si>
  <si>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</si>
  <si>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</si>
  <si>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</si>
  <si>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</si>
  <si>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</si>
  <si>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</si>
  <si>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</si>
  <si>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</si>
  <si>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</si>
  <si>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</si>
  <si>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</si>
  <si>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</si>
  <si>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</si>
  <si>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</si>
  <si>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</si>
  <si>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</si>
  <si>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</si>
  <si>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</si>
  <si>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</si>
  <si>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</si>
  <si>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</si>
  <si>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</si>
  <si>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</si>
  <si>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</si>
  <si>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</si>
  <si>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</si>
  <si>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</si>
  <si>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</si>
  <si>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</si>
  <si>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</si>
  <si>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</si>
  <si>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</si>
  <si>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</si>
  <si>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</si>
  <si>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</si>
  <si>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</si>
  <si>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</si>
  <si>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</si>
  <si>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</si>
  <si>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</si>
  <si>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</si>
  <si>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</si>
  <si>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</si>
  <si>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</si>
  <si>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</si>
  <si>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</si>
  <si>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</si>
  <si>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</si>
  <si>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</si>
  <si>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</si>
  <si>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</si>
  <si>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</si>
  <si>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</si>
  <si>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</si>
  <si>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</si>
  <si>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</si>
  <si>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</si>
  <si>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</si>
  <si>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</si>
  <si>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</si>
  <si>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</si>
  <si>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</si>
  <si>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</si>
  <si>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</si>
  <si>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</si>
  <si>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</si>
  <si>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</si>
  <si>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</si>
  <si>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</si>
  <si>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</si>
  <si>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</si>
  <si>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</si>
  <si>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</si>
  <si>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</si>
  <si>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</si>
  <si>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</si>
  <si>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</si>
  <si>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</si>
  <si>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</si>
  <si>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</si>
  <si>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</si>
  <si>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</si>
  <si>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</si>
  <si>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</si>
  <si>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</si>
  <si>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</si>
  <si>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</si>
  <si>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</si>
  <si>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</si>
  <si>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</si>
  <si>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</si>
  <si>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</si>
  <si>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</si>
  <si>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</si>
  <si>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</si>
  <si>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</si>
  <si>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</si>
  <si>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</si>
  <si>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</si>
  <si>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</si>
  <si>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</si>
  <si>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</si>
  <si>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</si>
  <si>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</si>
  <si>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</si>
  <si>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</si>
  <si>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</si>
  <si>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</si>
  <si>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</si>
  <si>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</si>
  <si>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</si>
  <si>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</si>
  <si>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</si>
  <si>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</si>
  <si>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</si>
  <si>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</si>
  <si>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</si>
  <si>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</si>
  <si>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</si>
  <si>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</si>
  <si>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</si>
  <si>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</si>
  <si>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</si>
  <si>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</si>
  <si>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</si>
  <si>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</si>
  <si>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</si>
  <si>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</si>
  <si>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</si>
  <si>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</si>
  <si>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</si>
  <si>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</si>
  <si>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</si>
  <si>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</si>
  <si>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</si>
  <si>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</si>
  <si>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</si>
  <si>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</si>
  <si>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</si>
  <si>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</si>
  <si>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</si>
  <si>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</si>
  <si>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</si>
  <si>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</si>
  <si>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</si>
  <si>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</si>
  <si>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</si>
  <si>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</si>
  <si>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</si>
  <si>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</si>
  <si>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</si>
  <si>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</si>
  <si>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</si>
  <si>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</si>
  <si>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</si>
  <si>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</si>
  <si>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</si>
  <si>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</si>
  <si>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</si>
  <si>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</si>
  <si>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</si>
  <si>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</si>
  <si>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</si>
  <si>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</si>
  <si>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</si>
  <si>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</si>
  <si>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</si>
  <si>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</si>
  <si>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</si>
  <si>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</si>
  <si>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</si>
  <si>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</si>
  <si>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</si>
  <si>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</si>
  <si>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</si>
  <si>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</si>
  <si>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</si>
  <si>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</si>
  <si>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</si>
  <si>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</si>
  <si>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</si>
  <si>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</si>
  <si>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</si>
  <si>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</si>
  <si>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</si>
  <si>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</si>
  <si>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</si>
  <si>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</si>
  <si>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</si>
  <si>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</si>
  <si>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</si>
  <si>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</si>
  <si>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</si>
  <si>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</si>
  <si>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</si>
  <si>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</si>
  <si>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</si>
  <si>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</si>
  <si>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</si>
  <si>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</si>
  <si>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</si>
  <si>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</si>
  <si>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</si>
  <si>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</si>
  <si>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</si>
  <si>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</si>
  <si>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</si>
  <si>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</si>
  <si>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</si>
  <si>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</si>
  <si>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</si>
  <si>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</si>
  <si>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</si>
  <si>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</si>
  <si>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</si>
  <si>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</si>
  <si>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</si>
  <si>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</si>
  <si>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</si>
  <si>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</si>
  <si>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</si>
  <si>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</si>
  <si>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</si>
  <si>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</si>
  <si>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</si>
  <si>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</si>
  <si>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</si>
  <si>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</si>
  <si>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</si>
  <si>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</si>
  <si>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</si>
  <si>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</si>
  <si>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</si>
  <si>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</si>
  <si>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</si>
  <si>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</si>
  <si>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</si>
  <si>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</si>
  <si>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</si>
  <si>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</si>
  <si>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</si>
  <si>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</si>
  <si>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</si>
  <si>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</si>
  <si>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</si>
  <si>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</si>
  <si>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</si>
  <si>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</si>
  <si>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</si>
  <si>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</si>
  <si>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</si>
  <si>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</si>
  <si>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</si>
  <si>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</si>
  <si>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</si>
  <si>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</si>
  <si>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</si>
  <si>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</si>
  <si>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</si>
  <si>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</si>
  <si>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</si>
  <si>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</si>
  <si>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</si>
  <si>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</si>
  <si>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</si>
  <si>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</si>
  <si>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</si>
  <si>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</si>
  <si>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</si>
  <si>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</si>
  <si>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</si>
  <si>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</si>
  <si>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</si>
  <si>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</si>
  <si>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</si>
  <si>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</si>
  <si>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</si>
  <si>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</si>
  <si>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</si>
  <si>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</si>
  <si>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</si>
  <si>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</si>
  <si>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</si>
  <si>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</si>
  <si>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</si>
  <si>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</si>
  <si>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</si>
  <si>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</si>
  <si>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</si>
  <si>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</si>
  <si>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</si>
  <si>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</si>
  <si>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</si>
  <si>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</si>
  <si>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</si>
  <si>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</si>
  <si>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</si>
  <si>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</si>
  <si>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</si>
  <si>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</si>
  <si>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</si>
  <si>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</si>
  <si>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</si>
  <si>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</si>
  <si>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</si>
  <si>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</si>
  <si>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</si>
  <si>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</si>
  <si>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</si>
  <si>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</si>
  <si>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</si>
  <si>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</si>
  <si>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</si>
  <si>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</si>
  <si>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</si>
  <si>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</si>
  <si>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</si>
  <si>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</si>
  <si>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</si>
  <si>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</si>
  <si>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</si>
  <si>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</si>
  <si>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</si>
  <si>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</si>
  <si>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</si>
  <si>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</si>
  <si>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</si>
  <si>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</si>
  <si>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</si>
  <si>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</si>
  <si>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</si>
  <si>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</si>
  <si>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</si>
  <si>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</si>
  <si>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</si>
  <si>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</si>
  <si>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</si>
  <si>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</si>
  <si>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</si>
  <si>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</si>
  <si>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</si>
  <si>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</si>
  <si>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</si>
  <si>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</si>
  <si>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</si>
  <si>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</si>
  <si>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</si>
  <si>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</si>
  <si>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</si>
  <si>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</si>
  <si>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</si>
  <si>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</si>
  <si>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</si>
  <si>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</si>
  <si>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</si>
  <si>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</si>
  <si>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</si>
  <si>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</si>
  <si>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</si>
  <si>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</si>
  <si>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</si>
  <si>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</si>
  <si>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</si>
  <si>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</si>
  <si>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</si>
  <si>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</si>
  <si>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</si>
  <si>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</si>
  <si>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</si>
  <si>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</si>
  <si>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</si>
  <si>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</si>
  <si>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</si>
  <si>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</si>
  <si>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</si>
  <si>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</si>
  <si>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</si>
  <si>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</si>
  <si>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</si>
  <si>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</si>
  <si>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</si>
  <si>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</si>
  <si>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</si>
  <si>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</si>
  <si>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</si>
  <si>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</si>
  <si>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</si>
  <si>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</si>
  <si>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</si>
  <si>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</si>
  <si>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</si>
  <si>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</t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</si>
  <si>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</si>
  <si>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</si>
  <si>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</si>
  <si>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</si>
  <si>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</si>
  <si>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</si>
  <si>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</si>
  <si>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</si>
  <si>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</si>
  <si>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</si>
  <si>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</si>
  <si>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정은진</t>
    <phoneticPr fontId="1" type="noConversion"/>
  </si>
  <si>
    <t>신창부영 7차</t>
    <phoneticPr fontId="1" type="noConversion"/>
  </si>
  <si>
    <t>신창로35번길 54</t>
    <phoneticPr fontId="1" type="noConversion"/>
  </si>
  <si>
    <t>여</t>
    <phoneticPr fontId="1" type="noConversion"/>
  </si>
  <si>
    <t>여</t>
    <phoneticPr fontId="1" type="noConversion"/>
  </si>
  <si>
    <t>부</t>
    <phoneticPr fontId="1" type="noConversion"/>
  </si>
  <si>
    <t>여</t>
    <phoneticPr fontId="1" type="noConversion"/>
  </si>
  <si>
    <t>김정식</t>
    <phoneticPr fontId="1" type="noConversion"/>
  </si>
  <si>
    <t>962-8599</t>
    <phoneticPr fontId="1" type="noConversion"/>
  </si>
  <si>
    <t>K0282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</si>
  <si>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</si>
  <si>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</si>
  <si>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</si>
  <si>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</si>
  <si>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</si>
  <si>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</si>
  <si>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</si>
  <si>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</si>
  <si>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</si>
  <si>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</si>
  <si>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</si>
  <si>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</si>
  <si>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</si>
  <si>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</si>
  <si>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</si>
  <si>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</si>
  <si>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</si>
  <si>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</si>
  <si>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</si>
  <si>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</si>
  <si>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</si>
  <si>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</si>
  <si>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</si>
  <si>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</si>
  <si>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</si>
  <si>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</si>
  <si>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</si>
  <si>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</si>
  <si>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</si>
  <si>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</si>
  <si>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</si>
  <si>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</si>
  <si>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</si>
  <si>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</si>
  <si>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</si>
  <si>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</si>
  <si>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</si>
  <si>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</si>
  <si>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</si>
  <si>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</si>
  <si>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</si>
  <si>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</si>
  <si>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</si>
  <si>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</si>
  <si>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</si>
  <si>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</si>
  <si>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</si>
  <si>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</si>
  <si>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</si>
  <si>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</si>
  <si>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</si>
  <si>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</si>
  <si>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</si>
  <si>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</si>
  <si>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</si>
  <si>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</si>
  <si>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</si>
  <si>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</si>
  <si>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</si>
  <si>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</si>
  <si>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</si>
  <si>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</si>
  <si>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</si>
  <si>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</si>
  <si>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</si>
  <si>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</si>
  <si>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</si>
  <si>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</si>
  <si>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</si>
  <si>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</si>
  <si>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</si>
  <si>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</si>
  <si>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</si>
  <si>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</si>
  <si>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</si>
  <si>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</si>
  <si>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</si>
  <si>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</si>
  <si>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</si>
  <si>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</si>
  <si>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</si>
  <si>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</si>
  <si>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</si>
  <si>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</si>
  <si>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</si>
  <si>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</si>
  <si>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</si>
  <si>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</si>
  <si>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</si>
  <si>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</si>
  <si>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</si>
  <si>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</si>
  <si>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</si>
  <si>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</si>
  <si>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</si>
  <si>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</si>
  <si>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</si>
  <si>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</si>
  <si>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</si>
  <si>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</si>
  <si>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</si>
  <si>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</si>
  <si>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</si>
  <si>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</si>
  <si>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</si>
  <si>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</si>
  <si>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</si>
  <si>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</si>
  <si>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</si>
  <si>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</si>
  <si>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</si>
  <si>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</si>
  <si>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</si>
  <si>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</si>
  <si>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</si>
  <si>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</si>
  <si>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</si>
  <si>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</si>
  <si>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</si>
  <si>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</si>
  <si>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</si>
  <si>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</si>
  <si>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</si>
  <si>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</si>
  <si>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상가관리단은 있으나, 연우건축사에서 거의 주도하시는듯함. 자금사정이 문제지만 그래도 하시려고 계획중임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</si>
  <si>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</si>
  <si>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</si>
  <si>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</si>
  <si>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</si>
  <si>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</si>
  <si>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</si>
  <si>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</si>
  <si>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</si>
  <si>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</si>
  <si>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</si>
  <si>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</si>
  <si>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</si>
  <si>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</si>
  <si>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</si>
  <si>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</si>
  <si>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</si>
  <si>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</si>
  <si>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</si>
  <si>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</si>
  <si>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</si>
  <si>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</si>
  <si>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</si>
  <si>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</si>
  <si>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</si>
  <si>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</si>
  <si>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</si>
  <si>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010-3364-2533(실무자), 현 운영사 SK일렉링크 추가설치 불가, 철도공사엣 운영사 입찰중이나 선정 어려움(2회 유찰), 철도공사와 다시 협의후 연락준다함, 올해안에 완료예정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</si>
  <si>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</si>
  <si>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</si>
  <si>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</si>
  <si>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</si>
  <si>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</si>
  <si>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</si>
  <si>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</si>
  <si>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</si>
  <si>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</si>
  <si>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</si>
  <si>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</si>
  <si>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</si>
  <si>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</si>
  <si>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중복삭제(181번 중복)</t>
  </si>
  <si>
    <t>신창 도시공사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</si>
</sst>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49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표1" displayName="표1" ref="A1:BO473" totalsRowShown="0" headerRowDxfId="68" tableBorderDxfId="67">
  <autoFilter ref="A1:BO473"/>
  <tableColumns count="67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MATCH($BO2, 입력!$Z$2:$Z$500, 0)) &amp; "", "")</calculatedColumnFormula>
    </tableColumn>
    <tableColumn id="19" name="지하면수" dataDxfId="48">
      <calculatedColumnFormula>IFERROR(INDEX(입력!$K$2:$K$500, MATCH($BO2,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MATCH($BO2, 입력!$Z$2:$Z$500, 0)) &amp; "", "")</calculatedColumnFormula>
    </tableColumn>
    <tableColumn id="26" name="완속기수" dataDxfId="41">
      <calculatedColumnFormula>IFERROR(INDEX(입력!$N$2:$N$500, MATCH($BO2,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39">
      <calculatedColumnFormula>IF(OR(V2="", X2=""), "", IF(X2 &gt;= V2, "이행완료", "미이행"))</calculatedColumnFormula>
    </tableColumn>
    <tableColumn id="29" name="총세대수" dataDxfId="38">
      <calculatedColumnFormula>IFERROR(INDEX(입력!$P$2:$P$500, MATCH($BO2, 입력!$Z$2:$Z$500, 0)) &amp; "", "")</calculatedColumnFormula>
    </tableColumn>
    <tableColumn id="30" name="전기차등록대수" dataDxfId="37">
      <calculatedColumnFormula>IFERROR(INDEX(입력!$Q$2:$Q$500, MATCH($BO2, 입력!$Z$2:$Z$500, 0)) &amp; "", "")</calculatedColumnFormula>
    </tableColumn>
    <tableColumn id="31" name="충전시설신고여부" dataDxfId="36">
      <calculatedColumnFormula>IFERROR(INDEX(입력!$R$2:$R$500, MATCH($BO2, 입력!$Z$2:$Z$500, 0)) &amp; "", "")</calculatedColumnFormula>
    </tableColumn>
    <tableColumn id="32" name="보험가입여부" dataDxfId="35">
      <calculatedColumnFormula>IFERROR(INDEX(입력!$S$2:$S$500, MATCH($BO2, 입력!$Z$2:$Z$500, 0)) &amp; "", "")</calculatedColumnFormula>
    </tableColumn>
    <tableColumn id="33" name="병행주차구역운영여부" dataDxfId="34">
      <calculatedColumnFormula>IFERROR(INDEX(입력!$T$2:$T$500, MATCH($BO2, 입력!$Z$2:$Z$500, 0)) &amp; "", "")</calculatedColumnFormula>
    </tableColumn>
    <tableColumn id="34" name="병행주차구역수" dataDxfId="33">
      <calculatedColumnFormula>IFERROR(INDEX(입력!$U$2:$U$500, MATCH($BO2, 입력!$Z$2:$Z$500, 0)) &amp; "", "")</calculatedColumnFormula>
    </tableColumn>
    <tableColumn id="35" name="화재대응책자배부" dataDxfId="32">
      <calculatedColumnFormula>IFERROR(INDEX(입력!$V$2:$V$500, MATCH($BO2, 입력!$Z$2:$Z$500, 0)) &amp; "", "")</calculatedColumnFormula>
    </tableColumn>
    <tableColumn id="38" name="시설관리자" dataDxfId="31">
      <calculatedColumnFormula>IFERROR(INDEX(입력!$W$2:$W$500, MATCH($BO2, 입력!$Z$2:$Z$500, 0)) &amp; "", "")</calculatedColumnFormula>
    </tableColumn>
    <tableColumn id="39" name="신규조사_x000a_연락처" dataDxfId="30">
      <calculatedColumnFormula>IFERROR(INDEX(입력!$X$2:$X$500, MATCH($BO2,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>
      <calculatedColumnFormula>IFERROR(IF(INDEX(입력!$C$2:$C$500, MATCH($BO2, 입력!$Z$2:$Z$500, 0))="", "", TEXT(INDEX(입력!$C$2:$C$500, MATCH($BO2, 입력!$Z$2:$Z$500, 0)), "yyyy-mm-dd")), "")</calculatedColumnFormula>
    </tableColumn>
    <tableColumn id="61" name="조사자3" dataDxfId="14">
      <calculatedColumnFormula>IFERROR(INDEX(입력!$B$2:$B$500, MATCH($BO2, 입력!$Z$2:$Z$500, 0)) &amp; "", "")</calculatedColumnFormula>
    </tableColumn>
    <tableColumn id="62" name="확인사항3" dataDxfId="13">
      <calculatedColumnFormula>IFERROR(INDEX(입력!$Y$2:$Y$500, MATCH($BO2,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O473"/>
  <sheetViews>
    <sheetView tabSelected="1" zoomScale="80" zoomScaleNormal="80" workbookViewId="0">
      <pane xSplit="5" ySplit="1" topLeftCell="L2" activePane="bottomRight" state="frozen"/>
      <selection pane="topRight" activeCell="D1" sqref="D1"/>
      <selection pane="bottomLeft" activeCell="A2" sqref="A2"/>
      <selection pane="bottomRight" activeCell="D24" sqref="D24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3" width="15.08203125" style="41" customWidth="1"/>
    <col min="64" max="64" width="12.9140625" style="41" customWidth="1"/>
    <col min="65" max="65" width="11.6640625" style="40" customWidth="1"/>
    <col min="66" max="66" width="20" style="24" customWidth="1"/>
    <col min="67" max="67" width="9" style="42" customWidth="1"/>
    <col min="68" max="16384" width="9" style="24"/>
  </cols>
  <sheetData>
    <row r="1" spans="1:67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3793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3777</v>
      </c>
      <c r="Q1" s="53" t="s">
        <v>3778</v>
      </c>
      <c r="R1" s="53" t="s">
        <v>3779</v>
      </c>
      <c r="S1" s="53" t="s">
        <v>3780</v>
      </c>
      <c r="T1" s="53" t="s">
        <v>1047</v>
      </c>
      <c r="U1" s="54" t="s">
        <v>3106</v>
      </c>
      <c r="V1" s="53" t="s">
        <v>3781</v>
      </c>
      <c r="W1" s="53" t="s">
        <v>3782</v>
      </c>
      <c r="X1" s="53" t="s">
        <v>3783</v>
      </c>
      <c r="Y1" s="53" t="s">
        <v>3784</v>
      </c>
      <c r="Z1" s="53" t="s">
        <v>3785</v>
      </c>
      <c r="AA1" s="53" t="s">
        <v>1048</v>
      </c>
      <c r="AB1" s="54" t="s">
        <v>3107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2326</v>
      </c>
      <c r="AH1" s="61" t="s">
        <v>2325</v>
      </c>
      <c r="AI1" s="54" t="s">
        <v>2324</v>
      </c>
      <c r="AJ1" s="54" t="s">
        <v>123</v>
      </c>
      <c r="AK1" s="54" t="s">
        <v>2327</v>
      </c>
      <c r="AL1" s="54" t="s">
        <v>2328</v>
      </c>
      <c r="AM1" s="103" t="s">
        <v>3113</v>
      </c>
      <c r="AN1" s="103" t="s">
        <v>3794</v>
      </c>
      <c r="AO1" s="103" t="s">
        <v>3795</v>
      </c>
      <c r="AP1" s="103" t="s">
        <v>3807</v>
      </c>
      <c r="AQ1" s="103" t="s">
        <v>3806</v>
      </c>
      <c r="AR1" s="103" t="s">
        <v>3805</v>
      </c>
      <c r="AS1" s="104" t="s">
        <v>3115</v>
      </c>
      <c r="AT1" s="104" t="s">
        <v>3796</v>
      </c>
      <c r="AU1" s="104" t="s">
        <v>3114</v>
      </c>
      <c r="AV1" s="104" t="s">
        <v>3116</v>
      </c>
      <c r="AW1" s="104" t="s">
        <v>3117</v>
      </c>
      <c r="AX1" s="104" t="s">
        <v>3797</v>
      </c>
      <c r="AY1" s="105" t="s">
        <v>3118</v>
      </c>
      <c r="AZ1" s="105" t="s">
        <v>3798</v>
      </c>
      <c r="BA1" s="105" t="s">
        <v>3799</v>
      </c>
      <c r="BB1" s="105" t="s">
        <v>3800</v>
      </c>
      <c r="BC1" s="105" t="s">
        <v>3801</v>
      </c>
      <c r="BD1" s="105" t="s">
        <v>3802</v>
      </c>
      <c r="BE1" s="106" t="s">
        <v>3119</v>
      </c>
      <c r="BF1" s="106" t="s">
        <v>3120</v>
      </c>
      <c r="BG1" s="106" t="s">
        <v>3121</v>
      </c>
      <c r="BH1" s="106" t="s">
        <v>3803</v>
      </c>
      <c r="BI1" s="106" t="s">
        <v>3804</v>
      </c>
      <c r="BJ1" s="106" t="s">
        <v>3122</v>
      </c>
      <c r="BK1" s="107" t="s">
        <v>3123</v>
      </c>
      <c r="BL1" s="58" t="s">
        <v>1050</v>
      </c>
      <c r="BM1" s="59" t="s">
        <v>2413</v>
      </c>
      <c r="BN1" s="53" t="s">
        <v>1051</v>
      </c>
      <c r="BO1" s="63" t="s">
        <v>1052</v>
      </c>
    </row>
    <row r="2" spans="1:67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2394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MATCH($BO2, 입력!$Z$2:$Z$500, 0)) &amp; "", "")</f>
        <v>4</v>
      </c>
      <c r="S2" s="64" t="str">
        <f>IFERROR(INDEX(입력!$K$2:$K$500, MATCH($BO2,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 t="str">
        <f t="shared" ref="W2:W64" si="3">IF(OR(M2="", V2&lt;5), "", IF(OR(M2="신축", B2&lt;&gt;"공동주택"), 1, ""))</f>
        <v/>
      </c>
      <c r="X2" s="1">
        <v>2</v>
      </c>
      <c r="Y2" s="64" t="str">
        <f>IFERROR(INDEX(입력!$M$2:$M$500, MATCH($BO2, 입력!$Z$2:$Z$500, 0)) &amp; "", "")</f>
        <v>2</v>
      </c>
      <c r="Z2" s="64" t="str">
        <f>IFERROR(INDEX(입력!$N$2:$N$500, MATCH($BO2, 입력!$Z$2:$Z$500, 0)) &amp; "", "")</f>
        <v/>
      </c>
      <c r="AA2" s="64">
        <f>MAX(0, 표1[[#This Row],[의무_시설]]-표1[[#This Row],[시설합]])</f>
        <v>0</v>
      </c>
      <c r="AB2" s="17" t="str">
        <f>IF(OR(V2="", X2=""), "", IF(X2 &gt;= V2, "이행완료", "미이행"))</f>
        <v>이행완료</v>
      </c>
      <c r="AC2" s="64" t="str">
        <f>IFERROR(INDEX(입력!$P$2:$P$500, MATCH($BO2, 입력!$Z$2:$Z$500, 0)) &amp; "", "")</f>
        <v/>
      </c>
      <c r="AD2" s="64" t="str">
        <f>IFERROR(INDEX(입력!$Q$2:$Q$500, MATCH($BO2, 입력!$Z$2:$Z$500, 0)) &amp; "", "")</f>
        <v/>
      </c>
      <c r="AE2" s="64" t="str">
        <f>IFERROR(INDEX(입력!$R$2:$R$500, MATCH($BO2, 입력!$Z$2:$Z$500, 0)) &amp; "", "")</f>
        <v>부</v>
      </c>
      <c r="AF2" s="64" t="str">
        <f>IFERROR(INDEX(입력!$S$2:$S$500, MATCH($BO2, 입력!$Z$2:$Z$500, 0)) &amp; "", "")</f>
        <v>여</v>
      </c>
      <c r="AG2" s="64" t="str">
        <f>IFERROR(INDEX(입력!$T$2:$T$500, MATCH($BO2, 입력!$Z$2:$Z$500, 0)) &amp; "", "")</f>
        <v/>
      </c>
      <c r="AH2" s="64" t="str">
        <f>IFERROR(INDEX(입력!$U$2:$U$500, MATCH($BO2, 입력!$Z$2:$Z$500, 0)) &amp; "", "")</f>
        <v/>
      </c>
      <c r="AI2" s="64" t="str">
        <f>IFERROR(INDEX(입력!$V$2:$V$500, MATCH($BO2, 입력!$Z$2:$Z$500, 0)) &amp; "", "")</f>
        <v>여</v>
      </c>
      <c r="AJ2" s="44" t="str">
        <f>IFERROR(INDEX(입력!$W$2:$W$500, MATCH($BO2, 입력!$Z$2:$Z$500, 0)) &amp; "", "")</f>
        <v>송기현</v>
      </c>
      <c r="AK2" s="44" t="str">
        <f>IFERROR(INDEX(입력!$X$2:$X$500, MATCH($BO2,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3125</v>
      </c>
      <c r="AT2" s="109">
        <v>46104</v>
      </c>
      <c r="AU2" s="101" t="s">
        <v>3127</v>
      </c>
      <c r="AV2" s="101" t="s">
        <v>3129</v>
      </c>
      <c r="AW2" s="101" t="s">
        <v>3130</v>
      </c>
      <c r="AX2" s="101"/>
      <c r="AY2" s="83" t="s">
        <v>3132</v>
      </c>
      <c r="AZ2" s="71" t="str">
        <f>IFERROR(IF(INDEX(입력!$C$2:$C$500, MATCH($BO2, 입력!$Z$2:$Z$500, 0))="", "", TEXT(INDEX(입력!$C$2:$C$500, MATCH($BO2, 입력!$Z$2:$Z$500, 0)), "yyyy-mm-dd")), "")</f>
        <v>2026-04-16</v>
      </c>
      <c r="BA2" s="44" t="str">
        <f>IFERROR(INDEX(입력!$B$2:$B$500, MATCH($BO2, 입력!$Z$2:$Z$500, 0)) &amp; "", "")</f>
        <v>정은진</v>
      </c>
      <c r="BB2" s="83" t="str">
        <f>IFERROR(INDEX(입력!$Y$2:$Y$500, MATCH($BO2, 입력!$Z$2:$Z$500, 0)) &amp; "", "")</f>
        <v>4월중 설치예정.</v>
      </c>
      <c r="BC2" s="83" t="s">
        <v>3134</v>
      </c>
      <c r="BD2" s="83"/>
      <c r="BE2" s="101" t="s">
        <v>1060</v>
      </c>
      <c r="BF2" s="109">
        <v>46156</v>
      </c>
      <c r="BG2" s="101" t="s">
        <v>1089</v>
      </c>
      <c r="BH2" s="101" t="s">
        <v>3840</v>
      </c>
      <c r="BI2" s="101" t="s">
        <v>3841</v>
      </c>
      <c r="BJ2" s="101"/>
      <c r="BK2" s="110"/>
      <c r="BL2" s="21" t="s">
        <v>1061</v>
      </c>
      <c r="BM2" s="22"/>
      <c r="BN2" s="23"/>
      <c r="BO2" s="47" t="s">
        <v>1063</v>
      </c>
    </row>
    <row r="3" spans="1:67" s="97" customFormat="1" x14ac:dyDescent="0.45">
      <c r="A3" s="85">
        <v>2</v>
      </c>
      <c r="B3" s="86" t="s">
        <v>1053</v>
      </c>
      <c r="C3" s="87" t="s">
        <v>3108</v>
      </c>
      <c r="D3" s="87" t="str">
        <f t="shared" si="0"/>
        <v/>
      </c>
      <c r="E3" s="86" t="s">
        <v>1064</v>
      </c>
      <c r="F3" s="88" t="s">
        <v>2583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MATCH($BO3, 입력!$Z$2:$Z$500, 0)) &amp; "", "")</f>
        <v/>
      </c>
      <c r="S3" s="91" t="str">
        <f>IFERROR(INDEX(입력!$K$2:$K$500, MATCH($BO3,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si="3"/>
        <v>1</v>
      </c>
      <c r="X3" s="88">
        <v>2</v>
      </c>
      <c r="Y3" s="91" t="str">
        <f>IFERROR(INDEX(입력!$M$2:$M$500, MATCH($BO3, 입력!$Z$2:$Z$500, 0)) &amp; "", "")</f>
        <v/>
      </c>
      <c r="Z3" s="91" t="str">
        <f>IFERROR(INDEX(입력!$N$2:$N$500, MATCH($BO3, 입력!$Z$2:$Z$500, 0)) &amp; "", "")</f>
        <v/>
      </c>
      <c r="AA3" s="91">
        <f>MAX(0, 표1[[#This Row],[의무_시설]]-표1[[#This Row],[시설합]])</f>
        <v>22</v>
      </c>
      <c r="AB3" s="87" t="str">
        <f>IF(OR(V3="", X3=""), "", IF(X3 &gt;= V3, "이행완료", "미이행"))</f>
        <v>미이행</v>
      </c>
      <c r="AC3" s="91" t="str">
        <f>IFERROR(INDEX(입력!$P$2:$P$500, MATCH($BO3, 입력!$Z$2:$Z$500, 0)) &amp; "", "")</f>
        <v/>
      </c>
      <c r="AD3" s="91" t="str">
        <f>IFERROR(INDEX(입력!$Q$2:$Q$500, MATCH($BO3, 입력!$Z$2:$Z$500, 0)) &amp; "", "")</f>
        <v/>
      </c>
      <c r="AE3" s="91" t="str">
        <f>IFERROR(INDEX(입력!$R$2:$R$500, MATCH($BO3, 입력!$Z$2:$Z$500, 0)) &amp; "", "")</f>
        <v/>
      </c>
      <c r="AF3" s="91" t="str">
        <f>IFERROR(INDEX(입력!$S$2:$S$500, MATCH($BO3, 입력!$Z$2:$Z$500, 0)) &amp; "", "")</f>
        <v/>
      </c>
      <c r="AG3" s="91" t="str">
        <f>IFERROR(INDEX(입력!$T$2:$T$500, MATCH($BO3, 입력!$Z$2:$Z$500, 0)) &amp; "", "")</f>
        <v/>
      </c>
      <c r="AH3" s="91" t="str">
        <f>IFERROR(INDEX(입력!$U$2:$U$500, MATCH($BO3, 입력!$Z$2:$Z$500, 0)) &amp; "", "")</f>
        <v/>
      </c>
      <c r="AI3" s="91" t="str">
        <f>IFERROR(INDEX(입력!$V$2:$V$500, MATCH($BO3, 입력!$Z$2:$Z$500, 0)) &amp; "", "")</f>
        <v/>
      </c>
      <c r="AJ3" s="92" t="str">
        <f>IFERROR(INDEX(입력!$W$2:$W$500, MATCH($BO3, 입력!$Z$2:$Z$500, 0)) &amp; "", "")</f>
        <v/>
      </c>
      <c r="AK3" s="92" t="str">
        <f>IFERROR(INDEX(입력!$X$2:$X$500, MATCH($BO3, 입력!$Z$2:$Z$500, 0)) &amp; "", "")</f>
        <v/>
      </c>
      <c r="AL3" s="86"/>
      <c r="AM3" s="87" t="s">
        <v>3135</v>
      </c>
      <c r="AN3" s="93"/>
      <c r="AO3" s="87" t="s">
        <v>1067</v>
      </c>
      <c r="AP3" s="100" t="s">
        <v>3136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3131</v>
      </c>
      <c r="AZ3" s="71" t="str">
        <f>IFERROR(IF(INDEX(입력!$C$2:$C$500, MATCH($BO3, 입력!$Z$2:$Z$500, 0))="", "", TEXT(INDEX(입력!$C$2:$C$500, MATCH($BO3, 입력!$Z$2:$Z$500, 0)), "yyyy-mm-dd")), "")</f>
        <v/>
      </c>
      <c r="BA3" s="44" t="str">
        <f>IFERROR(INDEX(입력!$B$2:$B$500, MATCH($BO3, 입력!$Z$2:$Z$500, 0)) &amp; "", "")</f>
        <v/>
      </c>
      <c r="BB3" s="83" t="str">
        <f>IFERROR(INDEX(입력!$Y$2:$Y$500, MATCH($BO3, 입력!$Z$2:$Z$500, 0)) &amp; "", "")</f>
        <v/>
      </c>
      <c r="BC3" s="93" t="s">
        <v>3112</v>
      </c>
      <c r="BD3" s="93"/>
      <c r="BE3" s="100"/>
      <c r="BF3" s="100"/>
      <c r="BG3" s="100"/>
      <c r="BH3" s="100"/>
      <c r="BI3" s="100"/>
      <c r="BJ3" s="100"/>
      <c r="BK3" s="112"/>
      <c r="BL3" s="90" t="s">
        <v>1069</v>
      </c>
      <c r="BM3" s="94"/>
      <c r="BN3" s="95"/>
      <c r="BO3" s="96" t="s">
        <v>1071</v>
      </c>
    </row>
    <row r="4" spans="1:67" x14ac:dyDescent="0.45">
      <c r="A4" s="46">
        <v>3</v>
      </c>
      <c r="B4" s="2" t="s">
        <v>1053</v>
      </c>
      <c r="C4" s="17" t="str">
        <f t="shared" ref="C4:C65" si="6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MATCH($BO4, 입력!$Z$2:$Z$500, 0)) &amp; "", "")</f>
        <v>2</v>
      </c>
      <c r="S4" s="64" t="str">
        <f>IFERROR(INDEX(입력!$K$2:$K$500, MATCH($BO4,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 t="str">
        <f t="shared" si="3"/>
        <v/>
      </c>
      <c r="X4" s="1">
        <v>2</v>
      </c>
      <c r="Y4" s="64" t="str">
        <f>IFERROR(INDEX(입력!$M$2:$M$500, MATCH($BO4, 입력!$Z$2:$Z$500, 0)) &amp; "", "")</f>
        <v/>
      </c>
      <c r="Z4" s="64" t="str">
        <f>IFERROR(INDEX(입력!$N$2:$N$500, MATCH($BO4, 입력!$Z$2:$Z$500, 0)) &amp; "", "")</f>
        <v>2</v>
      </c>
      <c r="AA4" s="64">
        <f>MAX(0, 표1[[#This Row],[의무_시설]]-표1[[#This Row],[시설합]])</f>
        <v>0</v>
      </c>
      <c r="AB4" s="17" t="str">
        <f t="shared" ref="AB4:AB66" si="7">IF(OR(V4="", X4=""), "", IF(X4 &gt;= V4, "이행완료", "미이행"))</f>
        <v>이행완료</v>
      </c>
      <c r="AC4" s="64" t="str">
        <f>IFERROR(INDEX(입력!$P$2:$P$500, MATCH($BO4, 입력!$Z$2:$Z$500, 0)) &amp; "", "")</f>
        <v/>
      </c>
      <c r="AD4" s="64" t="str">
        <f>IFERROR(INDEX(입력!$Q$2:$Q$500, MATCH($BO4, 입력!$Z$2:$Z$500, 0)) &amp; "", "")</f>
        <v/>
      </c>
      <c r="AE4" s="64" t="str">
        <f>IFERROR(INDEX(입력!$R$2:$R$500, MATCH($BO4, 입력!$Z$2:$Z$500, 0)) &amp; "", "")</f>
        <v>여</v>
      </c>
      <c r="AF4" s="64" t="str">
        <f>IFERROR(INDEX(입력!$S$2:$S$500, MATCH($BO4, 입력!$Z$2:$Z$500, 0)) &amp; "", "")</f>
        <v>부</v>
      </c>
      <c r="AG4" s="64" t="str">
        <f>IFERROR(INDEX(입력!$T$2:$T$500, MATCH($BO4, 입력!$Z$2:$Z$500, 0)) &amp; "", "")</f>
        <v/>
      </c>
      <c r="AH4" s="64" t="str">
        <f>IFERROR(INDEX(입력!$U$2:$U$500, MATCH($BO4, 입력!$Z$2:$Z$500, 0)) &amp; "", "")</f>
        <v/>
      </c>
      <c r="AI4" s="64" t="str">
        <f>IFERROR(INDEX(입력!$V$2:$V$500, MATCH($BO4, 입력!$Z$2:$Z$500, 0)) &amp; "", "")</f>
        <v>여</v>
      </c>
      <c r="AJ4" s="44" t="str">
        <f>IFERROR(INDEX(입력!$W$2:$W$500, MATCH($BO4, 입력!$Z$2:$Z$500, 0)) &amp; "", "")</f>
        <v>박상원</v>
      </c>
      <c r="AK4" s="44" t="str">
        <f>IFERROR(INDEX(입력!$X$2:$X$500, MATCH($BO4,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3137</v>
      </c>
      <c r="AZ4" s="71" t="str">
        <f>IFERROR(IF(INDEX(입력!$C$2:$C$500, MATCH($BO4, 입력!$Z$2:$Z$500, 0))="", "", TEXT(INDEX(입력!$C$2:$C$500, MATCH($BO4, 입력!$Z$2:$Z$500, 0)), "yyyy-mm-dd")), "")</f>
        <v>2026-05-11</v>
      </c>
      <c r="BA4" s="44" t="str">
        <f>IFERROR(INDEX(입력!$B$2:$B$500, MATCH($BO4, 입력!$Z$2:$Z$500, 0)) &amp; "", "")</f>
        <v>이승수</v>
      </c>
      <c r="BB4" s="83" t="str">
        <f>IFERROR(INDEX(입력!$Y$2:$Y$500, MATCH($BO4, 입력!$Z$2:$Z$500, 0)) &amp; "", "")</f>
        <v>전용구역1면 5월중 시행예정</v>
      </c>
      <c r="BC4" s="83" t="s">
        <v>3112</v>
      </c>
      <c r="BD4" s="83"/>
      <c r="BE4" s="101"/>
      <c r="BF4" s="101"/>
      <c r="BG4" s="101"/>
      <c r="BH4" s="101"/>
      <c r="BI4" s="101"/>
      <c r="BJ4" s="101"/>
      <c r="BK4" s="110"/>
      <c r="BL4" s="21" t="s">
        <v>1061</v>
      </c>
      <c r="BM4" s="22"/>
      <c r="BN4" s="23"/>
      <c r="BO4" s="47" t="s">
        <v>129</v>
      </c>
    </row>
    <row r="5" spans="1:67" x14ac:dyDescent="0.45">
      <c r="A5" s="19">
        <v>4</v>
      </c>
      <c r="B5" s="2" t="s">
        <v>1053</v>
      </c>
      <c r="C5" s="17" t="str">
        <f t="shared" si="6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MATCH($BO5, 입력!$Z$2:$Z$500, 0)) &amp; "", "")</f>
        <v>3</v>
      </c>
      <c r="S5" s="64" t="str">
        <f>IFERROR(INDEX(입력!$K$2:$K$500, MATCH($BO5,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 t="str">
        <f t="shared" si="3"/>
        <v/>
      </c>
      <c r="X5" s="1">
        <v>1</v>
      </c>
      <c r="Y5" s="64" t="str">
        <f>IFERROR(INDEX(입력!$M$2:$M$500, MATCH($BO5, 입력!$Z$2:$Z$500, 0)) &amp; "", "")</f>
        <v>1</v>
      </c>
      <c r="Z5" s="64" t="str">
        <f>IFERROR(INDEX(입력!$N$2:$N$500, MATCH($BO5, 입력!$Z$2:$Z$500, 0)) &amp; "", "")</f>
        <v/>
      </c>
      <c r="AA5" s="64">
        <f>MAX(0, 표1[[#This Row],[의무_시설]]-표1[[#This Row],[시설합]])</f>
        <v>0</v>
      </c>
      <c r="AB5" s="17" t="str">
        <f t="shared" si="7"/>
        <v>이행완료</v>
      </c>
      <c r="AC5" s="64" t="str">
        <f>IFERROR(INDEX(입력!$P$2:$P$500, MATCH($BO5, 입력!$Z$2:$Z$500, 0)) &amp; "", "")</f>
        <v/>
      </c>
      <c r="AD5" s="64" t="str">
        <f>IFERROR(INDEX(입력!$Q$2:$Q$500, MATCH($BO5, 입력!$Z$2:$Z$500, 0)) &amp; "", "")</f>
        <v/>
      </c>
      <c r="AE5" s="64" t="str">
        <f>IFERROR(INDEX(입력!$R$2:$R$500, MATCH($BO5, 입력!$Z$2:$Z$500, 0)) &amp; "", "")</f>
        <v>여</v>
      </c>
      <c r="AF5" s="64" t="str">
        <f>IFERROR(INDEX(입력!$S$2:$S$500, MATCH($BO5, 입력!$Z$2:$Z$500, 0)) &amp; "", "")</f>
        <v>여</v>
      </c>
      <c r="AG5" s="64" t="str">
        <f>IFERROR(INDEX(입력!$T$2:$T$500, MATCH($BO5, 입력!$Z$2:$Z$500, 0)) &amp; "", "")</f>
        <v/>
      </c>
      <c r="AH5" s="64" t="str">
        <f>IFERROR(INDEX(입력!$U$2:$U$500, MATCH($BO5, 입력!$Z$2:$Z$500, 0)) &amp; "", "")</f>
        <v/>
      </c>
      <c r="AI5" s="64" t="str">
        <f>IFERROR(INDEX(입력!$V$2:$V$500, MATCH($BO5, 입력!$Z$2:$Z$500, 0)) &amp; "", "")</f>
        <v>여</v>
      </c>
      <c r="AJ5" s="44" t="str">
        <f>IFERROR(INDEX(입력!$W$2:$W$500, MATCH($BO5, 입력!$Z$2:$Z$500, 0)) &amp; "", "")</f>
        <v>윤재박</v>
      </c>
      <c r="AK5" s="44" t="str">
        <f>IFERROR(INDEX(입력!$X$2:$X$500, MATCH($BO5,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3137</v>
      </c>
      <c r="AZ5" s="71" t="str">
        <f>IFERROR(IF(INDEX(입력!$C$2:$C$500, MATCH($BO5, 입력!$Z$2:$Z$500, 0))="", "", TEXT(INDEX(입력!$C$2:$C$500, MATCH($BO5, 입력!$Z$2:$Z$500, 0)), "yyyy-mm-dd")), "")</f>
        <v>2026-04-16</v>
      </c>
      <c r="BA5" s="44" t="str">
        <f>IFERROR(INDEX(입력!$B$2:$B$500, MATCH($BO5, 입력!$Z$2:$Z$500, 0)) &amp; "", "")</f>
        <v>정은진</v>
      </c>
      <c r="BB5" s="83" t="str">
        <f>IFERROR(INDEX(입력!$Y$2:$Y$500, MATCH($BO5, 입력!$Z$2:$Z$500, 0)) &amp; "", "")</f>
        <v/>
      </c>
      <c r="BC5" s="83" t="s">
        <v>3112</v>
      </c>
      <c r="BD5" s="83"/>
      <c r="BE5" s="101"/>
      <c r="BF5" s="101"/>
      <c r="BG5" s="101"/>
      <c r="BH5" s="101"/>
      <c r="BI5" s="101"/>
      <c r="BJ5" s="101"/>
      <c r="BK5" s="110"/>
      <c r="BL5" s="21" t="s">
        <v>1080</v>
      </c>
      <c r="BM5" s="22"/>
      <c r="BN5" s="23"/>
      <c r="BO5" s="47" t="s">
        <v>131</v>
      </c>
    </row>
    <row r="6" spans="1:67" x14ac:dyDescent="0.45">
      <c r="A6" s="46">
        <v>5</v>
      </c>
      <c r="B6" s="2" t="s">
        <v>1053</v>
      </c>
      <c r="C6" s="17" t="str">
        <f t="shared" si="6"/>
        <v>이행완료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MATCH($BO6, 입력!$Z$2:$Z$500, 0)) &amp; "", "")</f>
        <v>10</v>
      </c>
      <c r="S6" s="64" t="str">
        <f>IFERROR(INDEX(입력!$K$2:$K$500, MATCH($BO6,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 t="str">
        <f t="shared" si="3"/>
        <v/>
      </c>
      <c r="X6" s="1">
        <v>5</v>
      </c>
      <c r="Y6" s="64" t="str">
        <f>IFERROR(INDEX(입력!$M$2:$M$500, MATCH($BO6, 입력!$Z$2:$Z$500, 0)) &amp; "", "")</f>
        <v/>
      </c>
      <c r="Z6" s="64" t="str">
        <f>IFERROR(INDEX(입력!$N$2:$N$500, MATCH($BO6, 입력!$Z$2:$Z$500, 0)) &amp; "", "")</f>
        <v>5</v>
      </c>
      <c r="AA6" s="64">
        <f>MAX(0, 표1[[#This Row],[의무_시설]]-표1[[#This Row],[시설합]])</f>
        <v>0</v>
      </c>
      <c r="AB6" s="17" t="str">
        <f t="shared" si="7"/>
        <v>이행완료</v>
      </c>
      <c r="AC6" s="64" t="str">
        <f>IFERROR(INDEX(입력!$P$2:$P$500, MATCH($BO6, 입력!$Z$2:$Z$500, 0)) &amp; "", "")</f>
        <v/>
      </c>
      <c r="AD6" s="64" t="str">
        <f>IFERROR(INDEX(입력!$Q$2:$Q$500, MATCH($BO6, 입력!$Z$2:$Z$500, 0)) &amp; "", "")</f>
        <v/>
      </c>
      <c r="AE6" s="64" t="str">
        <f>IFERROR(INDEX(입력!$R$2:$R$500, MATCH($BO6, 입력!$Z$2:$Z$500, 0)) &amp; "", "")</f>
        <v>여</v>
      </c>
      <c r="AF6" s="64" t="str">
        <f>IFERROR(INDEX(입력!$S$2:$S$500, MATCH($BO6, 입력!$Z$2:$Z$500, 0)) &amp; "", "")</f>
        <v>여</v>
      </c>
      <c r="AG6" s="64" t="str">
        <f>IFERROR(INDEX(입력!$T$2:$T$500, MATCH($BO6, 입력!$Z$2:$Z$500, 0)) &amp; "", "")</f>
        <v/>
      </c>
      <c r="AH6" s="64" t="str">
        <f>IFERROR(INDEX(입력!$U$2:$U$500, MATCH($BO6, 입력!$Z$2:$Z$500, 0)) &amp; "", "")</f>
        <v/>
      </c>
      <c r="AI6" s="64" t="str">
        <f>IFERROR(INDEX(입력!$V$2:$V$500, MATCH($BO6, 입력!$Z$2:$Z$500, 0)) &amp; "", "")</f>
        <v>여</v>
      </c>
      <c r="AJ6" s="44" t="str">
        <f>IFERROR(INDEX(입력!$W$2:$W$500, MATCH($BO6, 입력!$Z$2:$Z$500, 0)) &amp; "", "")</f>
        <v>오시완</v>
      </c>
      <c r="AK6" s="44" t="str">
        <f>IFERROR(INDEX(입력!$X$2:$X$500, MATCH($BO6,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3137</v>
      </c>
      <c r="AZ6" s="71" t="str">
        <f>IFERROR(IF(INDEX(입력!$C$2:$C$500, MATCH($BO6, 입력!$Z$2:$Z$500, 0))="", "", TEXT(INDEX(입력!$C$2:$C$500, MATCH($BO6, 입력!$Z$2:$Z$500, 0)), "yyyy-mm-dd")), "")</f>
        <v>2026-05-08</v>
      </c>
      <c r="BA6" s="44" t="str">
        <f>IFERROR(INDEX(입력!$B$2:$B$500, MATCH($BO6, 입력!$Z$2:$Z$500, 0)) &amp; "", "")</f>
        <v>이승수</v>
      </c>
      <c r="BB6" s="83" t="str">
        <f>IFERROR(INDEX(입력!$Y$2:$Y$500, MATCH($BO6, 입력!$Z$2:$Z$500, 0)) &amp; "", "")</f>
        <v/>
      </c>
      <c r="BC6" s="83" t="s">
        <v>3112</v>
      </c>
      <c r="BD6" s="83"/>
      <c r="BE6" s="101"/>
      <c r="BF6" s="101"/>
      <c r="BG6" s="101"/>
      <c r="BH6" s="101"/>
      <c r="BI6" s="101"/>
      <c r="BJ6" s="101"/>
      <c r="BK6" s="110"/>
      <c r="BL6" s="21" t="s">
        <v>1061</v>
      </c>
      <c r="BM6" s="22"/>
      <c r="BN6" s="23"/>
      <c r="BO6" s="47" t="s">
        <v>133</v>
      </c>
    </row>
    <row r="7" spans="1:67" x14ac:dyDescent="0.45">
      <c r="A7" s="19">
        <v>6</v>
      </c>
      <c r="B7" s="2" t="s">
        <v>1053</v>
      </c>
      <c r="C7" s="17" t="str">
        <f t="shared" si="6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MATCH($BO7, 입력!$Z$2:$Z$500, 0)) &amp; "", "")</f>
        <v>5</v>
      </c>
      <c r="S7" s="64" t="str">
        <f>IFERROR(INDEX(입력!$K$2:$K$500, MATCH($BO7,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 t="str">
        <f t="shared" si="3"/>
        <v/>
      </c>
      <c r="X7" s="1">
        <v>4</v>
      </c>
      <c r="Y7" s="64" t="str">
        <f>IFERROR(INDEX(입력!$M$2:$M$500, MATCH($BO7, 입력!$Z$2:$Z$500, 0)) &amp; "", "")</f>
        <v>2</v>
      </c>
      <c r="Z7" s="64" t="str">
        <f>IFERROR(INDEX(입력!$N$2:$N$500, MATCH($BO7, 입력!$Z$2:$Z$500, 0)) &amp; "", "")</f>
        <v>2</v>
      </c>
      <c r="AA7" s="64">
        <f>MAX(0, 표1[[#This Row],[의무_시설]]-표1[[#This Row],[시설합]])</f>
        <v>0</v>
      </c>
      <c r="AB7" s="17" t="str">
        <f t="shared" si="7"/>
        <v>이행완료</v>
      </c>
      <c r="AC7" s="64" t="str">
        <f>IFERROR(INDEX(입력!$P$2:$P$500, MATCH($BO7, 입력!$Z$2:$Z$500, 0)) &amp; "", "")</f>
        <v/>
      </c>
      <c r="AD7" s="64" t="str">
        <f>IFERROR(INDEX(입력!$Q$2:$Q$500, MATCH($BO7, 입력!$Z$2:$Z$500, 0)) &amp; "", "")</f>
        <v/>
      </c>
      <c r="AE7" s="64" t="str">
        <f>IFERROR(INDEX(입력!$R$2:$R$500, MATCH($BO7, 입력!$Z$2:$Z$500, 0)) &amp; "", "")</f>
        <v>부</v>
      </c>
      <c r="AF7" s="64" t="str">
        <f>IFERROR(INDEX(입력!$S$2:$S$500, MATCH($BO7, 입력!$Z$2:$Z$500, 0)) &amp; "", "")</f>
        <v>여</v>
      </c>
      <c r="AG7" s="64" t="str">
        <f>IFERROR(INDEX(입력!$T$2:$T$500, MATCH($BO7, 입력!$Z$2:$Z$500, 0)) &amp; "", "")</f>
        <v/>
      </c>
      <c r="AH7" s="64" t="str">
        <f>IFERROR(INDEX(입력!$U$2:$U$500, MATCH($BO7, 입력!$Z$2:$Z$500, 0)) &amp; "", "")</f>
        <v/>
      </c>
      <c r="AI7" s="64" t="str">
        <f>IFERROR(INDEX(입력!$V$2:$V$500, MATCH($BO7, 입력!$Z$2:$Z$500, 0)) &amp; "", "")</f>
        <v>여</v>
      </c>
      <c r="AJ7" s="44" t="str">
        <f>IFERROR(INDEX(입력!$W$2:$W$500, MATCH($BO7, 입력!$Z$2:$Z$500, 0)) &amp; "", "")</f>
        <v>송다은</v>
      </c>
      <c r="AK7" s="44" t="str">
        <f>IFERROR(INDEX(입력!$X$2:$X$500, MATCH($BO7,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3137</v>
      </c>
      <c r="AZ7" s="71" t="str">
        <f>IFERROR(IF(INDEX(입력!$C$2:$C$500, MATCH($BO7, 입력!$Z$2:$Z$500, 0))="", "", TEXT(INDEX(입력!$C$2:$C$500, MATCH($BO7, 입력!$Z$2:$Z$500, 0)), "yyyy-mm-dd")), "")</f>
        <v>2026-05-07</v>
      </c>
      <c r="BA7" s="44" t="str">
        <f>IFERROR(INDEX(입력!$B$2:$B$500, MATCH($BO7, 입력!$Z$2:$Z$500, 0)) &amp; "", "")</f>
        <v>노기섭</v>
      </c>
      <c r="BB7" s="83" t="str">
        <f>IFERROR(INDEX(입력!$Y$2:$Y$500, MATCH($BO7, 입력!$Z$2:$Z$500, 0)) &amp; "", "")</f>
        <v/>
      </c>
      <c r="BC7" s="83" t="s">
        <v>3112</v>
      </c>
      <c r="BD7" s="83"/>
      <c r="BE7" s="101"/>
      <c r="BF7" s="101"/>
      <c r="BG7" s="101"/>
      <c r="BH7" s="101"/>
      <c r="BI7" s="101"/>
      <c r="BJ7" s="101"/>
      <c r="BK7" s="110"/>
      <c r="BL7" s="21" t="s">
        <v>1061</v>
      </c>
      <c r="BM7" s="22"/>
      <c r="BN7" s="23"/>
      <c r="BO7" s="47" t="s">
        <v>135</v>
      </c>
    </row>
    <row r="8" spans="1:67" x14ac:dyDescent="0.45">
      <c r="A8" s="46">
        <v>7</v>
      </c>
      <c r="B8" s="2" t="s">
        <v>1053</v>
      </c>
      <c r="C8" s="17" t="str">
        <f t="shared" si="6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MATCH($BO8, 입력!$Z$2:$Z$500, 0)) &amp; "", "")</f>
        <v>3</v>
      </c>
      <c r="S8" s="64" t="str">
        <f>IFERROR(INDEX(입력!$K$2:$K$500, MATCH($BO8,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 t="str">
        <f t="shared" si="3"/>
        <v/>
      </c>
      <c r="X8" s="1">
        <v>2</v>
      </c>
      <c r="Y8" s="64" t="str">
        <f>IFERROR(INDEX(입력!$M$2:$M$500, MATCH($BO8, 입력!$Z$2:$Z$500, 0)) &amp; "", "")</f>
        <v>1</v>
      </c>
      <c r="Z8" s="64" t="str">
        <f>IFERROR(INDEX(입력!$N$2:$N$500, MATCH($BO8, 입력!$Z$2:$Z$500, 0)) &amp; "", "")</f>
        <v>1</v>
      </c>
      <c r="AA8" s="64">
        <f>MAX(0, 표1[[#This Row],[의무_시설]]-표1[[#This Row],[시설합]])</f>
        <v>0</v>
      </c>
      <c r="AB8" s="17" t="str">
        <f t="shared" si="7"/>
        <v>이행완료</v>
      </c>
      <c r="AC8" s="64" t="str">
        <f>IFERROR(INDEX(입력!$P$2:$P$500, MATCH($BO8, 입력!$Z$2:$Z$500, 0)) &amp; "", "")</f>
        <v/>
      </c>
      <c r="AD8" s="64" t="str">
        <f>IFERROR(INDEX(입력!$Q$2:$Q$500, MATCH($BO8, 입력!$Z$2:$Z$500, 0)) &amp; "", "")</f>
        <v/>
      </c>
      <c r="AE8" s="64" t="str">
        <f>IFERROR(INDEX(입력!$R$2:$R$500, MATCH($BO8, 입력!$Z$2:$Z$500, 0)) &amp; "", "")</f>
        <v>여</v>
      </c>
      <c r="AF8" s="64" t="str">
        <f>IFERROR(INDEX(입력!$S$2:$S$500, MATCH($BO8, 입력!$Z$2:$Z$500, 0)) &amp; "", "")</f>
        <v>여</v>
      </c>
      <c r="AG8" s="64" t="str">
        <f>IFERROR(INDEX(입력!$T$2:$T$500, MATCH($BO8, 입력!$Z$2:$Z$500, 0)) &amp; "", "")</f>
        <v/>
      </c>
      <c r="AH8" s="64" t="str">
        <f>IFERROR(INDEX(입력!$U$2:$U$500, MATCH($BO8, 입력!$Z$2:$Z$500, 0)) &amp; "", "")</f>
        <v/>
      </c>
      <c r="AI8" s="64" t="str">
        <f>IFERROR(INDEX(입력!$V$2:$V$500, MATCH($BO8, 입력!$Z$2:$Z$500, 0)) &amp; "", "")</f>
        <v>여</v>
      </c>
      <c r="AJ8" s="44" t="str">
        <f>IFERROR(INDEX(입력!$W$2:$W$500, MATCH($BO8, 입력!$Z$2:$Z$500, 0)) &amp; "", "")</f>
        <v>신주혁</v>
      </c>
      <c r="AK8" s="44" t="str">
        <f>IFERROR(INDEX(입력!$X$2:$X$500, MATCH($BO8, 입력!$Z$2:$Z$500, 0)) &amp; "", "")</f>
        <v>960-7216</v>
      </c>
      <c r="AL8" s="25" t="s">
        <v>1093</v>
      </c>
      <c r="AM8" s="17" t="s">
        <v>3138</v>
      </c>
      <c r="AN8" s="113">
        <v>46111</v>
      </c>
      <c r="AO8" s="17" t="s">
        <v>1089</v>
      </c>
      <c r="AP8" s="83" t="s">
        <v>3139</v>
      </c>
      <c r="AQ8" s="108" t="s">
        <v>3140</v>
      </c>
      <c r="AR8" s="22"/>
      <c r="AS8" s="101" t="s">
        <v>3125</v>
      </c>
      <c r="AT8" s="109">
        <v>46104</v>
      </c>
      <c r="AU8" s="101" t="s">
        <v>3141</v>
      </c>
      <c r="AV8" s="101" t="s">
        <v>3142</v>
      </c>
      <c r="AW8" s="101" t="s">
        <v>3143</v>
      </c>
      <c r="AX8" s="101" t="s">
        <v>3144</v>
      </c>
      <c r="AY8" s="83" t="s">
        <v>3137</v>
      </c>
      <c r="AZ8" s="71" t="str">
        <f>IFERROR(IF(INDEX(입력!$C$2:$C$500, MATCH($BO8, 입력!$Z$2:$Z$500, 0))="", "", TEXT(INDEX(입력!$C$2:$C$500, MATCH($BO8, 입력!$Z$2:$Z$500, 0)), "yyyy-mm-dd")), "")</f>
        <v>2026-04-22</v>
      </c>
      <c r="BA8" s="44" t="str">
        <f>IFERROR(INDEX(입력!$B$2:$B$500, MATCH($BO8, 입력!$Z$2:$Z$500, 0)) &amp; "", "")</f>
        <v>노기섭</v>
      </c>
      <c r="BB8" s="83" t="str">
        <f>IFERROR(INDEX(입력!$Y$2:$Y$500, MATCH($BO8, 입력!$Z$2:$Z$500, 0)) &amp; "", "")</f>
        <v>미래차 모빌리티 진흥원(임대인)에서 설치해야 함. 690-9500(김재성 팀장)</v>
      </c>
      <c r="BC8" s="83" t="s">
        <v>3145</v>
      </c>
      <c r="BD8" s="83"/>
      <c r="BE8" s="101"/>
      <c r="BF8" s="101"/>
      <c r="BG8" s="101"/>
      <c r="BH8" s="101"/>
      <c r="BI8" s="101"/>
      <c r="BJ8" s="101"/>
      <c r="BK8" s="110"/>
      <c r="BL8" s="21" t="s">
        <v>1061</v>
      </c>
      <c r="BM8" s="22"/>
      <c r="BN8" s="23"/>
      <c r="BO8" s="47" t="s">
        <v>137</v>
      </c>
    </row>
    <row r="9" spans="1:67" x14ac:dyDescent="0.45">
      <c r="A9" s="19">
        <v>8</v>
      </c>
      <c r="B9" s="2" t="s">
        <v>1053</v>
      </c>
      <c r="C9" s="17" t="str">
        <f t="shared" si="6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MATCH($BO9, 입력!$Z$2:$Z$500, 0)) &amp; "", "")</f>
        <v>11</v>
      </c>
      <c r="S9" s="64" t="str">
        <f>IFERROR(INDEX(입력!$K$2:$K$500, MATCH($BO9,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 t="str">
        <f t="shared" si="3"/>
        <v/>
      </c>
      <c r="X9" s="1">
        <v>5</v>
      </c>
      <c r="Y9" s="64" t="str">
        <f>IFERROR(INDEX(입력!$M$2:$M$500, MATCH($BO9, 입력!$Z$2:$Z$500, 0)) &amp; "", "")</f>
        <v>5</v>
      </c>
      <c r="Z9" s="64" t="str">
        <f>IFERROR(INDEX(입력!$N$2:$N$500, MATCH($BO9, 입력!$Z$2:$Z$500, 0)) &amp; "", "")</f>
        <v/>
      </c>
      <c r="AA9" s="64">
        <f>MAX(0, 표1[[#This Row],[의무_시설]]-표1[[#This Row],[시설합]])</f>
        <v>0</v>
      </c>
      <c r="AB9" s="17" t="str">
        <f t="shared" si="7"/>
        <v>이행완료</v>
      </c>
      <c r="AC9" s="64" t="str">
        <f>IFERROR(INDEX(입력!$P$2:$P$500, MATCH($BO9, 입력!$Z$2:$Z$500, 0)) &amp; "", "")</f>
        <v/>
      </c>
      <c r="AD9" s="64" t="str">
        <f>IFERROR(INDEX(입력!$Q$2:$Q$500, MATCH($BO9, 입력!$Z$2:$Z$500, 0)) &amp; "", "")</f>
        <v/>
      </c>
      <c r="AE9" s="64" t="str">
        <f>IFERROR(INDEX(입력!$R$2:$R$500, MATCH($BO9, 입력!$Z$2:$Z$500, 0)) &amp; "", "")</f>
        <v>여</v>
      </c>
      <c r="AF9" s="64" t="str">
        <f>IFERROR(INDEX(입력!$S$2:$S$500, MATCH($BO9, 입력!$Z$2:$Z$500, 0)) &amp; "", "")</f>
        <v>여</v>
      </c>
      <c r="AG9" s="64" t="str">
        <f>IFERROR(INDEX(입력!$T$2:$T$500, MATCH($BO9, 입력!$Z$2:$Z$500, 0)) &amp; "", "")</f>
        <v/>
      </c>
      <c r="AH9" s="64" t="str">
        <f>IFERROR(INDEX(입력!$U$2:$U$500, MATCH($BO9, 입력!$Z$2:$Z$500, 0)) &amp; "", "")</f>
        <v/>
      </c>
      <c r="AI9" s="64" t="str">
        <f>IFERROR(INDEX(입력!$V$2:$V$500, MATCH($BO9, 입력!$Z$2:$Z$500, 0)) &amp; "", "")</f>
        <v>여</v>
      </c>
      <c r="AJ9" s="44" t="str">
        <f>IFERROR(INDEX(입력!$W$2:$W$500, MATCH($BO9, 입력!$Z$2:$Z$500, 0)) &amp; "", "")</f>
        <v>김강민</v>
      </c>
      <c r="AK9" s="44" t="str">
        <f>IFERROR(INDEX(입력!$X$2:$X$500, MATCH($BO9,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3146</v>
      </c>
      <c r="AS9" s="101"/>
      <c r="AT9" s="101"/>
      <c r="AU9" s="101"/>
      <c r="AV9" s="101"/>
      <c r="AW9" s="101"/>
      <c r="AX9" s="101"/>
      <c r="AY9" s="83" t="s">
        <v>3137</v>
      </c>
      <c r="AZ9" s="71" t="str">
        <f>IFERROR(IF(INDEX(입력!$C$2:$C$500, MATCH($BO9, 입력!$Z$2:$Z$500, 0))="", "", TEXT(INDEX(입력!$C$2:$C$500, MATCH($BO9, 입력!$Z$2:$Z$500, 0)), "yyyy-mm-dd")), "")</f>
        <v>2026-05-04</v>
      </c>
      <c r="BA9" s="44" t="str">
        <f>IFERROR(INDEX(입력!$B$2:$B$500, MATCH($BO9, 입력!$Z$2:$Z$500, 0)) &amp; "", "")</f>
        <v>노기섭</v>
      </c>
      <c r="BB9" s="83" t="str">
        <f>IFERROR(INDEX(입력!$Y$2:$Y$500, MATCH($BO9, 입력!$Z$2:$Z$500, 0)) &amp; "", "")</f>
        <v/>
      </c>
      <c r="BC9" s="83" t="s">
        <v>3112</v>
      </c>
      <c r="BD9" s="83"/>
      <c r="BE9" s="101"/>
      <c r="BF9" s="101"/>
      <c r="BG9" s="101"/>
      <c r="BH9" s="101"/>
      <c r="BI9" s="101"/>
      <c r="BJ9" s="101"/>
      <c r="BK9" s="110"/>
      <c r="BL9" s="21" t="s">
        <v>1099</v>
      </c>
      <c r="BM9" s="22"/>
      <c r="BN9" s="23"/>
      <c r="BO9" s="47" t="s">
        <v>139</v>
      </c>
    </row>
    <row r="10" spans="1:67" x14ac:dyDescent="0.45">
      <c r="A10" s="46">
        <v>9</v>
      </c>
      <c r="B10" s="2" t="s">
        <v>1053</v>
      </c>
      <c r="C10" s="17" t="str">
        <f t="shared" si="6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MATCH($BO10, 입력!$Z$2:$Z$500, 0)) &amp; "", "")</f>
        <v>19</v>
      </c>
      <c r="S10" s="64" t="str">
        <f>IFERROR(INDEX(입력!$K$2:$K$500, MATCH($BO10,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3"/>
        <v>1</v>
      </c>
      <c r="X10" s="1">
        <v>7</v>
      </c>
      <c r="Y10" s="64" t="str">
        <f>IFERROR(INDEX(입력!$M$2:$M$500, MATCH($BO10, 입력!$Z$2:$Z$500, 0)) &amp; "", "")</f>
        <v>4</v>
      </c>
      <c r="Z10" s="64" t="str">
        <f>IFERROR(INDEX(입력!$N$2:$N$500, MATCH($BO10, 입력!$Z$2:$Z$500, 0)) &amp; "", "")</f>
        <v>3</v>
      </c>
      <c r="AA10" s="64">
        <f>MAX(0, 표1[[#This Row],[의무_시설]]-표1[[#This Row],[시설합]])</f>
        <v>0</v>
      </c>
      <c r="AB10" s="17" t="str">
        <f t="shared" si="7"/>
        <v>이행완료</v>
      </c>
      <c r="AC10" s="64" t="str">
        <f>IFERROR(INDEX(입력!$P$2:$P$500, MATCH($BO10, 입력!$Z$2:$Z$500, 0)) &amp; "", "")</f>
        <v/>
      </c>
      <c r="AD10" s="64" t="str">
        <f>IFERROR(INDEX(입력!$Q$2:$Q$500, MATCH($BO10, 입력!$Z$2:$Z$500, 0)) &amp; "", "")</f>
        <v/>
      </c>
      <c r="AE10" s="64" t="str">
        <f>IFERROR(INDEX(입력!$R$2:$R$500, MATCH($BO10, 입력!$Z$2:$Z$500, 0)) &amp; "", "")</f>
        <v>여</v>
      </c>
      <c r="AF10" s="64" t="str">
        <f>IFERROR(INDEX(입력!$S$2:$S$500, MATCH($BO10, 입력!$Z$2:$Z$500, 0)) &amp; "", "")</f>
        <v>여</v>
      </c>
      <c r="AG10" s="64" t="str">
        <f>IFERROR(INDEX(입력!$T$2:$T$500, MATCH($BO10, 입력!$Z$2:$Z$500, 0)) &amp; "", "")</f>
        <v/>
      </c>
      <c r="AH10" s="64" t="str">
        <f>IFERROR(INDEX(입력!$U$2:$U$500, MATCH($BO10, 입력!$Z$2:$Z$500, 0)) &amp; "", "")</f>
        <v/>
      </c>
      <c r="AI10" s="64" t="str">
        <f>IFERROR(INDEX(입력!$V$2:$V$500, MATCH($BO10, 입력!$Z$2:$Z$500, 0)) &amp; "", "")</f>
        <v>여</v>
      </c>
      <c r="AJ10" s="44" t="str">
        <f>IFERROR(INDEX(입력!$W$2:$W$500, MATCH($BO10, 입력!$Z$2:$Z$500, 0)) &amp; "", "")</f>
        <v>정인서</v>
      </c>
      <c r="AK10" s="44" t="str">
        <f>IFERROR(INDEX(입력!$X$2:$X$500, MATCH($BO10,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3147</v>
      </c>
      <c r="AS10" s="101"/>
      <c r="AT10" s="101"/>
      <c r="AU10" s="101"/>
      <c r="AV10" s="101"/>
      <c r="AW10" s="101"/>
      <c r="AX10" s="101"/>
      <c r="AY10" s="83" t="s">
        <v>3137</v>
      </c>
      <c r="AZ10" s="71" t="str">
        <f>IFERROR(IF(INDEX(입력!$C$2:$C$500, MATCH($BO10, 입력!$Z$2:$Z$500, 0))="", "", TEXT(INDEX(입력!$C$2:$C$500, MATCH($BO10, 입력!$Z$2:$Z$500, 0)), "yyyy-mm-dd")), "")</f>
        <v>2026-04-27</v>
      </c>
      <c r="BA10" s="44" t="str">
        <f>IFERROR(INDEX(입력!$B$2:$B$500, MATCH($BO10, 입력!$Z$2:$Z$500, 0)) &amp; "", "")</f>
        <v>노기섭</v>
      </c>
      <c r="BB10" s="83" t="str">
        <f>IFERROR(INDEX(입력!$Y$2:$Y$500, MATCH($BO10, 입력!$Z$2:$Z$500, 0)) &amp; "", "")</f>
        <v/>
      </c>
      <c r="BC10" s="83" t="s">
        <v>3112</v>
      </c>
      <c r="BD10" s="83"/>
      <c r="BE10" s="101"/>
      <c r="BF10" s="101"/>
      <c r="BG10" s="101"/>
      <c r="BH10" s="101"/>
      <c r="BI10" s="101"/>
      <c r="BJ10" s="101"/>
      <c r="BK10" s="110"/>
      <c r="BL10" s="21" t="s">
        <v>1099</v>
      </c>
      <c r="BM10" s="22"/>
      <c r="BN10" s="23"/>
      <c r="BO10" s="47" t="s">
        <v>141</v>
      </c>
    </row>
    <row r="11" spans="1:67" x14ac:dyDescent="0.45">
      <c r="A11" s="19">
        <v>10</v>
      </c>
      <c r="B11" s="2" t="s">
        <v>1053</v>
      </c>
      <c r="C11" s="17" t="str">
        <f t="shared" si="6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MATCH($BO11, 입력!$Z$2:$Z$500, 0)) &amp; "", "")</f>
        <v>3</v>
      </c>
      <c r="S11" s="64" t="str">
        <f>IFERROR(INDEX(입력!$K$2:$K$500, MATCH($BO11,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 t="str">
        <f t="shared" si="3"/>
        <v/>
      </c>
      <c r="X11" s="1">
        <v>1</v>
      </c>
      <c r="Y11" s="64" t="str">
        <f>IFERROR(INDEX(입력!$M$2:$M$500, MATCH($BO11, 입력!$Z$2:$Z$500, 0)) &amp; "", "")</f>
        <v/>
      </c>
      <c r="Z11" s="64" t="str">
        <f>IFERROR(INDEX(입력!$N$2:$N$500, MATCH($BO11, 입력!$Z$2:$Z$500, 0)) &amp; "", "")</f>
        <v>1</v>
      </c>
      <c r="AA11" s="64">
        <f>MAX(0, 표1[[#This Row],[의무_시설]]-표1[[#This Row],[시설합]])</f>
        <v>0</v>
      </c>
      <c r="AB11" s="17" t="str">
        <f t="shared" si="7"/>
        <v>이행완료</v>
      </c>
      <c r="AC11" s="64" t="str">
        <f>IFERROR(INDEX(입력!$P$2:$P$500, MATCH($BO11, 입력!$Z$2:$Z$500, 0)) &amp; "", "")</f>
        <v/>
      </c>
      <c r="AD11" s="64" t="str">
        <f>IFERROR(INDEX(입력!$Q$2:$Q$500, MATCH($BO11, 입력!$Z$2:$Z$500, 0)) &amp; "", "")</f>
        <v/>
      </c>
      <c r="AE11" s="64" t="str">
        <f>IFERROR(INDEX(입력!$R$2:$R$500, MATCH($BO11, 입력!$Z$2:$Z$500, 0)) &amp; "", "")</f>
        <v>여</v>
      </c>
      <c r="AF11" s="64" t="str">
        <f>IFERROR(INDEX(입력!$S$2:$S$500, MATCH($BO11, 입력!$Z$2:$Z$500, 0)) &amp; "", "")</f>
        <v>여</v>
      </c>
      <c r="AG11" s="64" t="str">
        <f>IFERROR(INDEX(입력!$T$2:$T$500, MATCH($BO11, 입력!$Z$2:$Z$500, 0)) &amp; "", "")</f>
        <v/>
      </c>
      <c r="AH11" s="64" t="str">
        <f>IFERROR(INDEX(입력!$U$2:$U$500, MATCH($BO11, 입력!$Z$2:$Z$500, 0)) &amp; "", "")</f>
        <v/>
      </c>
      <c r="AI11" s="64" t="str">
        <f>IFERROR(INDEX(입력!$V$2:$V$500, MATCH($BO11, 입력!$Z$2:$Z$500, 0)) &amp; "", "")</f>
        <v>여</v>
      </c>
      <c r="AJ11" s="44" t="str">
        <f>IFERROR(INDEX(입력!$W$2:$W$500, MATCH($BO11, 입력!$Z$2:$Z$500, 0)) &amp; "", "")</f>
        <v>허경수</v>
      </c>
      <c r="AK11" s="44" t="str">
        <f>IFERROR(INDEX(입력!$X$2:$X$500, MATCH($BO11,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3131</v>
      </c>
      <c r="AZ11" s="71" t="str">
        <f>IFERROR(IF(INDEX(입력!$C$2:$C$500, MATCH($BO11, 입력!$Z$2:$Z$500, 0))="", "", TEXT(INDEX(입력!$C$2:$C$500, MATCH($BO11, 입력!$Z$2:$Z$500, 0)), "yyyy-mm-dd")), "")</f>
        <v>2026-04-27</v>
      </c>
      <c r="BA11" s="44" t="str">
        <f>IFERROR(INDEX(입력!$B$2:$B$500, MATCH($BO11, 입력!$Z$2:$Z$500, 0)) &amp; "", "")</f>
        <v>노기섭</v>
      </c>
      <c r="BB11" s="83" t="str">
        <f>IFERROR(INDEX(입력!$Y$2:$Y$500, MATCH($BO11, 입력!$Z$2:$Z$500, 0)) &amp; "", "")</f>
        <v/>
      </c>
      <c r="BC11" s="83" t="s">
        <v>3112</v>
      </c>
      <c r="BD11" s="83"/>
      <c r="BE11" s="101"/>
      <c r="BF11" s="101"/>
      <c r="BG11" s="101"/>
      <c r="BH11" s="101"/>
      <c r="BI11" s="101"/>
      <c r="BJ11" s="101"/>
      <c r="BK11" s="110"/>
      <c r="BL11" s="21" t="s">
        <v>1099</v>
      </c>
      <c r="BM11" s="22"/>
      <c r="BN11" s="23"/>
      <c r="BO11" s="47" t="s">
        <v>143</v>
      </c>
    </row>
    <row r="12" spans="1:67" x14ac:dyDescent="0.45">
      <c r="A12" s="46">
        <v>11</v>
      </c>
      <c r="B12" s="2" t="s">
        <v>1053</v>
      </c>
      <c r="C12" s="17" t="str">
        <f t="shared" si="6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MATCH($BO12, 입력!$Z$2:$Z$500, 0)) &amp; "", "")</f>
        <v>2</v>
      </c>
      <c r="S12" s="64" t="str">
        <f>IFERROR(INDEX(입력!$K$2:$K$500, MATCH($BO12,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 t="str">
        <f t="shared" si="3"/>
        <v/>
      </c>
      <c r="X12" s="1">
        <v>2</v>
      </c>
      <c r="Y12" s="64" t="str">
        <f>IFERROR(INDEX(입력!$M$2:$M$500, MATCH($BO12, 입력!$Z$2:$Z$500, 0)) &amp; "", "")</f>
        <v>2</v>
      </c>
      <c r="Z12" s="64" t="str">
        <f>IFERROR(INDEX(입력!$N$2:$N$500, MATCH($BO12, 입력!$Z$2:$Z$500, 0)) &amp; "", "")</f>
        <v/>
      </c>
      <c r="AA12" s="64">
        <f>MAX(0, 표1[[#This Row],[의무_시설]]-표1[[#This Row],[시설합]])</f>
        <v>0</v>
      </c>
      <c r="AB12" s="17" t="str">
        <f t="shared" si="7"/>
        <v>이행완료</v>
      </c>
      <c r="AC12" s="64" t="str">
        <f>IFERROR(INDEX(입력!$P$2:$P$500, MATCH($BO12, 입력!$Z$2:$Z$500, 0)) &amp; "", "")</f>
        <v/>
      </c>
      <c r="AD12" s="64" t="str">
        <f>IFERROR(INDEX(입력!$Q$2:$Q$500, MATCH($BO12, 입력!$Z$2:$Z$500, 0)) &amp; "", "")</f>
        <v/>
      </c>
      <c r="AE12" s="64" t="str">
        <f>IFERROR(INDEX(입력!$R$2:$R$500, MATCH($BO12, 입력!$Z$2:$Z$500, 0)) &amp; "", "")</f>
        <v/>
      </c>
      <c r="AF12" s="64" t="str">
        <f>IFERROR(INDEX(입력!$S$2:$S$500, MATCH($BO12, 입력!$Z$2:$Z$500, 0)) &amp; "", "")</f>
        <v/>
      </c>
      <c r="AG12" s="64" t="str">
        <f>IFERROR(INDEX(입력!$T$2:$T$500, MATCH($BO12, 입력!$Z$2:$Z$500, 0)) &amp; "", "")</f>
        <v/>
      </c>
      <c r="AH12" s="64" t="str">
        <f>IFERROR(INDEX(입력!$U$2:$U$500, MATCH($BO12, 입력!$Z$2:$Z$500, 0)) &amp; "", "")</f>
        <v/>
      </c>
      <c r="AI12" s="64" t="str">
        <f>IFERROR(INDEX(입력!$V$2:$V$500, MATCH($BO12, 입력!$Z$2:$Z$500, 0)) &amp; "", "")</f>
        <v>여</v>
      </c>
      <c r="AJ12" s="44" t="str">
        <f>IFERROR(INDEX(입력!$W$2:$W$500, MATCH($BO12, 입력!$Z$2:$Z$500, 0)) &amp; "", "")</f>
        <v>강정묵</v>
      </c>
      <c r="AK12" s="44" t="str">
        <f>IFERROR(INDEX(입력!$X$2:$X$500, MATCH($BO12,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3124</v>
      </c>
      <c r="AT12" s="109">
        <v>46104</v>
      </c>
      <c r="AU12" s="101" t="s">
        <v>3141</v>
      </c>
      <c r="AV12" s="114" t="s">
        <v>3148</v>
      </c>
      <c r="AW12" s="101" t="s">
        <v>3149</v>
      </c>
      <c r="AX12" s="101"/>
      <c r="AY12" s="83" t="s">
        <v>3132</v>
      </c>
      <c r="AZ12" s="71" t="str">
        <f>IFERROR(IF(INDEX(입력!$C$2:$C$500, MATCH($BO12, 입력!$Z$2:$Z$500, 0))="", "", TEXT(INDEX(입력!$C$2:$C$500, MATCH($BO12, 입력!$Z$2:$Z$500, 0)), "yyyy-mm-dd")), "")</f>
        <v>2026-04-23</v>
      </c>
      <c r="BA12" s="44" t="str">
        <f>IFERROR(INDEX(입력!$B$2:$B$500, MATCH($BO12, 입력!$Z$2:$Z$500, 0)) &amp; "", "")</f>
        <v>이승수</v>
      </c>
      <c r="BB12" s="83" t="str">
        <f>IFERROR(INDEX(입력!$Y$2:$Y$500, MATCH($BO12, 입력!$Z$2:$Z$500, 0)) &amp; "", "")</f>
        <v>전용주차구역부족</v>
      </c>
      <c r="BC12" s="83" t="s">
        <v>3150</v>
      </c>
      <c r="BD12" s="83"/>
      <c r="BE12" s="101" t="s">
        <v>1060</v>
      </c>
      <c r="BF12" s="109">
        <v>46156</v>
      </c>
      <c r="BG12" s="101" t="s">
        <v>1089</v>
      </c>
      <c r="BH12" s="101" t="s">
        <v>3860</v>
      </c>
      <c r="BI12" s="101" t="s">
        <v>3861</v>
      </c>
      <c r="BJ12" s="101"/>
      <c r="BK12" s="110"/>
      <c r="BL12" s="21" t="s">
        <v>1061</v>
      </c>
      <c r="BM12" s="22"/>
      <c r="BN12" s="23"/>
      <c r="BO12" s="47" t="s">
        <v>145</v>
      </c>
    </row>
    <row r="13" spans="1:67" x14ac:dyDescent="0.45">
      <c r="A13" s="19">
        <v>12</v>
      </c>
      <c r="B13" s="2" t="s">
        <v>1053</v>
      </c>
      <c r="C13" s="17" t="str">
        <f t="shared" si="6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MATCH($BO13, 입력!$Z$2:$Z$500, 0)) &amp; "", "")</f>
        <v>4</v>
      </c>
      <c r="S13" s="64" t="str">
        <f>IFERROR(INDEX(입력!$K$2:$K$500, MATCH($BO13,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 t="str">
        <f t="shared" si="3"/>
        <v/>
      </c>
      <c r="X13" s="1">
        <v>3</v>
      </c>
      <c r="Y13" s="64" t="str">
        <f>IFERROR(INDEX(입력!$M$2:$M$500, MATCH($BO13, 입력!$Z$2:$Z$500, 0)) &amp; "", "")</f>
        <v>3</v>
      </c>
      <c r="Z13" s="64" t="str">
        <f>IFERROR(INDEX(입력!$N$2:$N$500, MATCH($BO13, 입력!$Z$2:$Z$500, 0)) &amp; "", "")</f>
        <v/>
      </c>
      <c r="AA13" s="64">
        <f>MAX(0, 표1[[#This Row],[의무_시설]]-표1[[#This Row],[시설합]])</f>
        <v>0</v>
      </c>
      <c r="AB13" s="17" t="str">
        <f t="shared" si="7"/>
        <v>이행완료</v>
      </c>
      <c r="AC13" s="64" t="str">
        <f>IFERROR(INDEX(입력!$P$2:$P$500, MATCH($BO13, 입력!$Z$2:$Z$500, 0)) &amp; "", "")</f>
        <v/>
      </c>
      <c r="AD13" s="64" t="str">
        <f>IFERROR(INDEX(입력!$Q$2:$Q$500, MATCH($BO13, 입력!$Z$2:$Z$500, 0)) &amp; "", "")</f>
        <v/>
      </c>
      <c r="AE13" s="64" t="str">
        <f>IFERROR(INDEX(입력!$R$2:$R$500, MATCH($BO13, 입력!$Z$2:$Z$500, 0)) &amp; "", "")</f>
        <v>여</v>
      </c>
      <c r="AF13" s="64" t="str">
        <f>IFERROR(INDEX(입력!$S$2:$S$500, MATCH($BO13, 입력!$Z$2:$Z$500, 0)) &amp; "", "")</f>
        <v>여</v>
      </c>
      <c r="AG13" s="64" t="str">
        <f>IFERROR(INDEX(입력!$T$2:$T$500, MATCH($BO13, 입력!$Z$2:$Z$500, 0)) &amp; "", "")</f>
        <v/>
      </c>
      <c r="AH13" s="64" t="str">
        <f>IFERROR(INDEX(입력!$U$2:$U$500, MATCH($BO13, 입력!$Z$2:$Z$500, 0)) &amp; "", "")</f>
        <v/>
      </c>
      <c r="AI13" s="64" t="str">
        <f>IFERROR(INDEX(입력!$V$2:$V$500, MATCH($BO13, 입력!$Z$2:$Z$500, 0)) &amp; "", "")</f>
        <v>여</v>
      </c>
      <c r="AJ13" s="44" t="str">
        <f>IFERROR(INDEX(입력!$W$2:$W$500, MATCH($BO13, 입력!$Z$2:$Z$500, 0)) &amp; "", "")</f>
        <v>양준형</v>
      </c>
      <c r="AK13" s="44" t="str">
        <f>IFERROR(INDEX(입력!$X$2:$X$500, MATCH($BO13, 입력!$Z$2:$Z$500, 0)) &amp; "", "")</f>
        <v>980-0787</v>
      </c>
      <c r="AL13" s="2" t="s">
        <v>1113</v>
      </c>
      <c r="AM13" s="17" t="s">
        <v>3151</v>
      </c>
      <c r="AN13" s="83"/>
      <c r="AO13" s="17" t="s">
        <v>1089</v>
      </c>
      <c r="AP13" s="2" t="s">
        <v>3152</v>
      </c>
      <c r="AQ13" s="21"/>
      <c r="AR13" s="22" t="s">
        <v>3153</v>
      </c>
      <c r="AS13" s="101"/>
      <c r="AT13" s="101"/>
      <c r="AU13" s="101"/>
      <c r="AV13" s="101"/>
      <c r="AW13" s="101"/>
      <c r="AX13" s="101"/>
      <c r="AY13" s="83" t="s">
        <v>3137</v>
      </c>
      <c r="AZ13" s="71" t="str">
        <f>IFERROR(IF(INDEX(입력!$C$2:$C$500, MATCH($BO13, 입력!$Z$2:$Z$500, 0))="", "", TEXT(INDEX(입력!$C$2:$C$500, MATCH($BO13, 입력!$Z$2:$Z$500, 0)), "yyyy-mm-dd")), "")</f>
        <v>2026-04-15</v>
      </c>
      <c r="BA13" s="44" t="str">
        <f>IFERROR(INDEX(입력!$B$2:$B$500, MATCH($BO13, 입력!$Z$2:$Z$500, 0)) &amp; "", "")</f>
        <v>노기섭</v>
      </c>
      <c r="BB13" s="83" t="str">
        <f>IFERROR(INDEX(입력!$Y$2:$Y$500, MATCH($BO13, 입력!$Z$2:$Z$500, 0)) &amp; "", "")</f>
        <v/>
      </c>
      <c r="BC13" s="83" t="s">
        <v>3112</v>
      </c>
      <c r="BD13" s="83"/>
      <c r="BE13" s="101"/>
      <c r="BF13" s="101"/>
      <c r="BG13" s="101"/>
      <c r="BH13" s="101"/>
      <c r="BI13" s="101"/>
      <c r="BJ13" s="101"/>
      <c r="BK13" s="110"/>
      <c r="BL13" s="21" t="s">
        <v>1069</v>
      </c>
      <c r="BM13" s="22"/>
      <c r="BN13" s="23"/>
      <c r="BO13" s="47" t="s">
        <v>147</v>
      </c>
    </row>
    <row r="14" spans="1:67" x14ac:dyDescent="0.45">
      <c r="A14" s="46">
        <v>13</v>
      </c>
      <c r="B14" s="2" t="s">
        <v>1053</v>
      </c>
      <c r="C14" s="17" t="str">
        <f t="shared" si="6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MATCH($BO14, 입력!$Z$2:$Z$500, 0)) &amp; "", "")</f>
        <v>5</v>
      </c>
      <c r="S14" s="64" t="str">
        <f>IFERROR(INDEX(입력!$K$2:$K$500, MATCH($BO14,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 t="str">
        <f t="shared" si="3"/>
        <v/>
      </c>
      <c r="X14" s="1">
        <v>2</v>
      </c>
      <c r="Y14" s="64" t="str">
        <f>IFERROR(INDEX(입력!$M$2:$M$500, MATCH($BO14, 입력!$Z$2:$Z$500, 0)) &amp; "", "")</f>
        <v>2</v>
      </c>
      <c r="Z14" s="64" t="str">
        <f>IFERROR(INDEX(입력!$N$2:$N$500, MATCH($BO14, 입력!$Z$2:$Z$500, 0)) &amp; "", "")</f>
        <v/>
      </c>
      <c r="AA14" s="64">
        <f>MAX(0, 표1[[#This Row],[의무_시설]]-표1[[#This Row],[시설합]])</f>
        <v>0</v>
      </c>
      <c r="AB14" s="17" t="str">
        <f t="shared" si="7"/>
        <v>이행완료</v>
      </c>
      <c r="AC14" s="64" t="str">
        <f>IFERROR(INDEX(입력!$P$2:$P$500, MATCH($BO14, 입력!$Z$2:$Z$500, 0)) &amp; "", "")</f>
        <v/>
      </c>
      <c r="AD14" s="64" t="str">
        <f>IFERROR(INDEX(입력!$Q$2:$Q$500, MATCH($BO14, 입력!$Z$2:$Z$500, 0)) &amp; "", "")</f>
        <v/>
      </c>
      <c r="AE14" s="64" t="str">
        <f>IFERROR(INDEX(입력!$R$2:$R$500, MATCH($BO14, 입력!$Z$2:$Z$500, 0)) &amp; "", "")</f>
        <v/>
      </c>
      <c r="AF14" s="64" t="str">
        <f>IFERROR(INDEX(입력!$S$2:$S$500, MATCH($BO14, 입력!$Z$2:$Z$500, 0)) &amp; "", "")</f>
        <v/>
      </c>
      <c r="AG14" s="64" t="str">
        <f>IFERROR(INDEX(입력!$T$2:$T$500, MATCH($BO14, 입력!$Z$2:$Z$500, 0)) &amp; "", "")</f>
        <v/>
      </c>
      <c r="AH14" s="64" t="str">
        <f>IFERROR(INDEX(입력!$U$2:$U$500, MATCH($BO14, 입력!$Z$2:$Z$500, 0)) &amp; "", "")</f>
        <v/>
      </c>
      <c r="AI14" s="64" t="str">
        <f>IFERROR(INDEX(입력!$V$2:$V$500, MATCH($BO14, 입력!$Z$2:$Z$500, 0)) &amp; "", "")</f>
        <v>여</v>
      </c>
      <c r="AJ14" s="44" t="str">
        <f>IFERROR(INDEX(입력!$W$2:$W$500, MATCH($BO14, 입력!$Z$2:$Z$500, 0)) &amp; "", "")</f>
        <v>김호동</v>
      </c>
      <c r="AK14" s="44" t="str">
        <f>IFERROR(INDEX(입력!$X$2:$X$500, MATCH($BO14,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3154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3137</v>
      </c>
      <c r="AZ14" s="71" t="str">
        <f>IFERROR(IF(INDEX(입력!$C$2:$C$500, MATCH($BO14, 입력!$Z$2:$Z$500, 0))="", "", TEXT(INDEX(입력!$C$2:$C$500, MATCH($BO14, 입력!$Z$2:$Z$500, 0)), "yyyy-mm-dd")), "")</f>
        <v>2026-04-21</v>
      </c>
      <c r="BA14" s="44" t="str">
        <f>IFERROR(INDEX(입력!$B$2:$B$500, MATCH($BO14, 입력!$Z$2:$Z$500, 0)) &amp; "", "")</f>
        <v>노기섭</v>
      </c>
      <c r="BB14" s="83" t="str">
        <f>IFERROR(INDEX(입력!$Y$2:$Y$500, MATCH($BO14, 입력!$Z$2:$Z$500, 0)) &amp; "", "")</f>
        <v/>
      </c>
      <c r="BC14" s="83" t="s">
        <v>3112</v>
      </c>
      <c r="BD14" s="83"/>
      <c r="BE14" s="101"/>
      <c r="BF14" s="101"/>
      <c r="BG14" s="101"/>
      <c r="BH14" s="101"/>
      <c r="BI14" s="101"/>
      <c r="BJ14" s="101"/>
      <c r="BK14" s="110"/>
      <c r="BL14" s="21" t="s">
        <v>1061</v>
      </c>
      <c r="BM14" s="22"/>
      <c r="BN14" s="23"/>
      <c r="BO14" s="47" t="s">
        <v>149</v>
      </c>
    </row>
    <row r="15" spans="1:67" x14ac:dyDescent="0.45">
      <c r="A15" s="19">
        <v>14</v>
      </c>
      <c r="B15" s="2" t="s">
        <v>1053</v>
      </c>
      <c r="C15" s="17" t="str">
        <f t="shared" si="6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MATCH($BO15, 입력!$Z$2:$Z$500, 0)) &amp; "", "")</f>
        <v>2</v>
      </c>
      <c r="S15" s="64" t="str">
        <f>IFERROR(INDEX(입력!$K$2:$K$500, MATCH($BO15,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 t="shared" si="3"/>
        <v>1</v>
      </c>
      <c r="X15" s="1">
        <v>2</v>
      </c>
      <c r="Y15" s="64" t="str">
        <f>IFERROR(INDEX(입력!$M$2:$M$500, MATCH($BO15, 입력!$Z$2:$Z$500, 0)) &amp; "", "")</f>
        <v>2</v>
      </c>
      <c r="Z15" s="64" t="str">
        <f>IFERROR(INDEX(입력!$N$2:$N$500, MATCH($BO15, 입력!$Z$2:$Z$500, 0)) &amp; "", "")</f>
        <v/>
      </c>
      <c r="AA15" s="64">
        <f>MAX(0, 표1[[#This Row],[의무_시설]]-표1[[#This Row],[시설합]])</f>
        <v>3</v>
      </c>
      <c r="AB15" s="17" t="str">
        <f t="shared" si="7"/>
        <v>미이행</v>
      </c>
      <c r="AC15" s="64" t="str">
        <f>IFERROR(INDEX(입력!$P$2:$P$500, MATCH($BO15, 입력!$Z$2:$Z$500, 0)) &amp; "", "")</f>
        <v/>
      </c>
      <c r="AD15" s="64" t="str">
        <f>IFERROR(INDEX(입력!$Q$2:$Q$500, MATCH($BO15, 입력!$Z$2:$Z$500, 0)) &amp; "", "")</f>
        <v/>
      </c>
      <c r="AE15" s="64" t="str">
        <f>IFERROR(INDEX(입력!$R$2:$R$500, MATCH($BO15, 입력!$Z$2:$Z$500, 0)) &amp; "", "")</f>
        <v>부</v>
      </c>
      <c r="AF15" s="64" t="str">
        <f>IFERROR(INDEX(입력!$S$2:$S$500, MATCH($BO15, 입력!$Z$2:$Z$500, 0)) &amp; "", "")</f>
        <v>여</v>
      </c>
      <c r="AG15" s="64" t="str">
        <f>IFERROR(INDEX(입력!$T$2:$T$500, MATCH($BO15, 입력!$Z$2:$Z$500, 0)) &amp; "", "")</f>
        <v/>
      </c>
      <c r="AH15" s="64" t="str">
        <f>IFERROR(INDEX(입력!$U$2:$U$500, MATCH($BO15, 입력!$Z$2:$Z$500, 0)) &amp; "", "")</f>
        <v/>
      </c>
      <c r="AI15" s="64" t="str">
        <f>IFERROR(INDEX(입력!$V$2:$V$500, MATCH($BO15, 입력!$Z$2:$Z$500, 0)) &amp; "", "")</f>
        <v>여</v>
      </c>
      <c r="AJ15" s="44" t="str">
        <f>IFERROR(INDEX(입력!$W$2:$W$500, MATCH($BO15, 입력!$Z$2:$Z$500, 0)) &amp; "", "")</f>
        <v>이수호</v>
      </c>
      <c r="AK15" s="44" t="str">
        <f>IFERROR(INDEX(입력!$X$2:$X$500, MATCH($BO15,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3155</v>
      </c>
      <c r="AQ15" s="108"/>
      <c r="AR15" s="22" t="s">
        <v>1122</v>
      </c>
      <c r="AS15" s="101" t="s">
        <v>3124</v>
      </c>
      <c r="AT15" s="109">
        <v>46104</v>
      </c>
      <c r="AU15" s="101" t="s">
        <v>3141</v>
      </c>
      <c r="AV15" s="101" t="s">
        <v>3157</v>
      </c>
      <c r="AW15" s="101" t="s">
        <v>3158</v>
      </c>
      <c r="AX15" s="101"/>
      <c r="AY15" s="83" t="s">
        <v>3131</v>
      </c>
      <c r="AZ15" s="71" t="str">
        <f>IFERROR(IF(INDEX(입력!$C$2:$C$500, MATCH($BO15, 입력!$Z$2:$Z$500, 0))="", "", TEXT(INDEX(입력!$C$2:$C$500, MATCH($BO15, 입력!$Z$2:$Z$500, 0)), "yyyy-mm-dd")), "")</f>
        <v>2026-04-23</v>
      </c>
      <c r="BA15" s="44" t="str">
        <f>IFERROR(INDEX(입력!$B$2:$B$500, MATCH($BO15, 입력!$Z$2:$Z$500, 0)) &amp; "", "")</f>
        <v>이승수</v>
      </c>
      <c r="BB15" s="83" t="str">
        <f>IFERROR(INDEX(입력!$Y$2:$Y$500, MATCH($BO15, 입력!$Z$2:$Z$500, 0)) &amp; "", "")</f>
        <v>예산부족. '26.12까지 준비중.</v>
      </c>
      <c r="BC15" s="83" t="s">
        <v>3159</v>
      </c>
      <c r="BD15" s="83"/>
      <c r="BE15" s="101" t="s">
        <v>3808</v>
      </c>
      <c r="BF15" s="109">
        <v>46156</v>
      </c>
      <c r="BG15" s="101" t="s">
        <v>1089</v>
      </c>
      <c r="BH15" s="101" t="s">
        <v>3863</v>
      </c>
      <c r="BI15" s="101" t="s">
        <v>3810</v>
      </c>
      <c r="BJ15" s="101"/>
      <c r="BK15" s="110"/>
      <c r="BL15" s="21" t="s">
        <v>1069</v>
      </c>
      <c r="BM15" s="22"/>
      <c r="BN15" s="23"/>
      <c r="BO15" s="47" t="s">
        <v>151</v>
      </c>
    </row>
    <row r="16" spans="1:67" x14ac:dyDescent="0.45">
      <c r="A16" s="46">
        <v>15</v>
      </c>
      <c r="B16" s="2" t="s">
        <v>1053</v>
      </c>
      <c r="C16" s="17" t="str">
        <f t="shared" si="6"/>
        <v>이행완료</v>
      </c>
      <c r="D16" s="17" t="str">
        <f t="shared" si="0"/>
        <v>조사완료</v>
      </c>
      <c r="E16" s="2" t="s">
        <v>1123</v>
      </c>
      <c r="F16" s="1" t="s">
        <v>152</v>
      </c>
      <c r="G16" s="1" t="s">
        <v>1124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MATCH($BO16, 입력!$Z$2:$Z$500, 0)) &amp; "", "")</f>
        <v>14</v>
      </c>
      <c r="S16" s="64" t="str">
        <f>IFERROR(INDEX(입력!$K$2:$K$500, MATCH($BO16,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 t="shared" si="3"/>
        <v>1</v>
      </c>
      <c r="X16" s="1">
        <v>6</v>
      </c>
      <c r="Y16" s="64" t="str">
        <f>IFERROR(INDEX(입력!$M$2:$M$500, MATCH($BO16, 입력!$Z$2:$Z$500, 0)) &amp; "", "")</f>
        <v>2</v>
      </c>
      <c r="Z16" s="64" t="str">
        <f>IFERROR(INDEX(입력!$N$2:$N$500, MATCH($BO16, 입력!$Z$2:$Z$500, 0)) &amp; "", "")</f>
        <v>4</v>
      </c>
      <c r="AA16" s="64">
        <f>MAX(0, 표1[[#This Row],[의무_시설]]-표1[[#This Row],[시설합]])</f>
        <v>0</v>
      </c>
      <c r="AB16" s="17" t="str">
        <f t="shared" si="7"/>
        <v>이행완료</v>
      </c>
      <c r="AC16" s="64" t="str">
        <f>IFERROR(INDEX(입력!$P$2:$P$500, MATCH($BO16, 입력!$Z$2:$Z$500, 0)) &amp; "", "")</f>
        <v/>
      </c>
      <c r="AD16" s="64" t="str">
        <f>IFERROR(INDEX(입력!$Q$2:$Q$500, MATCH($BO16, 입력!$Z$2:$Z$500, 0)) &amp; "", "")</f>
        <v/>
      </c>
      <c r="AE16" s="64" t="str">
        <f>IFERROR(INDEX(입력!$R$2:$R$500, MATCH($BO16, 입력!$Z$2:$Z$500, 0)) &amp; "", "")</f>
        <v>여</v>
      </c>
      <c r="AF16" s="64" t="str">
        <f>IFERROR(INDEX(입력!$S$2:$S$500, MATCH($BO16, 입력!$Z$2:$Z$500, 0)) &amp; "", "")</f>
        <v>여</v>
      </c>
      <c r="AG16" s="64" t="str">
        <f>IFERROR(INDEX(입력!$T$2:$T$500, MATCH($BO16, 입력!$Z$2:$Z$500, 0)) &amp; "", "")</f>
        <v/>
      </c>
      <c r="AH16" s="64" t="str">
        <f>IFERROR(INDEX(입력!$U$2:$U$500, MATCH($BO16, 입력!$Z$2:$Z$500, 0)) &amp; "", "")</f>
        <v/>
      </c>
      <c r="AI16" s="64" t="str">
        <f>IFERROR(INDEX(입력!$V$2:$V$500, MATCH($BO16, 입력!$Z$2:$Z$500, 0)) &amp; "", "")</f>
        <v>여</v>
      </c>
      <c r="AJ16" s="44" t="str">
        <f>IFERROR(INDEX(입력!$W$2:$W$500, MATCH($BO16, 입력!$Z$2:$Z$500, 0)) &amp; "", "")</f>
        <v>조만열</v>
      </c>
      <c r="AK16" s="44" t="str">
        <f>IFERROR(INDEX(입력!$X$2:$X$500, MATCH($BO16, 입력!$Z$2:$Z$500, 0)) &amp; "", "")</f>
        <v>613-7022</v>
      </c>
      <c r="AL16" s="2" t="s">
        <v>1125</v>
      </c>
      <c r="AM16" s="17" t="s">
        <v>1090</v>
      </c>
      <c r="AN16" s="83"/>
      <c r="AO16" s="17" t="s">
        <v>1067</v>
      </c>
      <c r="AP16" s="2"/>
      <c r="AQ16" s="21"/>
      <c r="AR16" s="22" t="s">
        <v>3160</v>
      </c>
      <c r="AS16" s="101"/>
      <c r="AT16" s="101"/>
      <c r="AU16" s="101"/>
      <c r="AV16" s="101"/>
      <c r="AW16" s="101"/>
      <c r="AX16" s="101"/>
      <c r="AY16" s="83" t="s">
        <v>3132</v>
      </c>
      <c r="AZ16" s="71" t="str">
        <f>IFERROR(IF(INDEX(입력!$C$2:$C$500, MATCH($BO16, 입력!$Z$2:$Z$500, 0))="", "", TEXT(INDEX(입력!$C$2:$C$500, MATCH($BO16, 입력!$Z$2:$Z$500, 0)), "yyyy-mm-dd")), "")</f>
        <v>2026-05-04</v>
      </c>
      <c r="BA16" s="44" t="str">
        <f>IFERROR(INDEX(입력!$B$2:$B$500, MATCH($BO16, 입력!$Z$2:$Z$500, 0)) &amp; "", "")</f>
        <v>노기섭</v>
      </c>
      <c r="BB16" s="83" t="str">
        <f>IFERROR(INDEX(입력!$Y$2:$Y$500, MATCH($BO16, 입력!$Z$2:$Z$500, 0)) &amp; "", "")</f>
        <v/>
      </c>
      <c r="BC16" s="83" t="s">
        <v>3112</v>
      </c>
      <c r="BD16" s="83"/>
      <c r="BE16" s="101"/>
      <c r="BF16" s="101"/>
      <c r="BG16" s="101"/>
      <c r="BH16" s="101"/>
      <c r="BI16" s="101"/>
      <c r="BJ16" s="101"/>
      <c r="BK16" s="110"/>
      <c r="BL16" s="21" t="s">
        <v>1061</v>
      </c>
      <c r="BM16" s="22"/>
      <c r="BN16" s="23"/>
      <c r="BO16" s="47" t="s">
        <v>153</v>
      </c>
    </row>
    <row r="17" spans="1:67" x14ac:dyDescent="0.45">
      <c r="A17" s="19">
        <v>16</v>
      </c>
      <c r="B17" s="2" t="s">
        <v>1053</v>
      </c>
      <c r="C17" s="17" t="str">
        <f t="shared" si="6"/>
        <v>이행완료</v>
      </c>
      <c r="D17" s="17" t="str">
        <f t="shared" si="0"/>
        <v>조사완료</v>
      </c>
      <c r="E17" s="2" t="s">
        <v>1126</v>
      </c>
      <c r="F17" s="1" t="s">
        <v>154</v>
      </c>
      <c r="G17" s="1" t="s">
        <v>1127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MATCH($BO17, 입력!$Z$2:$Z$500, 0)) &amp; "", "")</f>
        <v>7</v>
      </c>
      <c r="S17" s="64" t="str">
        <f>IFERROR(INDEX(입력!$K$2:$K$500, MATCH($BO17,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 t="str">
        <f t="shared" si="3"/>
        <v/>
      </c>
      <c r="X17" s="1">
        <v>5</v>
      </c>
      <c r="Y17" s="64" t="str">
        <f>IFERROR(INDEX(입력!$M$2:$M$500, MATCH($BO17, 입력!$Z$2:$Z$500, 0)) &amp; "", "")</f>
        <v/>
      </c>
      <c r="Z17" s="64" t="str">
        <f>IFERROR(INDEX(입력!$N$2:$N$500, MATCH($BO17, 입력!$Z$2:$Z$500, 0)) &amp; "", "")</f>
        <v>5</v>
      </c>
      <c r="AA17" s="64">
        <f>MAX(0, 표1[[#This Row],[의무_시설]]-표1[[#This Row],[시설합]])</f>
        <v>0</v>
      </c>
      <c r="AB17" s="17" t="str">
        <f t="shared" si="7"/>
        <v>이행완료</v>
      </c>
      <c r="AC17" s="64" t="str">
        <f>IFERROR(INDEX(입력!$P$2:$P$500, MATCH($BO17, 입력!$Z$2:$Z$500, 0)) &amp; "", "")</f>
        <v/>
      </c>
      <c r="AD17" s="64" t="str">
        <f>IFERROR(INDEX(입력!$Q$2:$Q$500, MATCH($BO17, 입력!$Z$2:$Z$500, 0)) &amp; "", "")</f>
        <v/>
      </c>
      <c r="AE17" s="64" t="str">
        <f>IFERROR(INDEX(입력!$R$2:$R$500, MATCH($BO17, 입력!$Z$2:$Z$500, 0)) &amp; "", "")</f>
        <v>여</v>
      </c>
      <c r="AF17" s="64" t="str">
        <f>IFERROR(INDEX(입력!$S$2:$S$500, MATCH($BO17, 입력!$Z$2:$Z$500, 0)) &amp; "", "")</f>
        <v>여</v>
      </c>
      <c r="AG17" s="64" t="str">
        <f>IFERROR(INDEX(입력!$T$2:$T$500, MATCH($BO17, 입력!$Z$2:$Z$500, 0)) &amp; "", "")</f>
        <v/>
      </c>
      <c r="AH17" s="64" t="str">
        <f>IFERROR(INDEX(입력!$U$2:$U$500, MATCH($BO17, 입력!$Z$2:$Z$500, 0)) &amp; "", "")</f>
        <v/>
      </c>
      <c r="AI17" s="64" t="str">
        <f>IFERROR(INDEX(입력!$V$2:$V$500, MATCH($BO17, 입력!$Z$2:$Z$500, 0)) &amp; "", "")</f>
        <v>여</v>
      </c>
      <c r="AJ17" s="44" t="str">
        <f>IFERROR(INDEX(입력!$W$2:$W$500, MATCH($BO17, 입력!$Z$2:$Z$500, 0)) &amp; "", "")</f>
        <v>홍서영</v>
      </c>
      <c r="AK17" s="44" t="str">
        <f>IFERROR(INDEX(입력!$X$2:$X$500, MATCH($BO17, 입력!$Z$2:$Z$500, 0)) &amp; "", "")</f>
        <v>950-1127</v>
      </c>
      <c r="AL17" s="2" t="s">
        <v>1128</v>
      </c>
      <c r="AM17" s="17" t="s">
        <v>1090</v>
      </c>
      <c r="AN17" s="83"/>
      <c r="AO17" s="17" t="s">
        <v>1089</v>
      </c>
      <c r="AP17" s="2" t="s">
        <v>1129</v>
      </c>
      <c r="AQ17" s="21"/>
      <c r="AR17" s="22" t="s">
        <v>1130</v>
      </c>
      <c r="AS17" s="101"/>
      <c r="AT17" s="101"/>
      <c r="AU17" s="101"/>
      <c r="AV17" s="101"/>
      <c r="AW17" s="101"/>
      <c r="AX17" s="101"/>
      <c r="AY17" s="83" t="s">
        <v>3137</v>
      </c>
      <c r="AZ17" s="71" t="str">
        <f>IFERROR(IF(INDEX(입력!$C$2:$C$500, MATCH($BO17, 입력!$Z$2:$Z$500, 0))="", "", TEXT(INDEX(입력!$C$2:$C$500, MATCH($BO17, 입력!$Z$2:$Z$500, 0)), "yyyy-mm-dd")), "")</f>
        <v>2026-05-07</v>
      </c>
      <c r="BA17" s="44" t="str">
        <f>IFERROR(INDEX(입력!$B$2:$B$500, MATCH($BO17, 입력!$Z$2:$Z$500, 0)) &amp; "", "")</f>
        <v>노기섭</v>
      </c>
      <c r="BB17" s="83" t="str">
        <f>IFERROR(INDEX(입력!$Y$2:$Y$500, MATCH($BO17, 입력!$Z$2:$Z$500, 0)) &amp; "", "")</f>
        <v/>
      </c>
      <c r="BC17" s="83" t="s">
        <v>3112</v>
      </c>
      <c r="BD17" s="83"/>
      <c r="BE17" s="101"/>
      <c r="BF17" s="101"/>
      <c r="BG17" s="101"/>
      <c r="BH17" s="101"/>
      <c r="BI17" s="101"/>
      <c r="BJ17" s="101"/>
      <c r="BK17" s="110"/>
      <c r="BL17" s="21" t="s">
        <v>1069</v>
      </c>
      <c r="BM17" s="22"/>
      <c r="BN17" s="23"/>
      <c r="BO17" s="47" t="s">
        <v>155</v>
      </c>
    </row>
    <row r="18" spans="1:67" x14ac:dyDescent="0.45">
      <c r="A18" s="46">
        <v>17</v>
      </c>
      <c r="B18" s="2" t="s">
        <v>1053</v>
      </c>
      <c r="C18" s="17" t="str">
        <f t="shared" si="6"/>
        <v>이행완료</v>
      </c>
      <c r="D18" s="17" t="str">
        <f t="shared" si="0"/>
        <v>조사완료</v>
      </c>
      <c r="E18" s="2" t="s">
        <v>1131</v>
      </c>
      <c r="F18" s="1" t="s">
        <v>156</v>
      </c>
      <c r="G18" s="1" t="s">
        <v>1132</v>
      </c>
      <c r="H18" s="18" t="s">
        <v>1133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MATCH($BO18, 입력!$Z$2:$Z$500, 0)) &amp; "", "")</f>
        <v>4</v>
      </c>
      <c r="S18" s="64" t="str">
        <f>IFERROR(INDEX(입력!$K$2:$K$500, MATCH($BO18,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 t="str">
        <f t="shared" si="3"/>
        <v/>
      </c>
      <c r="X18" s="1">
        <v>4</v>
      </c>
      <c r="Y18" s="64" t="str">
        <f>IFERROR(INDEX(입력!$M$2:$M$500, MATCH($BO18, 입력!$Z$2:$Z$500, 0)) &amp; "", "")</f>
        <v>2</v>
      </c>
      <c r="Z18" s="64" t="str">
        <f>IFERROR(INDEX(입력!$N$2:$N$500, MATCH($BO18, 입력!$Z$2:$Z$500, 0)) &amp; "", "")</f>
        <v>2</v>
      </c>
      <c r="AA18" s="64">
        <f>MAX(0, 표1[[#This Row],[의무_시설]]-표1[[#This Row],[시설합]])</f>
        <v>0</v>
      </c>
      <c r="AB18" s="17" t="str">
        <f t="shared" si="7"/>
        <v>이행완료</v>
      </c>
      <c r="AC18" s="64" t="str">
        <f>IFERROR(INDEX(입력!$P$2:$P$500, MATCH($BO18, 입력!$Z$2:$Z$500, 0)) &amp; "", "")</f>
        <v/>
      </c>
      <c r="AD18" s="64" t="str">
        <f>IFERROR(INDEX(입력!$Q$2:$Q$500, MATCH($BO18, 입력!$Z$2:$Z$500, 0)) &amp; "", "")</f>
        <v/>
      </c>
      <c r="AE18" s="64" t="str">
        <f>IFERROR(INDEX(입력!$R$2:$R$500, MATCH($BO18, 입력!$Z$2:$Z$500, 0)) &amp; "", "")</f>
        <v>여</v>
      </c>
      <c r="AF18" s="64" t="str">
        <f>IFERROR(INDEX(입력!$S$2:$S$500, MATCH($BO18, 입력!$Z$2:$Z$500, 0)) &amp; "", "")</f>
        <v>부</v>
      </c>
      <c r="AG18" s="64" t="str">
        <f>IFERROR(INDEX(입력!$T$2:$T$500, MATCH($BO18, 입력!$Z$2:$Z$500, 0)) &amp; "", "")</f>
        <v/>
      </c>
      <c r="AH18" s="64" t="str">
        <f>IFERROR(INDEX(입력!$U$2:$U$500, MATCH($BO18, 입력!$Z$2:$Z$500, 0)) &amp; "", "")</f>
        <v/>
      </c>
      <c r="AI18" s="64" t="str">
        <f>IFERROR(INDEX(입력!$V$2:$V$500, MATCH($BO18, 입력!$Z$2:$Z$500, 0)) &amp; "", "")</f>
        <v>여</v>
      </c>
      <c r="AJ18" s="44" t="str">
        <f>IFERROR(INDEX(입력!$W$2:$W$500, MATCH($BO18, 입력!$Z$2:$Z$500, 0)) &amp; "", "")</f>
        <v>이승은</v>
      </c>
      <c r="AK18" s="44" t="str">
        <f>IFERROR(INDEX(입력!$X$2:$X$500, MATCH($BO18, 입력!$Z$2:$Z$500, 0)) &amp; "", "")</f>
        <v>970-1111</v>
      </c>
      <c r="AL18" s="2" t="s">
        <v>1134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3131</v>
      </c>
      <c r="AZ18" s="71" t="str">
        <f>IFERROR(IF(INDEX(입력!$C$2:$C$500, MATCH($BO18, 입력!$Z$2:$Z$500, 0))="", "", TEXT(INDEX(입력!$C$2:$C$500, MATCH($BO18, 입력!$Z$2:$Z$500, 0)), "yyyy-mm-dd")), "")</f>
        <v>2026-04-29</v>
      </c>
      <c r="BA18" s="44" t="str">
        <f>IFERROR(INDEX(입력!$B$2:$B$500, MATCH($BO18, 입력!$Z$2:$Z$500, 0)) &amp; "", "")</f>
        <v>이승수</v>
      </c>
      <c r="BB18" s="83" t="str">
        <f>IFERROR(INDEX(입력!$Y$2:$Y$500, MATCH($BO18, 입력!$Z$2:$Z$500, 0)) &amp; "", "")</f>
        <v/>
      </c>
      <c r="BC18" s="83" t="s">
        <v>3112</v>
      </c>
      <c r="BD18" s="83"/>
      <c r="BE18" s="101"/>
      <c r="BF18" s="101"/>
      <c r="BG18" s="101"/>
      <c r="BH18" s="101"/>
      <c r="BI18" s="101"/>
      <c r="BJ18" s="101"/>
      <c r="BK18" s="110"/>
      <c r="BL18" s="21" t="s">
        <v>1069</v>
      </c>
      <c r="BM18" s="22"/>
      <c r="BN18" s="23"/>
      <c r="BO18" s="47" t="s">
        <v>157</v>
      </c>
    </row>
    <row r="19" spans="1:67" x14ac:dyDescent="0.45">
      <c r="A19" s="19">
        <v>18</v>
      </c>
      <c r="B19" s="2" t="s">
        <v>1053</v>
      </c>
      <c r="C19" s="17" t="str">
        <f t="shared" si="6"/>
        <v>이행완료</v>
      </c>
      <c r="D19" s="17" t="str">
        <f t="shared" si="0"/>
        <v>조사완료</v>
      </c>
      <c r="E19" s="2" t="s">
        <v>1135</v>
      </c>
      <c r="F19" s="1" t="s">
        <v>158</v>
      </c>
      <c r="G19" s="1" t="s">
        <v>1136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MATCH($BO19, 입력!$Z$2:$Z$500, 0)) &amp; "", "")</f>
        <v>5</v>
      </c>
      <c r="S19" s="64" t="str">
        <f>IFERROR(INDEX(입력!$K$2:$K$500, MATCH($BO19,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 t="str">
        <f t="shared" si="3"/>
        <v/>
      </c>
      <c r="X19" s="1">
        <v>2</v>
      </c>
      <c r="Y19" s="64" t="str">
        <f>IFERROR(INDEX(입력!$M$2:$M$500, MATCH($BO19, 입력!$Z$2:$Z$500, 0)) &amp; "", "")</f>
        <v>1</v>
      </c>
      <c r="Z19" s="64" t="str">
        <f>IFERROR(INDEX(입력!$N$2:$N$500, MATCH($BO19, 입력!$Z$2:$Z$500, 0)) &amp; "", "")</f>
        <v>1</v>
      </c>
      <c r="AA19" s="64">
        <f>MAX(0, 표1[[#This Row],[의무_시설]]-표1[[#This Row],[시설합]])</f>
        <v>0</v>
      </c>
      <c r="AB19" s="17" t="str">
        <f t="shared" si="7"/>
        <v>이행완료</v>
      </c>
      <c r="AC19" s="64" t="str">
        <f>IFERROR(INDEX(입력!$P$2:$P$500, MATCH($BO19, 입력!$Z$2:$Z$500, 0)) &amp; "", "")</f>
        <v/>
      </c>
      <c r="AD19" s="64" t="str">
        <f>IFERROR(INDEX(입력!$Q$2:$Q$500, MATCH($BO19, 입력!$Z$2:$Z$500, 0)) &amp; "", "")</f>
        <v/>
      </c>
      <c r="AE19" s="64" t="str">
        <f>IFERROR(INDEX(입력!$R$2:$R$500, MATCH($BO19, 입력!$Z$2:$Z$500, 0)) &amp; "", "")</f>
        <v>여</v>
      </c>
      <c r="AF19" s="64" t="str">
        <f>IFERROR(INDEX(입력!$S$2:$S$500, MATCH($BO19, 입력!$Z$2:$Z$500, 0)) &amp; "", "")</f>
        <v>여</v>
      </c>
      <c r="AG19" s="64" t="str">
        <f>IFERROR(INDEX(입력!$T$2:$T$500, MATCH($BO19, 입력!$Z$2:$Z$500, 0)) &amp; "", "")</f>
        <v/>
      </c>
      <c r="AH19" s="64" t="str">
        <f>IFERROR(INDEX(입력!$U$2:$U$500, MATCH($BO19, 입력!$Z$2:$Z$500, 0)) &amp; "", "")</f>
        <v/>
      </c>
      <c r="AI19" s="64" t="str">
        <f>IFERROR(INDEX(입력!$V$2:$V$500, MATCH($BO19, 입력!$Z$2:$Z$500, 0)) &amp; "", "")</f>
        <v>여</v>
      </c>
      <c r="AJ19" s="44" t="str">
        <f>IFERROR(INDEX(입력!$W$2:$W$500, MATCH($BO19, 입력!$Z$2:$Z$500, 0)) &amp; "", "")</f>
        <v>최정윤</v>
      </c>
      <c r="AK19" s="44" t="str">
        <f>IFERROR(INDEX(입력!$X$2:$X$500, MATCH($BO19, 입력!$Z$2:$Z$500, 0)) &amp; "", "")</f>
        <v>010-8810-8873</v>
      </c>
      <c r="AL19" s="2" t="s">
        <v>1137</v>
      </c>
      <c r="AM19" s="17" t="s">
        <v>1060</v>
      </c>
      <c r="AN19" s="83"/>
      <c r="AO19" s="17" t="s">
        <v>1067</v>
      </c>
      <c r="AP19" s="2" t="s">
        <v>3161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3137</v>
      </c>
      <c r="AZ19" s="71" t="str">
        <f>IFERROR(IF(INDEX(입력!$C$2:$C$500, MATCH($BO19, 입력!$Z$2:$Z$500, 0))="", "", TEXT(INDEX(입력!$C$2:$C$500, MATCH($BO19, 입력!$Z$2:$Z$500, 0)), "yyyy-mm-dd")), "")</f>
        <v>2026-05-11</v>
      </c>
      <c r="BA19" s="44" t="str">
        <f>IFERROR(INDEX(입력!$B$2:$B$500, MATCH($BO19, 입력!$Z$2:$Z$500, 0)) &amp; "", "")</f>
        <v>이승수</v>
      </c>
      <c r="BB19" s="83" t="str">
        <f>IFERROR(INDEX(입력!$Y$2:$Y$500, MATCH($BO19, 입력!$Z$2:$Z$500, 0)) &amp; "", "")</f>
        <v/>
      </c>
      <c r="BC19" s="83" t="s">
        <v>3112</v>
      </c>
      <c r="BD19" s="83"/>
      <c r="BE19" s="101"/>
      <c r="BF19" s="101"/>
      <c r="BG19" s="101"/>
      <c r="BH19" s="101"/>
      <c r="BI19" s="101"/>
      <c r="BJ19" s="101"/>
      <c r="BK19" s="110"/>
      <c r="BL19" s="21" t="s">
        <v>1099</v>
      </c>
      <c r="BM19" s="22"/>
      <c r="BN19" s="23"/>
      <c r="BO19" s="47" t="s">
        <v>159</v>
      </c>
    </row>
    <row r="20" spans="1:67" x14ac:dyDescent="0.45">
      <c r="A20" s="46">
        <v>19</v>
      </c>
      <c r="B20" s="2" t="s">
        <v>1053</v>
      </c>
      <c r="C20" s="17" t="str">
        <f t="shared" si="6"/>
        <v>미이행</v>
      </c>
      <c r="D20" s="17" t="str">
        <f t="shared" si="0"/>
        <v>조사완료</v>
      </c>
      <c r="E20" s="2" t="s">
        <v>1138</v>
      </c>
      <c r="F20" s="1" t="s">
        <v>160</v>
      </c>
      <c r="G20" s="1" t="s">
        <v>1139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MATCH($BO20, 입력!$Z$2:$Z$500, 0)) &amp; "", "")</f>
        <v>3</v>
      </c>
      <c r="S20" s="64" t="str">
        <f>IFERROR(INDEX(입력!$K$2:$K$500, MATCH($BO20,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 t="str">
        <f t="shared" si="3"/>
        <v/>
      </c>
      <c r="X20" s="1">
        <v>2</v>
      </c>
      <c r="Y20" s="64" t="str">
        <f>IFERROR(INDEX(입력!$M$2:$M$500, MATCH($BO20, 입력!$Z$2:$Z$500, 0)) &amp; "", "")</f>
        <v>2</v>
      </c>
      <c r="Z20" s="64" t="str">
        <f>IFERROR(INDEX(입력!$N$2:$N$500, MATCH($BO20, 입력!$Z$2:$Z$500, 0)) &amp; "", "")</f>
        <v/>
      </c>
      <c r="AA20" s="64">
        <f>MAX(0, 표1[[#This Row],[의무_시설]]-표1[[#This Row],[시설합]])</f>
        <v>1</v>
      </c>
      <c r="AB20" s="17" t="str">
        <f t="shared" si="7"/>
        <v>미이행</v>
      </c>
      <c r="AC20" s="64" t="str">
        <f>IFERROR(INDEX(입력!$P$2:$P$500, MATCH($BO20, 입력!$Z$2:$Z$500, 0)) &amp; "", "")</f>
        <v/>
      </c>
      <c r="AD20" s="64" t="str">
        <f>IFERROR(INDEX(입력!$Q$2:$Q$500, MATCH($BO20, 입력!$Z$2:$Z$500, 0)) &amp; "", "")</f>
        <v/>
      </c>
      <c r="AE20" s="64" t="str">
        <f>IFERROR(INDEX(입력!$R$2:$R$500, MATCH($BO20, 입력!$Z$2:$Z$500, 0)) &amp; "", "")</f>
        <v/>
      </c>
      <c r="AF20" s="64" t="str">
        <f>IFERROR(INDEX(입력!$S$2:$S$500, MATCH($BO20, 입력!$Z$2:$Z$500, 0)) &amp; "", "")</f>
        <v/>
      </c>
      <c r="AG20" s="64" t="str">
        <f>IFERROR(INDEX(입력!$T$2:$T$500, MATCH($BO20, 입력!$Z$2:$Z$500, 0)) &amp; "", "")</f>
        <v/>
      </c>
      <c r="AH20" s="64" t="str">
        <f>IFERROR(INDEX(입력!$U$2:$U$500, MATCH($BO20, 입력!$Z$2:$Z$500, 0)) &amp; "", "")</f>
        <v/>
      </c>
      <c r="AI20" s="64" t="str">
        <f>IFERROR(INDEX(입력!$V$2:$V$500, MATCH($BO20, 입력!$Z$2:$Z$500, 0)) &amp; "", "")</f>
        <v>여</v>
      </c>
      <c r="AJ20" s="44" t="str">
        <f>IFERROR(INDEX(입력!$W$2:$W$500, MATCH($BO20, 입력!$Z$2:$Z$500, 0)) &amp; "", "")</f>
        <v>김주환</v>
      </c>
      <c r="AK20" s="44" t="str">
        <f>IFERROR(INDEX(입력!$X$2:$X$500, MATCH($BO20, 입력!$Z$2:$Z$500, 0)) &amp; "", "")</f>
        <v>010-4158-4462</v>
      </c>
      <c r="AL20" s="2" t="s">
        <v>1140</v>
      </c>
      <c r="AM20" s="17" t="s">
        <v>1060</v>
      </c>
      <c r="AN20" s="113">
        <v>46108</v>
      </c>
      <c r="AO20" s="17" t="s">
        <v>1067</v>
      </c>
      <c r="AP20" s="101" t="s">
        <v>3162</v>
      </c>
      <c r="AQ20" s="108"/>
      <c r="AR20" s="22"/>
      <c r="AS20" s="101" t="s">
        <v>3163</v>
      </c>
      <c r="AT20" s="109">
        <v>46104</v>
      </c>
      <c r="AU20" s="101" t="s">
        <v>3141</v>
      </c>
      <c r="AV20" s="101" t="s">
        <v>3164</v>
      </c>
      <c r="AW20" s="101" t="s">
        <v>3149</v>
      </c>
      <c r="AX20" s="101" t="s">
        <v>3165</v>
      </c>
      <c r="AY20" s="83" t="s">
        <v>3137</v>
      </c>
      <c r="AZ20" s="71" t="str">
        <f>IFERROR(IF(INDEX(입력!$C$2:$C$500, MATCH($BO20, 입력!$Z$2:$Z$500, 0))="", "", TEXT(INDEX(입력!$C$2:$C$500, MATCH($BO20, 입력!$Z$2:$Z$500, 0)), "yyyy-mm-dd")), "")</f>
        <v>2026-04-23</v>
      </c>
      <c r="BA20" s="44" t="str">
        <f>IFERROR(INDEX(입력!$B$2:$B$500, MATCH($BO20, 입력!$Z$2:$Z$500, 0)) &amp; "", "")</f>
        <v>이승수</v>
      </c>
      <c r="BB20" s="83" t="str">
        <f>IFERROR(INDEX(입력!$Y$2:$Y$500, MATCH($BO20, 입력!$Z$2:$Z$500, 0)) &amp; "", "")</f>
        <v>환경부 설치후 사용대기중.2026년내 시행예정</v>
      </c>
      <c r="BC20" s="83" t="s">
        <v>3166</v>
      </c>
      <c r="BD20" s="83"/>
      <c r="BE20" s="101"/>
      <c r="BF20" s="101"/>
      <c r="BG20" s="101"/>
      <c r="BH20" s="101"/>
      <c r="BI20" s="101"/>
      <c r="BJ20" s="101"/>
      <c r="BK20" s="110"/>
      <c r="BL20" s="21" t="s">
        <v>1061</v>
      </c>
      <c r="BM20" s="22"/>
      <c r="BN20" s="23"/>
      <c r="BO20" s="47" t="s">
        <v>161</v>
      </c>
    </row>
    <row r="21" spans="1:67" x14ac:dyDescent="0.45">
      <c r="A21" s="19">
        <v>20</v>
      </c>
      <c r="B21" s="2" t="s">
        <v>1053</v>
      </c>
      <c r="C21" s="17" t="str">
        <f t="shared" si="6"/>
        <v>미이행</v>
      </c>
      <c r="D21" s="17" t="str">
        <f t="shared" si="0"/>
        <v>조사완료</v>
      </c>
      <c r="E21" s="2" t="s">
        <v>1141</v>
      </c>
      <c r="F21" s="1" t="s">
        <v>162</v>
      </c>
      <c r="G21" s="1" t="s">
        <v>1142</v>
      </c>
      <c r="H21" s="18" t="s">
        <v>1143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MATCH($BO21, 입력!$Z$2:$Z$500, 0)) &amp; "", "")</f>
        <v/>
      </c>
      <c r="S21" s="64" t="str">
        <f>IFERROR(INDEX(입력!$K$2:$K$500, MATCH($BO21,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 t="str">
        <f t="shared" si="3"/>
        <v/>
      </c>
      <c r="X21" s="1">
        <v>1</v>
      </c>
      <c r="Y21" s="64" t="str">
        <f>IFERROR(INDEX(입력!$M$2:$M$500, MATCH($BO21, 입력!$Z$2:$Z$500, 0)) &amp; "", "")</f>
        <v>1</v>
      </c>
      <c r="Z21" s="64" t="str">
        <f>IFERROR(INDEX(입력!$N$2:$N$500, MATCH($BO21, 입력!$Z$2:$Z$500, 0)) &amp; "", "")</f>
        <v/>
      </c>
      <c r="AA21" s="64">
        <f>MAX(0, 표1[[#This Row],[의무_시설]]-표1[[#This Row],[시설합]])</f>
        <v>0</v>
      </c>
      <c r="AB21" s="17" t="str">
        <f t="shared" si="7"/>
        <v>이행완료</v>
      </c>
      <c r="AC21" s="64" t="str">
        <f>IFERROR(INDEX(입력!$P$2:$P$500, MATCH($BO21, 입력!$Z$2:$Z$500, 0)) &amp; "", "")</f>
        <v/>
      </c>
      <c r="AD21" s="64" t="str">
        <f>IFERROR(INDEX(입력!$Q$2:$Q$500, MATCH($BO21, 입력!$Z$2:$Z$500, 0)) &amp; "", "")</f>
        <v/>
      </c>
      <c r="AE21" s="64" t="str">
        <f>IFERROR(INDEX(입력!$R$2:$R$500, MATCH($BO21, 입력!$Z$2:$Z$500, 0)) &amp; "", "")</f>
        <v/>
      </c>
      <c r="AF21" s="64" t="str">
        <f>IFERROR(INDEX(입력!$S$2:$S$500, MATCH($BO21, 입력!$Z$2:$Z$500, 0)) &amp; "", "")</f>
        <v/>
      </c>
      <c r="AG21" s="64" t="str">
        <f>IFERROR(INDEX(입력!$T$2:$T$500, MATCH($BO21, 입력!$Z$2:$Z$500, 0)) &amp; "", "")</f>
        <v/>
      </c>
      <c r="AH21" s="64" t="str">
        <f>IFERROR(INDEX(입력!$U$2:$U$500, MATCH($BO21, 입력!$Z$2:$Z$500, 0)) &amp; "", "")</f>
        <v/>
      </c>
      <c r="AI21" s="64" t="str">
        <f>IFERROR(INDEX(입력!$V$2:$V$500, MATCH($BO21, 입력!$Z$2:$Z$500, 0)) &amp; "", "")</f>
        <v>여</v>
      </c>
      <c r="AJ21" s="44" t="str">
        <f>IFERROR(INDEX(입력!$W$2:$W$500, MATCH($BO21, 입력!$Z$2:$Z$500, 0)) &amp; "", "")</f>
        <v>문효석</v>
      </c>
      <c r="AK21" s="44" t="str">
        <f>IFERROR(INDEX(입력!$X$2:$X$500, MATCH($BO21, 입력!$Z$2:$Z$500, 0)) &amp; "", "")</f>
        <v>010-2955-6034</v>
      </c>
      <c r="AL21" s="1" t="s">
        <v>1144</v>
      </c>
      <c r="AM21" s="17" t="s">
        <v>3167</v>
      </c>
      <c r="AN21" s="113">
        <v>46113</v>
      </c>
      <c r="AO21" s="17" t="s">
        <v>1067</v>
      </c>
      <c r="AP21" s="101" t="s">
        <v>3168</v>
      </c>
      <c r="AQ21" s="108" t="s">
        <v>3169</v>
      </c>
      <c r="AR21" s="22"/>
      <c r="AS21" s="101" t="s">
        <v>3124</v>
      </c>
      <c r="AT21" s="109">
        <v>46104</v>
      </c>
      <c r="AU21" s="101" t="s">
        <v>3141</v>
      </c>
      <c r="AV21" s="101" t="s">
        <v>3170</v>
      </c>
      <c r="AW21" s="101" t="s">
        <v>3171</v>
      </c>
      <c r="AX21" s="101"/>
      <c r="AY21" s="83" t="s">
        <v>3131</v>
      </c>
      <c r="AZ21" s="71" t="str">
        <f>IFERROR(IF(INDEX(입력!$C$2:$C$500, MATCH($BO21, 입력!$Z$2:$Z$500, 0))="", "", TEXT(INDEX(입력!$C$2:$C$500, MATCH($BO21, 입력!$Z$2:$Z$500, 0)), "yyyy-mm-dd")), "")</f>
        <v>2026-04-23</v>
      </c>
      <c r="BA21" s="44" t="str">
        <f>IFERROR(INDEX(입력!$B$2:$B$500, MATCH($BO21, 입력!$Z$2:$Z$500, 0)) &amp; "", "")</f>
        <v>이승수</v>
      </c>
      <c r="BB21" s="83" t="str">
        <f>IFERROR(INDEX(입력!$Y$2:$Y$500, MATCH($BO21, 입력!$Z$2:$Z$500, 0)) &amp; "", "")</f>
        <v>공사진행중.'26.08까지 완료예정.</v>
      </c>
      <c r="BC21" s="83" t="s">
        <v>3172</v>
      </c>
      <c r="BD21" s="83"/>
      <c r="BE21" s="101" t="s">
        <v>1060</v>
      </c>
      <c r="BF21" s="109">
        <v>46156</v>
      </c>
      <c r="BG21" s="101" t="s">
        <v>1089</v>
      </c>
      <c r="BH21" s="101" t="s">
        <v>3813</v>
      </c>
      <c r="BI21" s="101" t="s">
        <v>3810</v>
      </c>
      <c r="BJ21" s="101"/>
      <c r="BK21" s="110"/>
      <c r="BL21" s="21" t="s">
        <v>1146</v>
      </c>
      <c r="BM21" s="22"/>
      <c r="BN21" s="23"/>
      <c r="BO21" s="47" t="s">
        <v>163</v>
      </c>
    </row>
    <row r="22" spans="1:67" x14ac:dyDescent="0.45">
      <c r="A22" s="46">
        <v>21</v>
      </c>
      <c r="B22" s="2" t="s">
        <v>1053</v>
      </c>
      <c r="C22" s="17" t="str">
        <f t="shared" si="6"/>
        <v>이행완료</v>
      </c>
      <c r="D22" s="17" t="str">
        <f t="shared" si="0"/>
        <v>조사완료</v>
      </c>
      <c r="E22" s="2" t="s">
        <v>1147</v>
      </c>
      <c r="F22" s="1" t="s">
        <v>164</v>
      </c>
      <c r="G22" s="1" t="s">
        <v>1148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MATCH($BO22, 입력!$Z$2:$Z$500, 0)) &amp; "", "")</f>
        <v>4</v>
      </c>
      <c r="S22" s="64" t="str">
        <f>IFERROR(INDEX(입력!$K$2:$K$500, MATCH($BO22,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 t="str">
        <f t="shared" si="3"/>
        <v/>
      </c>
      <c r="X22" s="1">
        <v>2</v>
      </c>
      <c r="Y22" s="64" t="str">
        <f>IFERROR(INDEX(입력!$M$2:$M$500, MATCH($BO22, 입력!$Z$2:$Z$500, 0)) &amp; "", "")</f>
        <v/>
      </c>
      <c r="Z22" s="64" t="str">
        <f>IFERROR(INDEX(입력!$N$2:$N$500, MATCH($BO22, 입력!$Z$2:$Z$500, 0)) &amp; "", "")</f>
        <v>2</v>
      </c>
      <c r="AA22" s="64">
        <f>MAX(0, 표1[[#This Row],[의무_시설]]-표1[[#This Row],[시설합]])</f>
        <v>0</v>
      </c>
      <c r="AB22" s="17" t="str">
        <f t="shared" si="7"/>
        <v>이행완료</v>
      </c>
      <c r="AC22" s="64" t="str">
        <f>IFERROR(INDEX(입력!$P$2:$P$500, MATCH($BO22, 입력!$Z$2:$Z$500, 0)) &amp; "", "")</f>
        <v/>
      </c>
      <c r="AD22" s="64" t="str">
        <f>IFERROR(INDEX(입력!$Q$2:$Q$500, MATCH($BO22, 입력!$Z$2:$Z$500, 0)) &amp; "", "")</f>
        <v/>
      </c>
      <c r="AE22" s="64" t="str">
        <f>IFERROR(INDEX(입력!$R$2:$R$500, MATCH($BO22, 입력!$Z$2:$Z$500, 0)) &amp; "", "")</f>
        <v>여</v>
      </c>
      <c r="AF22" s="64" t="str">
        <f>IFERROR(INDEX(입력!$S$2:$S$500, MATCH($BO22, 입력!$Z$2:$Z$500, 0)) &amp; "", "")</f>
        <v>여</v>
      </c>
      <c r="AG22" s="64" t="str">
        <f>IFERROR(INDEX(입력!$T$2:$T$500, MATCH($BO22, 입력!$Z$2:$Z$500, 0)) &amp; "", "")</f>
        <v/>
      </c>
      <c r="AH22" s="64" t="str">
        <f>IFERROR(INDEX(입력!$U$2:$U$500, MATCH($BO22, 입력!$Z$2:$Z$500, 0)) &amp; "", "")</f>
        <v/>
      </c>
      <c r="AI22" s="64" t="str">
        <f>IFERROR(INDEX(입력!$V$2:$V$500, MATCH($BO22, 입력!$Z$2:$Z$500, 0)) &amp; "", "")</f>
        <v>여</v>
      </c>
      <c r="AJ22" s="44" t="str">
        <f>IFERROR(INDEX(입력!$W$2:$W$500, MATCH($BO22, 입력!$Z$2:$Z$500, 0)) &amp; "", "")</f>
        <v>이정석</v>
      </c>
      <c r="AK22" s="44" t="str">
        <f>IFERROR(INDEX(입력!$X$2:$X$500, MATCH($BO22, 입력!$Z$2:$Z$500, 0)) &amp; "", "")</f>
        <v>613-8923</v>
      </c>
      <c r="AL22" s="2" t="s">
        <v>1149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3132</v>
      </c>
      <c r="AZ22" s="71" t="str">
        <f>IFERROR(IF(INDEX(입력!$C$2:$C$500, MATCH($BO22, 입력!$Z$2:$Z$500, 0))="", "", TEXT(INDEX(입력!$C$2:$C$500, MATCH($BO22, 입력!$Z$2:$Z$500, 0)), "yyyy-mm-dd")), "")</f>
        <v>2026-05-04</v>
      </c>
      <c r="BA22" s="44" t="str">
        <f>IFERROR(INDEX(입력!$B$2:$B$500, MATCH($BO22, 입력!$Z$2:$Z$500, 0)) &amp; "", "")</f>
        <v>노기섭</v>
      </c>
      <c r="BB22" s="83" t="str">
        <f>IFERROR(INDEX(입력!$Y$2:$Y$500, MATCH($BO22, 입력!$Z$2:$Z$500, 0)) &amp; "", "")</f>
        <v/>
      </c>
      <c r="BC22" s="83" t="s">
        <v>3112</v>
      </c>
      <c r="BD22" s="83"/>
      <c r="BE22" s="101"/>
      <c r="BF22" s="101"/>
      <c r="BG22" s="101"/>
      <c r="BH22" s="101"/>
      <c r="BI22" s="101"/>
      <c r="BJ22" s="101"/>
      <c r="BK22" s="110"/>
      <c r="BL22" s="21" t="s">
        <v>1061</v>
      </c>
      <c r="BM22" s="22"/>
      <c r="BN22" s="23"/>
      <c r="BO22" s="47" t="s">
        <v>165</v>
      </c>
    </row>
    <row r="23" spans="1:67" x14ac:dyDescent="0.45">
      <c r="A23" s="19">
        <v>22</v>
      </c>
      <c r="B23" s="2" t="s">
        <v>1053</v>
      </c>
      <c r="C23" s="17" t="str">
        <f t="shared" si="6"/>
        <v>미이행</v>
      </c>
      <c r="D23" s="17" t="str">
        <f t="shared" si="0"/>
        <v>조사완료</v>
      </c>
      <c r="E23" s="2" t="s">
        <v>1150</v>
      </c>
      <c r="F23" s="1" t="s">
        <v>166</v>
      </c>
      <c r="G23" s="1" t="s">
        <v>1151</v>
      </c>
      <c r="H23" s="18" t="s">
        <v>1152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MATCH($BO23, 입력!$Z$2:$Z$500, 0)) &amp; "", "")</f>
        <v>79</v>
      </c>
      <c r="S23" s="64" t="str">
        <f>IFERROR(INDEX(입력!$K$2:$K$500, MATCH($BO23,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3"/>
        <v>1</v>
      </c>
      <c r="X23" s="1">
        <v>32</v>
      </c>
      <c r="Y23" s="64" t="str">
        <f>IFERROR(INDEX(입력!$M$2:$M$500, MATCH($BO23, 입력!$Z$2:$Z$500, 0)) &amp; "", "")</f>
        <v>6</v>
      </c>
      <c r="Z23" s="64" t="str">
        <f>IFERROR(INDEX(입력!$N$2:$N$500, MATCH($BO23, 입력!$Z$2:$Z$500, 0)) &amp; "", "")</f>
        <v>26</v>
      </c>
      <c r="AA23" s="64">
        <f>MAX(0, 표1[[#This Row],[의무_시설]]-표1[[#This Row],[시설합]])</f>
        <v>1</v>
      </c>
      <c r="AB23" s="17" t="str">
        <f t="shared" si="7"/>
        <v>미이행</v>
      </c>
      <c r="AC23" s="64" t="str">
        <f>IFERROR(INDEX(입력!$P$2:$P$500, MATCH($BO23, 입력!$Z$2:$Z$500, 0)) &amp; "", "")</f>
        <v/>
      </c>
      <c r="AD23" s="64" t="str">
        <f>IFERROR(INDEX(입력!$Q$2:$Q$500, MATCH($BO23, 입력!$Z$2:$Z$500, 0)) &amp; "", "")</f>
        <v/>
      </c>
      <c r="AE23" s="64" t="str">
        <f>IFERROR(INDEX(입력!$R$2:$R$500, MATCH($BO23, 입력!$Z$2:$Z$500, 0)) &amp; "", "")</f>
        <v/>
      </c>
      <c r="AF23" s="64" t="str">
        <f>IFERROR(INDEX(입력!$S$2:$S$500, MATCH($BO23, 입력!$Z$2:$Z$500, 0)) &amp; "", "")</f>
        <v/>
      </c>
      <c r="AG23" s="64" t="str">
        <f>IFERROR(INDEX(입력!$T$2:$T$500, MATCH($BO23, 입력!$Z$2:$Z$500, 0)) &amp; "", "")</f>
        <v/>
      </c>
      <c r="AH23" s="64" t="str">
        <f>IFERROR(INDEX(입력!$U$2:$U$500, MATCH($BO23, 입력!$Z$2:$Z$500, 0)) &amp; "", "")</f>
        <v/>
      </c>
      <c r="AI23" s="64" t="str">
        <f>IFERROR(INDEX(입력!$V$2:$V$500, MATCH($BO23, 입력!$Z$2:$Z$500, 0)) &amp; "", "")</f>
        <v>여</v>
      </c>
      <c r="AJ23" s="44" t="str">
        <f>IFERROR(INDEX(입력!$W$2:$W$500, MATCH($BO23, 입력!$Z$2:$Z$500, 0)) &amp; "", "")</f>
        <v>김도영</v>
      </c>
      <c r="AK23" s="44" t="str">
        <f>IFERROR(INDEX(입력!$X$2:$X$500, MATCH($BO23, 입력!$Z$2:$Z$500, 0)) &amp; "", "")</f>
        <v>010-2650-3970</v>
      </c>
      <c r="AL23" s="26" t="s">
        <v>1153</v>
      </c>
      <c r="AM23" s="17" t="s">
        <v>1060</v>
      </c>
      <c r="AN23" s="113">
        <v>46077</v>
      </c>
      <c r="AO23" s="17" t="s">
        <v>1067</v>
      </c>
      <c r="AP23" s="101" t="s">
        <v>3173</v>
      </c>
      <c r="AQ23" s="108" t="s">
        <v>3169</v>
      </c>
      <c r="AR23" s="22"/>
      <c r="AS23" s="114" t="s">
        <v>3125</v>
      </c>
      <c r="AT23" s="109">
        <v>46104</v>
      </c>
      <c r="AU23" s="101" t="s">
        <v>3126</v>
      </c>
      <c r="AV23" s="114" t="s">
        <v>3174</v>
      </c>
      <c r="AW23" s="101" t="s">
        <v>3150</v>
      </c>
      <c r="AX23" s="101"/>
      <c r="AY23" s="83" t="s">
        <v>3137</v>
      </c>
      <c r="AZ23" s="71" t="str">
        <f>IFERROR(IF(INDEX(입력!$C$2:$C$500, MATCH($BO23, 입력!$Z$2:$Z$500, 0))="", "", TEXT(INDEX(입력!$C$2:$C$500, MATCH($BO23, 입력!$Z$2:$Z$500, 0)), "yyyy-mm-dd")), "")</f>
        <v>2026-04-24</v>
      </c>
      <c r="BA23" s="44" t="str">
        <f>IFERROR(INDEX(입력!$B$2:$B$500, MATCH($BO23, 입력!$Z$2:$Z$500, 0)) &amp; "", "")</f>
        <v>정은진</v>
      </c>
      <c r="BB23" s="83" t="str">
        <f>IFERROR(INDEX(입력!$Y$2:$Y$500, MATCH($BO23, 입력!$Z$2:$Z$500, 0)) &amp; "", "")</f>
        <v>업체선정 후 계획. '26년말 예정.</v>
      </c>
      <c r="BC23" s="83" t="s">
        <v>3169</v>
      </c>
      <c r="BD23" s="83"/>
      <c r="BE23" s="101" t="s">
        <v>1060</v>
      </c>
      <c r="BF23" s="109">
        <v>46168</v>
      </c>
      <c r="BG23" s="101" t="s">
        <v>1089</v>
      </c>
      <c r="BH23" s="101" t="s">
        <v>3991</v>
      </c>
      <c r="BI23" s="101"/>
      <c r="BJ23" s="101"/>
      <c r="BK23" s="110"/>
      <c r="BL23" s="21" t="s">
        <v>1069</v>
      </c>
      <c r="BM23" s="22"/>
      <c r="BN23" s="22" t="s">
        <v>1154</v>
      </c>
      <c r="BO23" s="47" t="s">
        <v>167</v>
      </c>
    </row>
    <row r="24" spans="1:67" x14ac:dyDescent="0.45">
      <c r="A24" s="46">
        <v>23</v>
      </c>
      <c r="B24" s="2" t="s">
        <v>1053</v>
      </c>
      <c r="C24" s="17" t="str">
        <f t="shared" si="6"/>
        <v>미이행</v>
      </c>
      <c r="D24" s="17" t="str">
        <f t="shared" si="0"/>
        <v>조사완료</v>
      </c>
      <c r="E24" s="2" t="s">
        <v>1155</v>
      </c>
      <c r="F24" s="1" t="s">
        <v>168</v>
      </c>
      <c r="G24" s="1" t="s">
        <v>1156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MATCH($BO24, 입력!$Z$2:$Z$500, 0)) &amp; "", "")</f>
        <v>5</v>
      </c>
      <c r="S24" s="64" t="str">
        <f>IFERROR(INDEX(입력!$K$2:$K$500, MATCH($BO24,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 t="str">
        <f t="shared" si="3"/>
        <v/>
      </c>
      <c r="X24" s="1">
        <v>5</v>
      </c>
      <c r="Y24" s="64" t="str">
        <f>IFERROR(INDEX(입력!$M$2:$M$500, MATCH($BO24, 입력!$Z$2:$Z$500, 0)) &amp; "", "")</f>
        <v/>
      </c>
      <c r="Z24" s="64" t="str">
        <f>IFERROR(INDEX(입력!$N$2:$N$500, MATCH($BO24, 입력!$Z$2:$Z$500, 0)) &amp; "", "")</f>
        <v>5</v>
      </c>
      <c r="AA24" s="64">
        <f>MAX(0, 표1[[#This Row],[의무_시설]]-표1[[#This Row],[시설합]])</f>
        <v>0</v>
      </c>
      <c r="AB24" s="17" t="str">
        <f t="shared" si="7"/>
        <v>이행완료</v>
      </c>
      <c r="AC24" s="64" t="str">
        <f>IFERROR(INDEX(입력!$P$2:$P$500, MATCH($BO24, 입력!$Z$2:$Z$500, 0)) &amp; "", "")</f>
        <v/>
      </c>
      <c r="AD24" s="64" t="str">
        <f>IFERROR(INDEX(입력!$Q$2:$Q$500, MATCH($BO24, 입력!$Z$2:$Z$500, 0)) &amp; "", "")</f>
        <v/>
      </c>
      <c r="AE24" s="64" t="str">
        <f>IFERROR(INDEX(입력!$R$2:$R$500, MATCH($BO24, 입력!$Z$2:$Z$500, 0)) &amp; "", "")</f>
        <v/>
      </c>
      <c r="AF24" s="64" t="str">
        <f>IFERROR(INDEX(입력!$S$2:$S$500, MATCH($BO24, 입력!$Z$2:$Z$500, 0)) &amp; "", "")</f>
        <v/>
      </c>
      <c r="AG24" s="64" t="str">
        <f>IFERROR(INDEX(입력!$T$2:$T$500, MATCH($BO24, 입력!$Z$2:$Z$500, 0)) &amp; "", "")</f>
        <v/>
      </c>
      <c r="AH24" s="64" t="str">
        <f>IFERROR(INDEX(입력!$U$2:$U$500, MATCH($BO24, 입력!$Z$2:$Z$500, 0)) &amp; "", "")</f>
        <v/>
      </c>
      <c r="AI24" s="64" t="str">
        <f>IFERROR(INDEX(입력!$V$2:$V$500, MATCH($BO24, 입력!$Z$2:$Z$500, 0)) &amp; "", "")</f>
        <v>여</v>
      </c>
      <c r="AJ24" s="44" t="str">
        <f>IFERROR(INDEX(입력!$W$2:$W$500, MATCH($BO24, 입력!$Z$2:$Z$500, 0)) &amp; "", "")</f>
        <v>김성로</v>
      </c>
      <c r="AK24" s="44" t="str">
        <f>IFERROR(INDEX(입력!$X$2:$X$500, MATCH($BO24, 입력!$Z$2:$Z$500, 0)) &amp; "", "")</f>
        <v>613-5274</v>
      </c>
      <c r="AL24" s="1" t="s">
        <v>1157</v>
      </c>
      <c r="AM24" s="17" t="s">
        <v>1060</v>
      </c>
      <c r="AN24" s="113">
        <v>46076</v>
      </c>
      <c r="AO24" s="17" t="s">
        <v>1067</v>
      </c>
      <c r="AP24" s="101" t="s">
        <v>3175</v>
      </c>
      <c r="AQ24" s="108" t="s">
        <v>3134</v>
      </c>
      <c r="AR24" s="22" t="s">
        <v>1158</v>
      </c>
      <c r="AS24" s="114" t="s">
        <v>3163</v>
      </c>
      <c r="AT24" s="109">
        <v>46104</v>
      </c>
      <c r="AU24" s="101" t="s">
        <v>3126</v>
      </c>
      <c r="AV24" s="114" t="s">
        <v>3148</v>
      </c>
      <c r="AW24" s="101" t="s">
        <v>3145</v>
      </c>
      <c r="AX24" s="101" t="s">
        <v>3176</v>
      </c>
      <c r="AY24" s="83" t="s">
        <v>3137</v>
      </c>
      <c r="AZ24" s="71" t="str">
        <f>IFERROR(IF(INDEX(입력!$C$2:$C$500, MATCH($BO24, 입력!$Z$2:$Z$500, 0))="", "", TEXT(INDEX(입력!$C$2:$C$500, MATCH($BO24, 입력!$Z$2:$Z$500, 0)), "yyyy-mm-dd")), "")</f>
        <v>2026-04-23</v>
      </c>
      <c r="BA24" s="44" t="str">
        <f>IFERROR(INDEX(입력!$B$2:$B$500, MATCH($BO24, 입력!$Z$2:$Z$500, 0)) &amp; "", "")</f>
        <v>이승수</v>
      </c>
      <c r="BB24" s="83" t="str">
        <f>IFERROR(INDEX(입력!$Y$2:$Y$500, MATCH($BO24, 입력!$Z$2:$Z$500, 0)) &amp; "", "")</f>
        <v/>
      </c>
      <c r="BC24" s="83" t="s">
        <v>3145</v>
      </c>
      <c r="BD24" s="83"/>
      <c r="BE24" s="101" t="s">
        <v>1060</v>
      </c>
      <c r="BF24" s="109">
        <v>46156</v>
      </c>
      <c r="BG24" s="101" t="s">
        <v>1089</v>
      </c>
      <c r="BH24" s="101" t="s">
        <v>3862</v>
      </c>
      <c r="BI24" s="101" t="s">
        <v>3810</v>
      </c>
      <c r="BJ24" s="101"/>
      <c r="BK24" s="110"/>
      <c r="BL24" s="21" t="s">
        <v>1061</v>
      </c>
      <c r="BM24" s="22"/>
      <c r="BN24" s="23"/>
      <c r="BO24" s="47" t="s">
        <v>169</v>
      </c>
    </row>
    <row r="25" spans="1:67" x14ac:dyDescent="0.45">
      <c r="A25" s="19">
        <v>24</v>
      </c>
      <c r="B25" s="2" t="s">
        <v>1053</v>
      </c>
      <c r="C25" s="17" t="str">
        <f t="shared" si="6"/>
        <v>미이행</v>
      </c>
      <c r="D25" s="17" t="str">
        <f t="shared" si="0"/>
        <v>조사완료</v>
      </c>
      <c r="E25" s="2" t="s">
        <v>1159</v>
      </c>
      <c r="F25" s="1" t="s">
        <v>170</v>
      </c>
      <c r="G25" s="1" t="s">
        <v>1160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MATCH($BO25, 입력!$Z$2:$Z$500, 0)) &amp; "", "")</f>
        <v>3</v>
      </c>
      <c r="S25" s="64" t="str">
        <f>IFERROR(INDEX(입력!$K$2:$K$500, MATCH($BO25,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 t="str">
        <f t="shared" si="3"/>
        <v/>
      </c>
      <c r="X25" s="1">
        <v>3</v>
      </c>
      <c r="Y25" s="64" t="str">
        <f>IFERROR(INDEX(입력!$M$2:$M$500, MATCH($BO25, 입력!$Z$2:$Z$500, 0)) &amp; "", "")</f>
        <v>2</v>
      </c>
      <c r="Z25" s="64" t="str">
        <f>IFERROR(INDEX(입력!$N$2:$N$500, MATCH($BO25, 입력!$Z$2:$Z$500, 0)) &amp; "", "")</f>
        <v>1</v>
      </c>
      <c r="AA25" s="64">
        <f>MAX(0, 표1[[#This Row],[의무_시설]]-표1[[#This Row],[시설합]])</f>
        <v>0</v>
      </c>
      <c r="AB25" s="17" t="str">
        <f t="shared" si="7"/>
        <v>이행완료</v>
      </c>
      <c r="AC25" s="64" t="str">
        <f>IFERROR(INDEX(입력!$P$2:$P$500, MATCH($BO25, 입력!$Z$2:$Z$500, 0)) &amp; "", "")</f>
        <v/>
      </c>
      <c r="AD25" s="64" t="str">
        <f>IFERROR(INDEX(입력!$Q$2:$Q$500, MATCH($BO25, 입력!$Z$2:$Z$500, 0)) &amp; "", "")</f>
        <v/>
      </c>
      <c r="AE25" s="64" t="str">
        <f>IFERROR(INDEX(입력!$R$2:$R$500, MATCH($BO25, 입력!$Z$2:$Z$500, 0)) &amp; "", "")</f>
        <v>여</v>
      </c>
      <c r="AF25" s="64" t="str">
        <f>IFERROR(INDEX(입력!$S$2:$S$500, MATCH($BO25, 입력!$Z$2:$Z$500, 0)) &amp; "", "")</f>
        <v>여</v>
      </c>
      <c r="AG25" s="64" t="str">
        <f>IFERROR(INDEX(입력!$T$2:$T$500, MATCH($BO25, 입력!$Z$2:$Z$500, 0)) &amp; "", "")</f>
        <v/>
      </c>
      <c r="AH25" s="64" t="str">
        <f>IFERROR(INDEX(입력!$U$2:$U$500, MATCH($BO25, 입력!$Z$2:$Z$500, 0)) &amp; "", "")</f>
        <v/>
      </c>
      <c r="AI25" s="64" t="str">
        <f>IFERROR(INDEX(입력!$V$2:$V$500, MATCH($BO25, 입력!$Z$2:$Z$500, 0)) &amp; "", "")</f>
        <v>여</v>
      </c>
      <c r="AJ25" s="44" t="str">
        <f>IFERROR(INDEX(입력!$W$2:$W$500, MATCH($BO25, 입력!$Z$2:$Z$500, 0)) &amp; "", "")</f>
        <v>김진영</v>
      </c>
      <c r="AK25" s="44" t="str">
        <f>IFERROR(INDEX(입력!$X$2:$X$500, MATCH($BO25, 입력!$Z$2:$Z$500, 0)) &amp; "", "")</f>
        <v>010-9918-3405</v>
      </c>
      <c r="AL25" s="2" t="s">
        <v>1161</v>
      </c>
      <c r="AM25" s="17" t="s">
        <v>1060</v>
      </c>
      <c r="AN25" s="113">
        <v>46111</v>
      </c>
      <c r="AO25" s="17" t="s">
        <v>1089</v>
      </c>
      <c r="AP25" s="101" t="s">
        <v>3177</v>
      </c>
      <c r="AQ25" s="108"/>
      <c r="AR25" s="22"/>
      <c r="AS25" s="101" t="s">
        <v>3124</v>
      </c>
      <c r="AT25" s="109">
        <v>46104</v>
      </c>
      <c r="AU25" s="101" t="s">
        <v>3126</v>
      </c>
      <c r="AV25" s="101" t="s">
        <v>3156</v>
      </c>
      <c r="AW25" s="101" t="s">
        <v>3149</v>
      </c>
      <c r="AX25" s="101" t="s">
        <v>3178</v>
      </c>
      <c r="AY25" s="83" t="s">
        <v>3137</v>
      </c>
      <c r="AZ25" s="71" t="str">
        <f>IFERROR(IF(INDEX(입력!$C$2:$C$500, MATCH($BO25, 입력!$Z$2:$Z$500, 0))="", "", TEXT(INDEX(입력!$C$2:$C$500, MATCH($BO25, 입력!$Z$2:$Z$500, 0)), "yyyy-mm-dd")), "")</f>
        <v>2026-04-22</v>
      </c>
      <c r="BA25" s="44" t="str">
        <f>IFERROR(INDEX(입력!$B$2:$B$500, MATCH($BO25, 입력!$Z$2:$Z$500, 0)) &amp; "", "")</f>
        <v>노기섭</v>
      </c>
      <c r="BB25" s="83" t="str">
        <f>IFERROR(INDEX(입력!$Y$2:$Y$500, MATCH($BO25, 입력!$Z$2:$Z$500, 0)) &amp; "", "")</f>
        <v>26.7월중 전용구역 설치예정</v>
      </c>
      <c r="BC25" s="83" t="s">
        <v>3179</v>
      </c>
      <c r="BD25" s="83"/>
      <c r="BE25" s="101" t="s">
        <v>1060</v>
      </c>
      <c r="BF25" s="109">
        <v>46169</v>
      </c>
      <c r="BG25" s="101" t="s">
        <v>1089</v>
      </c>
      <c r="BH25" s="101" t="s">
        <v>4003</v>
      </c>
      <c r="BI25" s="101"/>
      <c r="BJ25" s="101"/>
      <c r="BK25" s="110"/>
      <c r="BL25" s="21" t="s">
        <v>1061</v>
      </c>
      <c r="BM25" s="22"/>
      <c r="BN25" s="23"/>
      <c r="BO25" s="47" t="s">
        <v>171</v>
      </c>
    </row>
    <row r="26" spans="1:67" x14ac:dyDescent="0.45">
      <c r="A26" s="46">
        <v>25</v>
      </c>
      <c r="B26" s="2" t="s">
        <v>1053</v>
      </c>
      <c r="C26" s="17" t="str">
        <f t="shared" si="6"/>
        <v>미이행</v>
      </c>
      <c r="D26" s="17" t="str">
        <f t="shared" si="0"/>
        <v>조사완료</v>
      </c>
      <c r="E26" s="2" t="s">
        <v>1162</v>
      </c>
      <c r="F26" s="1" t="s">
        <v>172</v>
      </c>
      <c r="G26" s="1" t="s">
        <v>1163</v>
      </c>
      <c r="H26" s="18" t="s">
        <v>1133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MATCH($BO26, 입력!$Z$2:$Z$500, 0)) &amp; "", "")</f>
        <v>3</v>
      </c>
      <c r="S26" s="64" t="str">
        <f>IFERROR(INDEX(입력!$K$2:$K$500, MATCH($BO26,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 t="str">
        <f t="shared" si="3"/>
        <v/>
      </c>
      <c r="X26" s="1">
        <v>3</v>
      </c>
      <c r="Y26" s="64" t="str">
        <f>IFERROR(INDEX(입력!$M$2:$M$500, MATCH($BO26, 입력!$Z$2:$Z$500, 0)) &amp; "", "")</f>
        <v/>
      </c>
      <c r="Z26" s="64" t="str">
        <f>IFERROR(INDEX(입력!$N$2:$N$500, MATCH($BO26, 입력!$Z$2:$Z$500, 0)) &amp; "", "")</f>
        <v>3</v>
      </c>
      <c r="AA26" s="64">
        <f>MAX(0, 표1[[#This Row],[의무_시설]]-표1[[#This Row],[시설합]])</f>
        <v>0</v>
      </c>
      <c r="AB26" s="17" t="str">
        <f t="shared" si="7"/>
        <v>이행완료</v>
      </c>
      <c r="AC26" s="64" t="str">
        <f>IFERROR(INDEX(입력!$P$2:$P$500, MATCH($BO26, 입력!$Z$2:$Z$500, 0)) &amp; "", "")</f>
        <v/>
      </c>
      <c r="AD26" s="64" t="str">
        <f>IFERROR(INDEX(입력!$Q$2:$Q$500, MATCH($BO26, 입력!$Z$2:$Z$500, 0)) &amp; "", "")</f>
        <v/>
      </c>
      <c r="AE26" s="64" t="str">
        <f>IFERROR(INDEX(입력!$R$2:$R$500, MATCH($BO26, 입력!$Z$2:$Z$500, 0)) &amp; "", "")</f>
        <v>여</v>
      </c>
      <c r="AF26" s="64" t="str">
        <f>IFERROR(INDEX(입력!$S$2:$S$500, MATCH($BO26, 입력!$Z$2:$Z$500, 0)) &amp; "", "")</f>
        <v>부</v>
      </c>
      <c r="AG26" s="64" t="str">
        <f>IFERROR(INDEX(입력!$T$2:$T$500, MATCH($BO26, 입력!$Z$2:$Z$500, 0)) &amp; "", "")</f>
        <v>부</v>
      </c>
      <c r="AH26" s="64" t="str">
        <f>IFERROR(INDEX(입력!$U$2:$U$500, MATCH($BO26, 입력!$Z$2:$Z$500, 0)) &amp; "", "")</f>
        <v/>
      </c>
      <c r="AI26" s="64" t="str">
        <f>IFERROR(INDEX(입력!$V$2:$V$500, MATCH($BO26, 입력!$Z$2:$Z$500, 0)) &amp; "", "")</f>
        <v>여</v>
      </c>
      <c r="AJ26" s="44" t="str">
        <f>IFERROR(INDEX(입력!$W$2:$W$500, MATCH($BO26, 입력!$Z$2:$Z$500, 0)) &amp; "", "")</f>
        <v>정우영</v>
      </c>
      <c r="AK26" s="44" t="str">
        <f>IFERROR(INDEX(입력!$X$2:$X$500, MATCH($BO26, 입력!$Z$2:$Z$500, 0)) &amp; "", "")</f>
        <v>010-8625-8119</v>
      </c>
      <c r="AL26" s="2" t="s">
        <v>1164</v>
      </c>
      <c r="AM26" s="17" t="s">
        <v>1060</v>
      </c>
      <c r="AN26" s="113">
        <v>46112</v>
      </c>
      <c r="AO26" s="17" t="s">
        <v>1059</v>
      </c>
      <c r="AP26" s="101" t="s">
        <v>3180</v>
      </c>
      <c r="AQ26" s="108" t="s">
        <v>3169</v>
      </c>
      <c r="AR26" s="22" t="s">
        <v>1165</v>
      </c>
      <c r="AS26" s="101" t="s">
        <v>3163</v>
      </c>
      <c r="AT26" s="109">
        <v>46104</v>
      </c>
      <c r="AU26" s="101" t="s">
        <v>3127</v>
      </c>
      <c r="AV26" s="101" t="s">
        <v>3181</v>
      </c>
      <c r="AW26" s="101" t="s">
        <v>3169</v>
      </c>
      <c r="AX26" s="101" t="s">
        <v>3182</v>
      </c>
      <c r="AY26" s="83" t="s">
        <v>3137</v>
      </c>
      <c r="AZ26" s="71" t="str">
        <f>IFERROR(IF(INDEX(입력!$C$2:$C$500, MATCH($BO26, 입력!$Z$2:$Z$500, 0))="", "", TEXT(INDEX(입력!$C$2:$C$500, MATCH($BO26, 입력!$Z$2:$Z$500, 0)), "yyyy-mm-dd")), "")</f>
        <v>2026-04-20</v>
      </c>
      <c r="BA26" s="44" t="str">
        <f>IFERROR(INDEX(입력!$B$2:$B$500, MATCH($BO26, 입력!$Z$2:$Z$500, 0)) &amp; "", "")</f>
        <v>이승수</v>
      </c>
      <c r="BB26" s="83" t="str">
        <f>IFERROR(INDEX(입력!$Y$2:$Y$500, MATCH($BO26, 입력!$Z$2:$Z$500, 0)) &amp; "", "")</f>
        <v>5월까지 설치면 도색후 완료예정.</v>
      </c>
      <c r="BC26" s="83" t="s">
        <v>3183</v>
      </c>
      <c r="BD26" s="83"/>
      <c r="BE26" s="101" t="s">
        <v>1060</v>
      </c>
      <c r="BF26" s="109">
        <v>46156</v>
      </c>
      <c r="BG26" s="101" t="s">
        <v>1089</v>
      </c>
      <c r="BH26" s="101" t="s">
        <v>3854</v>
      </c>
      <c r="BI26" s="101" t="s">
        <v>3812</v>
      </c>
      <c r="BJ26" s="101"/>
      <c r="BK26" s="110"/>
      <c r="BL26" s="21" t="s">
        <v>1099</v>
      </c>
      <c r="BM26" s="22"/>
      <c r="BN26" s="23"/>
      <c r="BO26" s="47" t="s">
        <v>173</v>
      </c>
    </row>
    <row r="27" spans="1:67" x14ac:dyDescent="0.45">
      <c r="A27" s="19">
        <v>26</v>
      </c>
      <c r="B27" s="2" t="s">
        <v>1053</v>
      </c>
      <c r="C27" s="17" t="str">
        <f t="shared" si="6"/>
        <v>이행완료</v>
      </c>
      <c r="D27" s="17" t="str">
        <f t="shared" si="0"/>
        <v>조사완료</v>
      </c>
      <c r="E27" s="2" t="s">
        <v>1166</v>
      </c>
      <c r="F27" s="1" t="s">
        <v>174</v>
      </c>
      <c r="G27" s="1" t="s">
        <v>1167</v>
      </c>
      <c r="H27" s="18" t="s">
        <v>1133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MATCH($BO27, 입력!$Z$2:$Z$500, 0)) &amp; "", "")</f>
        <v>10</v>
      </c>
      <c r="S27" s="64" t="str">
        <f>IFERROR(INDEX(입력!$K$2:$K$500, MATCH($BO27,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 t="str">
        <f t="shared" si="3"/>
        <v/>
      </c>
      <c r="X27" s="1">
        <v>4</v>
      </c>
      <c r="Y27" s="64" t="str">
        <f>IFERROR(INDEX(입력!$M$2:$M$500, MATCH($BO27, 입력!$Z$2:$Z$500, 0)) &amp; "", "")</f>
        <v>1</v>
      </c>
      <c r="Z27" s="64" t="str">
        <f>IFERROR(INDEX(입력!$N$2:$N$500, MATCH($BO27, 입력!$Z$2:$Z$500, 0)) &amp; "", "")</f>
        <v>3</v>
      </c>
      <c r="AA27" s="64">
        <f>MAX(0, 표1[[#This Row],[의무_시설]]-표1[[#This Row],[시설합]])</f>
        <v>0</v>
      </c>
      <c r="AB27" s="17" t="str">
        <f t="shared" si="7"/>
        <v>이행완료</v>
      </c>
      <c r="AC27" s="64" t="str">
        <f>IFERROR(INDEX(입력!$P$2:$P$500, MATCH($BO27, 입력!$Z$2:$Z$500, 0)) &amp; "", "")</f>
        <v/>
      </c>
      <c r="AD27" s="64" t="str">
        <f>IFERROR(INDEX(입력!$Q$2:$Q$500, MATCH($BO27, 입력!$Z$2:$Z$500, 0)) &amp; "", "")</f>
        <v/>
      </c>
      <c r="AE27" s="64" t="str">
        <f>IFERROR(INDEX(입력!$R$2:$R$500, MATCH($BO27, 입력!$Z$2:$Z$500, 0)) &amp; "", "")</f>
        <v>여</v>
      </c>
      <c r="AF27" s="64" t="str">
        <f>IFERROR(INDEX(입력!$S$2:$S$500, MATCH($BO27, 입력!$Z$2:$Z$500, 0)) &amp; "", "")</f>
        <v>여</v>
      </c>
      <c r="AG27" s="64" t="str">
        <f>IFERROR(INDEX(입력!$T$2:$T$500, MATCH($BO27, 입력!$Z$2:$Z$500, 0)) &amp; "", "")</f>
        <v/>
      </c>
      <c r="AH27" s="64" t="str">
        <f>IFERROR(INDEX(입력!$U$2:$U$500, MATCH($BO27, 입력!$Z$2:$Z$500, 0)) &amp; "", "")</f>
        <v/>
      </c>
      <c r="AI27" s="64" t="str">
        <f>IFERROR(INDEX(입력!$V$2:$V$500, MATCH($BO27, 입력!$Z$2:$Z$500, 0)) &amp; "", "")</f>
        <v>여</v>
      </c>
      <c r="AJ27" s="44" t="str">
        <f>IFERROR(INDEX(입력!$W$2:$W$500, MATCH($BO27, 입력!$Z$2:$Z$500, 0)) &amp; "", "")</f>
        <v>박부선</v>
      </c>
      <c r="AK27" s="44" t="str">
        <f>IFERROR(INDEX(입력!$X$2:$X$500, MATCH($BO27, 입력!$Z$2:$Z$500, 0)) &amp; "", "")</f>
        <v>600-9220</v>
      </c>
      <c r="AL27" s="2" t="s">
        <v>1168</v>
      </c>
      <c r="AM27" s="17" t="s">
        <v>1060</v>
      </c>
      <c r="AN27" s="83"/>
      <c r="AO27" s="17" t="s">
        <v>1059</v>
      </c>
      <c r="AP27" s="2" t="s">
        <v>1169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3137</v>
      </c>
      <c r="AZ27" s="71" t="str">
        <f>IFERROR(IF(INDEX(입력!$C$2:$C$500, MATCH($BO27, 입력!$Z$2:$Z$500, 0))="", "", TEXT(INDEX(입력!$C$2:$C$500, MATCH($BO27, 입력!$Z$2:$Z$500, 0)), "yyyy-mm-dd")), "")</f>
        <v>2026-05-07</v>
      </c>
      <c r="BA27" s="44" t="str">
        <f>IFERROR(INDEX(입력!$B$2:$B$500, MATCH($BO27, 입력!$Z$2:$Z$500, 0)) &amp; "", "")</f>
        <v>정은진</v>
      </c>
      <c r="BB27" s="83" t="str">
        <f>IFERROR(INDEX(입력!$Y$2:$Y$500, MATCH($BO27, 입력!$Z$2:$Z$500, 0)) &amp; "", "")</f>
        <v/>
      </c>
      <c r="BC27" s="83" t="s">
        <v>3112</v>
      </c>
      <c r="BD27" s="83"/>
      <c r="BE27" s="101"/>
      <c r="BF27" s="101"/>
      <c r="BG27" s="101"/>
      <c r="BH27" s="101"/>
      <c r="BI27" s="101"/>
      <c r="BJ27" s="101"/>
      <c r="BK27" s="110"/>
      <c r="BL27" s="21" t="s">
        <v>1099</v>
      </c>
      <c r="BM27" s="22"/>
      <c r="BN27" s="23"/>
      <c r="BO27" s="47" t="s">
        <v>175</v>
      </c>
    </row>
    <row r="28" spans="1:67" x14ac:dyDescent="0.45">
      <c r="A28" s="46">
        <v>27</v>
      </c>
      <c r="B28" s="2" t="s">
        <v>1053</v>
      </c>
      <c r="C28" s="17" t="str">
        <f t="shared" si="6"/>
        <v>이행완료</v>
      </c>
      <c r="D28" s="17" t="str">
        <f t="shared" si="0"/>
        <v>조사완료</v>
      </c>
      <c r="E28" s="2" t="s">
        <v>1170</v>
      </c>
      <c r="F28" s="1" t="s">
        <v>176</v>
      </c>
      <c r="G28" s="1" t="s">
        <v>1171</v>
      </c>
      <c r="H28" s="18" t="s">
        <v>1172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MATCH($BO28, 입력!$Z$2:$Z$500, 0)) &amp; "", "")</f>
        <v>3</v>
      </c>
      <c r="S28" s="64" t="str">
        <f>IFERROR(INDEX(입력!$K$2:$K$500, MATCH($BO28,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 t="str">
        <f t="shared" si="3"/>
        <v/>
      </c>
      <c r="X28" s="1">
        <v>1</v>
      </c>
      <c r="Y28" s="64" t="str">
        <f>IFERROR(INDEX(입력!$M$2:$M$500, MATCH($BO28, 입력!$Z$2:$Z$500, 0)) &amp; "", "")</f>
        <v/>
      </c>
      <c r="Z28" s="64" t="str">
        <f>IFERROR(INDEX(입력!$N$2:$N$500, MATCH($BO28, 입력!$Z$2:$Z$500, 0)) &amp; "", "")</f>
        <v>1</v>
      </c>
      <c r="AA28" s="64">
        <f>MAX(0, 표1[[#This Row],[의무_시설]]-표1[[#This Row],[시설합]])</f>
        <v>0</v>
      </c>
      <c r="AB28" s="17" t="str">
        <f t="shared" si="7"/>
        <v>이행완료</v>
      </c>
      <c r="AC28" s="64" t="str">
        <f>IFERROR(INDEX(입력!$P$2:$P$500, MATCH($BO28, 입력!$Z$2:$Z$500, 0)) &amp; "", "")</f>
        <v/>
      </c>
      <c r="AD28" s="64" t="str">
        <f>IFERROR(INDEX(입력!$Q$2:$Q$500, MATCH($BO28, 입력!$Z$2:$Z$500, 0)) &amp; "", "")</f>
        <v/>
      </c>
      <c r="AE28" s="64" t="str">
        <f>IFERROR(INDEX(입력!$R$2:$R$500, MATCH($BO28, 입력!$Z$2:$Z$500, 0)) &amp; "", "")</f>
        <v>부</v>
      </c>
      <c r="AF28" s="64" t="str">
        <f>IFERROR(INDEX(입력!$S$2:$S$500, MATCH($BO28, 입력!$Z$2:$Z$500, 0)) &amp; "", "")</f>
        <v>부</v>
      </c>
      <c r="AG28" s="64" t="str">
        <f>IFERROR(INDEX(입력!$T$2:$T$500, MATCH($BO28, 입력!$Z$2:$Z$500, 0)) &amp; "", "")</f>
        <v/>
      </c>
      <c r="AH28" s="64" t="str">
        <f>IFERROR(INDEX(입력!$U$2:$U$500, MATCH($BO28, 입력!$Z$2:$Z$500, 0)) &amp; "", "")</f>
        <v/>
      </c>
      <c r="AI28" s="64" t="str">
        <f>IFERROR(INDEX(입력!$V$2:$V$500, MATCH($BO28, 입력!$Z$2:$Z$500, 0)) &amp; "", "")</f>
        <v>여</v>
      </c>
      <c r="AJ28" s="44" t="str">
        <f>IFERROR(INDEX(입력!$W$2:$W$500, MATCH($BO28, 입력!$Z$2:$Z$500, 0)) &amp; "", "")</f>
        <v>윤인수</v>
      </c>
      <c r="AK28" s="44" t="str">
        <f>IFERROR(INDEX(입력!$X$2:$X$500, MATCH($BO28, 입력!$Z$2:$Z$500, 0)) &amp; "", "")</f>
        <v>010-4930-3326</v>
      </c>
      <c r="AL28" s="2" t="s">
        <v>1173</v>
      </c>
      <c r="AM28" s="17" t="s">
        <v>3184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3137</v>
      </c>
      <c r="AZ28" s="71" t="str">
        <f>IFERROR(IF(INDEX(입력!$C$2:$C$500, MATCH($BO28, 입력!$Z$2:$Z$500, 0))="", "", TEXT(INDEX(입력!$C$2:$C$500, MATCH($BO28, 입력!$Z$2:$Z$500, 0)), "yyyy-mm-dd")), "")</f>
        <v>2026-04-27</v>
      </c>
      <c r="BA28" s="44" t="str">
        <f>IFERROR(INDEX(입력!$B$2:$B$500, MATCH($BO28, 입력!$Z$2:$Z$500, 0)) &amp; "", "")</f>
        <v>이승수</v>
      </c>
      <c r="BB28" s="83" t="str">
        <f>IFERROR(INDEX(입력!$Y$2:$Y$500, MATCH($BO28, 입력!$Z$2:$Z$500, 0)) &amp; "", "")</f>
        <v/>
      </c>
      <c r="BC28" s="83" t="s">
        <v>3112</v>
      </c>
      <c r="BD28" s="83"/>
      <c r="BE28" s="101"/>
      <c r="BF28" s="101"/>
      <c r="BG28" s="101"/>
      <c r="BH28" s="101"/>
      <c r="BI28" s="101"/>
      <c r="BJ28" s="101"/>
      <c r="BK28" s="110"/>
      <c r="BL28" s="21" t="s">
        <v>1174</v>
      </c>
      <c r="BM28" s="22"/>
      <c r="BN28" s="23"/>
      <c r="BO28" s="47" t="s">
        <v>177</v>
      </c>
    </row>
    <row r="29" spans="1:67" x14ac:dyDescent="0.45">
      <c r="A29" s="19">
        <v>28</v>
      </c>
      <c r="B29" s="1" t="s">
        <v>1175</v>
      </c>
      <c r="C29" s="17" t="str">
        <f t="shared" si="6"/>
        <v>이행완료</v>
      </c>
      <c r="D29" s="17" t="str">
        <f t="shared" si="0"/>
        <v>조사완료</v>
      </c>
      <c r="E29" s="3" t="s">
        <v>1176</v>
      </c>
      <c r="F29" s="3" t="s">
        <v>178</v>
      </c>
      <c r="G29" s="3" t="s">
        <v>1177</v>
      </c>
      <c r="H29" s="18" t="s">
        <v>1172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MATCH($BO29, 입력!$Z$2:$Z$500, 0)) &amp; "", "")</f>
        <v>8</v>
      </c>
      <c r="S29" s="64" t="str">
        <f>IFERROR(INDEX(입력!$K$2:$K$500, MATCH($BO29,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 t="str">
        <f t="shared" si="3"/>
        <v/>
      </c>
      <c r="X29" s="1">
        <v>8</v>
      </c>
      <c r="Y29" s="64" t="str">
        <f>IFERROR(INDEX(입력!$M$2:$M$500, MATCH($BO29, 입력!$Z$2:$Z$500, 0)) &amp; "", "")</f>
        <v>8</v>
      </c>
      <c r="Z29" s="64" t="str">
        <f>IFERROR(INDEX(입력!$N$2:$N$500, MATCH($BO29, 입력!$Z$2:$Z$500, 0)) &amp; "", "")</f>
        <v/>
      </c>
      <c r="AA29" s="64">
        <f>MAX(0, 표1[[#This Row],[의무_시설]]-표1[[#This Row],[시설합]])</f>
        <v>0</v>
      </c>
      <c r="AB29" s="17" t="str">
        <f t="shared" si="7"/>
        <v>이행완료</v>
      </c>
      <c r="AC29" s="64" t="str">
        <f>IFERROR(INDEX(입력!$P$2:$P$500, MATCH($BO29, 입력!$Z$2:$Z$500, 0)) &amp; "", "")</f>
        <v/>
      </c>
      <c r="AD29" s="64" t="str">
        <f>IFERROR(INDEX(입력!$Q$2:$Q$500, MATCH($BO29, 입력!$Z$2:$Z$500, 0)) &amp; "", "")</f>
        <v/>
      </c>
      <c r="AE29" s="64" t="str">
        <f>IFERROR(INDEX(입력!$R$2:$R$500, MATCH($BO29, 입력!$Z$2:$Z$500, 0)) &amp; "", "")</f>
        <v>여</v>
      </c>
      <c r="AF29" s="64" t="str">
        <f>IFERROR(INDEX(입력!$S$2:$S$500, MATCH($BO29, 입력!$Z$2:$Z$500, 0)) &amp; "", "")</f>
        <v>여</v>
      </c>
      <c r="AG29" s="64" t="str">
        <f>IFERROR(INDEX(입력!$T$2:$T$500, MATCH($BO29, 입력!$Z$2:$Z$500, 0)) &amp; "", "")</f>
        <v/>
      </c>
      <c r="AH29" s="64" t="str">
        <f>IFERROR(INDEX(입력!$U$2:$U$500, MATCH($BO29, 입력!$Z$2:$Z$500, 0)) &amp; "", "")</f>
        <v/>
      </c>
      <c r="AI29" s="64" t="str">
        <f>IFERROR(INDEX(입력!$V$2:$V$500, MATCH($BO29, 입력!$Z$2:$Z$500, 0)) &amp; "", "")</f>
        <v>여</v>
      </c>
      <c r="AJ29" s="44" t="str">
        <f>IFERROR(INDEX(입력!$W$2:$W$500, MATCH($BO29, 입력!$Z$2:$Z$500, 0)) &amp; "", "")</f>
        <v>김용길</v>
      </c>
      <c r="AK29" s="44" t="str">
        <f>IFERROR(INDEX(입력!$X$2:$X$500, MATCH($BO29, 입력!$Z$2:$Z$500, 0)) &amp; "", "")</f>
        <v>010-8497-4565</v>
      </c>
      <c r="AL29" s="2"/>
      <c r="AM29" s="17" t="s">
        <v>1179</v>
      </c>
      <c r="AN29" s="83"/>
      <c r="AO29" s="17" t="s">
        <v>1067</v>
      </c>
      <c r="AP29" s="2" t="s">
        <v>1178</v>
      </c>
      <c r="AQ29" s="21"/>
      <c r="AR29" s="22" t="s">
        <v>1180</v>
      </c>
      <c r="AS29" s="101"/>
      <c r="AT29" s="101"/>
      <c r="AU29" s="101"/>
      <c r="AV29" s="101"/>
      <c r="AW29" s="101"/>
      <c r="AX29" s="101"/>
      <c r="AY29" s="83" t="s">
        <v>3137</v>
      </c>
      <c r="AZ29" s="71" t="str">
        <f>IFERROR(IF(INDEX(입력!$C$2:$C$500, MATCH($BO29, 입력!$Z$2:$Z$500, 0))="", "", TEXT(INDEX(입력!$C$2:$C$500, MATCH($BO29, 입력!$Z$2:$Z$500, 0)), "yyyy-mm-dd")), "")</f>
        <v>2026-05-04</v>
      </c>
      <c r="BA29" s="44" t="str">
        <f>IFERROR(INDEX(입력!$B$2:$B$500, MATCH($BO29, 입력!$Z$2:$Z$500, 0)) &amp; "", "")</f>
        <v>이승수</v>
      </c>
      <c r="BB29" s="83" t="str">
        <f>IFERROR(INDEX(입력!$Y$2:$Y$500, MATCH($BO29, 입력!$Z$2:$Z$500, 0)) &amp; "", "")</f>
        <v/>
      </c>
      <c r="BC29" s="83" t="s">
        <v>3112</v>
      </c>
      <c r="BD29" s="83"/>
      <c r="BE29" s="101"/>
      <c r="BF29" s="101"/>
      <c r="BG29" s="101"/>
      <c r="BH29" s="101"/>
      <c r="BI29" s="101"/>
      <c r="BJ29" s="101"/>
      <c r="BK29" s="110"/>
      <c r="BL29" s="21"/>
      <c r="BM29" s="22"/>
      <c r="BN29" s="23"/>
      <c r="BO29" s="47" t="s">
        <v>179</v>
      </c>
    </row>
    <row r="30" spans="1:67" x14ac:dyDescent="0.45">
      <c r="A30" s="46">
        <v>29</v>
      </c>
      <c r="B30" s="1" t="s">
        <v>1175</v>
      </c>
      <c r="C30" s="17" t="str">
        <f t="shared" si="6"/>
        <v>이행완료</v>
      </c>
      <c r="D30" s="17" t="str">
        <f t="shared" si="0"/>
        <v>조사완료</v>
      </c>
      <c r="E30" s="3" t="s">
        <v>1181</v>
      </c>
      <c r="F30" s="3" t="s">
        <v>180</v>
      </c>
      <c r="G30" s="3" t="s">
        <v>1182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MATCH($BO30, 입력!$Z$2:$Z$500, 0)) &amp; "", "")</f>
        <v>2</v>
      </c>
      <c r="S30" s="64" t="str">
        <f>IFERROR(INDEX(입력!$K$2:$K$500, MATCH($BO30,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 t="str">
        <f t="shared" si="3"/>
        <v/>
      </c>
      <c r="X30" s="1">
        <v>2</v>
      </c>
      <c r="Y30" s="64" t="str">
        <f>IFERROR(INDEX(입력!$M$2:$M$500, MATCH($BO30, 입력!$Z$2:$Z$500, 0)) &amp; "", "")</f>
        <v/>
      </c>
      <c r="Z30" s="64" t="str">
        <f>IFERROR(INDEX(입력!$N$2:$N$500, MATCH($BO30, 입력!$Z$2:$Z$500, 0)) &amp; "", "")</f>
        <v>2</v>
      </c>
      <c r="AA30" s="64">
        <f>MAX(0, 표1[[#This Row],[의무_시설]]-표1[[#This Row],[시설합]])</f>
        <v>0</v>
      </c>
      <c r="AB30" s="17" t="str">
        <f t="shared" si="7"/>
        <v>이행완료</v>
      </c>
      <c r="AC30" s="64" t="str">
        <f>IFERROR(INDEX(입력!$P$2:$P$500, MATCH($BO30, 입력!$Z$2:$Z$500, 0)) &amp; "", "")</f>
        <v/>
      </c>
      <c r="AD30" s="64" t="str">
        <f>IFERROR(INDEX(입력!$Q$2:$Q$500, MATCH($BO30, 입력!$Z$2:$Z$500, 0)) &amp; "", "")</f>
        <v/>
      </c>
      <c r="AE30" s="64" t="str">
        <f>IFERROR(INDEX(입력!$R$2:$R$500, MATCH($BO30, 입력!$Z$2:$Z$500, 0)) &amp; "", "")</f>
        <v>부</v>
      </c>
      <c r="AF30" s="64" t="str">
        <f>IFERROR(INDEX(입력!$S$2:$S$500, MATCH($BO30, 입력!$Z$2:$Z$500, 0)) &amp; "", "")</f>
        <v>부</v>
      </c>
      <c r="AG30" s="64" t="str">
        <f>IFERROR(INDEX(입력!$T$2:$T$500, MATCH($BO30, 입력!$Z$2:$Z$500, 0)) &amp; "", "")</f>
        <v/>
      </c>
      <c r="AH30" s="64" t="str">
        <f>IFERROR(INDEX(입력!$U$2:$U$500, MATCH($BO30, 입력!$Z$2:$Z$500, 0)) &amp; "", "")</f>
        <v/>
      </c>
      <c r="AI30" s="64" t="str">
        <f>IFERROR(INDEX(입력!$V$2:$V$500, MATCH($BO30, 입력!$Z$2:$Z$500, 0)) &amp; "", "")</f>
        <v>여</v>
      </c>
      <c r="AJ30" s="44" t="str">
        <f>IFERROR(INDEX(입력!$W$2:$W$500, MATCH($BO30, 입력!$Z$2:$Z$500, 0)) &amp; "", "")</f>
        <v>김가혜</v>
      </c>
      <c r="AK30" s="44" t="str">
        <f>IFERROR(INDEX(입력!$X$2:$X$500, MATCH($BO30,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1183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3137</v>
      </c>
      <c r="AZ30" s="71" t="str">
        <f>IFERROR(IF(INDEX(입력!$C$2:$C$500, MATCH($BO30, 입력!$Z$2:$Z$500, 0))="", "", TEXT(INDEX(입력!$C$2:$C$500, MATCH($BO30, 입력!$Z$2:$Z$500, 0)), "yyyy-mm-dd")), "")</f>
        <v>2026-05-08</v>
      </c>
      <c r="BA30" s="44" t="str">
        <f>IFERROR(INDEX(입력!$B$2:$B$500, MATCH($BO30, 입력!$Z$2:$Z$500, 0)) &amp; "", "")</f>
        <v>이승수</v>
      </c>
      <c r="BB30" s="83" t="str">
        <f>IFERROR(INDEX(입력!$Y$2:$Y$500, MATCH($BO30, 입력!$Z$2:$Z$500, 0)) &amp; "", "")</f>
        <v/>
      </c>
      <c r="BC30" s="83" t="s">
        <v>3112</v>
      </c>
      <c r="BD30" s="83"/>
      <c r="BE30" s="101"/>
      <c r="BF30" s="101"/>
      <c r="BG30" s="101"/>
      <c r="BH30" s="101"/>
      <c r="BI30" s="101"/>
      <c r="BJ30" s="101"/>
      <c r="BK30" s="110"/>
      <c r="BL30" s="21"/>
      <c r="BM30" s="22"/>
      <c r="BN30" s="23"/>
      <c r="BO30" s="47" t="s">
        <v>181</v>
      </c>
    </row>
    <row r="31" spans="1:67" x14ac:dyDescent="0.45">
      <c r="A31" s="19">
        <v>30</v>
      </c>
      <c r="B31" s="1" t="s">
        <v>1175</v>
      </c>
      <c r="C31" s="17" t="str">
        <f t="shared" si="6"/>
        <v>이행완료</v>
      </c>
      <c r="D31" s="17" t="str">
        <f t="shared" si="0"/>
        <v>조사완료</v>
      </c>
      <c r="E31" s="3" t="s">
        <v>1184</v>
      </c>
      <c r="F31" s="3" t="s">
        <v>182</v>
      </c>
      <c r="G31" s="3" t="s">
        <v>1185</v>
      </c>
      <c r="H31" s="18" t="s">
        <v>1172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MATCH($BO31, 입력!$Z$2:$Z$500, 0)) &amp; "", "")</f>
        <v/>
      </c>
      <c r="S31" s="64" t="str">
        <f>IFERROR(INDEX(입력!$K$2:$K$500, MATCH($BO31,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 t="str">
        <f t="shared" si="3"/>
        <v/>
      </c>
      <c r="X31" s="1">
        <v>3</v>
      </c>
      <c r="Y31" s="64" t="str">
        <f>IFERROR(INDEX(입력!$M$2:$M$500, MATCH($BO31, 입력!$Z$2:$Z$500, 0)) &amp; "", "")</f>
        <v>3</v>
      </c>
      <c r="Z31" s="64" t="str">
        <f>IFERROR(INDEX(입력!$N$2:$N$500, MATCH($BO31, 입력!$Z$2:$Z$500, 0)) &amp; "", "")</f>
        <v/>
      </c>
      <c r="AA31" s="64">
        <f>MAX(0, 표1[[#This Row],[의무_시설]]-표1[[#This Row],[시설합]])</f>
        <v>0</v>
      </c>
      <c r="AB31" s="17" t="str">
        <f t="shared" si="7"/>
        <v>이행완료</v>
      </c>
      <c r="AC31" s="64" t="str">
        <f>IFERROR(INDEX(입력!$P$2:$P$500, MATCH($BO31, 입력!$Z$2:$Z$500, 0)) &amp; "", "")</f>
        <v/>
      </c>
      <c r="AD31" s="64" t="str">
        <f>IFERROR(INDEX(입력!$Q$2:$Q$500, MATCH($BO31, 입력!$Z$2:$Z$500, 0)) &amp; "", "")</f>
        <v>6</v>
      </c>
      <c r="AE31" s="64" t="str">
        <f>IFERROR(INDEX(입력!$R$2:$R$500, MATCH($BO31, 입력!$Z$2:$Z$500, 0)) &amp; "", "")</f>
        <v>여</v>
      </c>
      <c r="AF31" s="64" t="str">
        <f>IFERROR(INDEX(입력!$S$2:$S$500, MATCH($BO31, 입력!$Z$2:$Z$500, 0)) &amp; "", "")</f>
        <v>여</v>
      </c>
      <c r="AG31" s="64" t="str">
        <f>IFERROR(INDEX(입력!$T$2:$T$500, MATCH($BO31, 입력!$Z$2:$Z$500, 0)) &amp; "", "")</f>
        <v>부</v>
      </c>
      <c r="AH31" s="64" t="str">
        <f>IFERROR(INDEX(입력!$U$2:$U$500, MATCH($BO31, 입력!$Z$2:$Z$500, 0)) &amp; "", "")</f>
        <v/>
      </c>
      <c r="AI31" s="64" t="str">
        <f>IFERROR(INDEX(입력!$V$2:$V$500, MATCH($BO31, 입력!$Z$2:$Z$500, 0)) &amp; "", "")</f>
        <v>여</v>
      </c>
      <c r="AJ31" s="44" t="str">
        <f>IFERROR(INDEX(입력!$W$2:$W$500, MATCH($BO31, 입력!$Z$2:$Z$500, 0)) &amp; "", "")</f>
        <v>서정환</v>
      </c>
      <c r="AK31" s="44" t="str">
        <f>IFERROR(INDEX(입력!$X$2:$X$500, MATCH($BO31, 입력!$Z$2:$Z$500, 0)) &amp; "", "")</f>
        <v>010-3644-6126</v>
      </c>
      <c r="AL31" s="2"/>
      <c r="AM31" s="17" t="s">
        <v>1179</v>
      </c>
      <c r="AN31" s="83"/>
      <c r="AO31" s="17" t="s">
        <v>1186</v>
      </c>
      <c r="AP31" s="2" t="s">
        <v>1187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3131</v>
      </c>
      <c r="AZ31" s="71" t="str">
        <f>IFERROR(IF(INDEX(입력!$C$2:$C$500, MATCH($BO31, 입력!$Z$2:$Z$500, 0))="", "", TEXT(INDEX(입력!$C$2:$C$500, MATCH($BO31, 입력!$Z$2:$Z$500, 0)), "yyyy-mm-dd")), "")</f>
        <v>2026-05-06</v>
      </c>
      <c r="BA31" s="44" t="str">
        <f>IFERROR(INDEX(입력!$B$2:$B$500, MATCH($BO31, 입력!$Z$2:$Z$500, 0)) &amp; "", "")</f>
        <v>이승수</v>
      </c>
      <c r="BB31" s="83" t="str">
        <f>IFERROR(INDEX(입력!$Y$2:$Y$500, MATCH($BO31, 입력!$Z$2:$Z$500, 0)) &amp; "", "")</f>
        <v/>
      </c>
      <c r="BC31" s="83" t="s">
        <v>3112</v>
      </c>
      <c r="BD31" s="83"/>
      <c r="BE31" s="101"/>
      <c r="BF31" s="101"/>
      <c r="BG31" s="101"/>
      <c r="BH31" s="101"/>
      <c r="BI31" s="101"/>
      <c r="BJ31" s="101"/>
      <c r="BK31" s="110"/>
      <c r="BL31" s="21"/>
      <c r="BM31" s="22"/>
      <c r="BN31" s="23"/>
      <c r="BO31" s="47" t="s">
        <v>183</v>
      </c>
    </row>
    <row r="32" spans="1:67" x14ac:dyDescent="0.45">
      <c r="A32" s="46">
        <v>31</v>
      </c>
      <c r="B32" s="1" t="s">
        <v>1175</v>
      </c>
      <c r="C32" s="17" t="str">
        <f t="shared" si="6"/>
        <v>이행완료</v>
      </c>
      <c r="D32" s="17" t="str">
        <f t="shared" si="0"/>
        <v>조사완료</v>
      </c>
      <c r="E32" s="3" t="s">
        <v>1188</v>
      </c>
      <c r="F32" s="3" t="s">
        <v>184</v>
      </c>
      <c r="G32" s="3" t="s">
        <v>1189</v>
      </c>
      <c r="H32" s="18" t="s">
        <v>1133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MATCH($BO32, 입력!$Z$2:$Z$500, 0)) &amp; "", "")</f>
        <v>20</v>
      </c>
      <c r="S32" s="64" t="str">
        <f>IFERROR(INDEX(입력!$K$2:$K$500, MATCH($BO32,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3"/>
        <v>1</v>
      </c>
      <c r="X32" s="1">
        <v>20</v>
      </c>
      <c r="Y32" s="64" t="str">
        <f>IFERROR(INDEX(입력!$M$2:$M$500, MATCH($BO32, 입력!$Z$2:$Z$500, 0)) &amp; "", "")</f>
        <v>1</v>
      </c>
      <c r="Z32" s="64" t="str">
        <f>IFERROR(INDEX(입력!$N$2:$N$500, MATCH($BO32, 입력!$Z$2:$Z$500, 0)) &amp; "", "")</f>
        <v>19</v>
      </c>
      <c r="AA32" s="64">
        <f>MAX(0, 표1[[#This Row],[의무_시설]]-표1[[#This Row],[시설합]])</f>
        <v>0</v>
      </c>
      <c r="AB32" s="17" t="str">
        <f t="shared" si="7"/>
        <v>이행완료</v>
      </c>
      <c r="AC32" s="64" t="str">
        <f>IFERROR(INDEX(입력!$P$2:$P$500, MATCH($BO32, 입력!$Z$2:$Z$500, 0)) &amp; "", "")</f>
        <v/>
      </c>
      <c r="AD32" s="64" t="str">
        <f>IFERROR(INDEX(입력!$Q$2:$Q$500, MATCH($BO32, 입력!$Z$2:$Z$500, 0)) &amp; "", "")</f>
        <v/>
      </c>
      <c r="AE32" s="64" t="str">
        <f>IFERROR(INDEX(입력!$R$2:$R$500, MATCH($BO32, 입력!$Z$2:$Z$500, 0)) &amp; "", "")</f>
        <v>여</v>
      </c>
      <c r="AF32" s="64" t="str">
        <f>IFERROR(INDEX(입력!$S$2:$S$500, MATCH($BO32, 입력!$Z$2:$Z$500, 0)) &amp; "", "")</f>
        <v>여</v>
      </c>
      <c r="AG32" s="64" t="str">
        <f>IFERROR(INDEX(입력!$T$2:$T$500, MATCH($BO32, 입력!$Z$2:$Z$500, 0)) &amp; "", "")</f>
        <v/>
      </c>
      <c r="AH32" s="64" t="str">
        <f>IFERROR(INDEX(입력!$U$2:$U$500, MATCH($BO32, 입력!$Z$2:$Z$500, 0)) &amp; "", "")</f>
        <v/>
      </c>
      <c r="AI32" s="64" t="str">
        <f>IFERROR(INDEX(입력!$V$2:$V$500, MATCH($BO32, 입력!$Z$2:$Z$500, 0)) &amp; "", "")</f>
        <v>여</v>
      </c>
      <c r="AJ32" s="44" t="str">
        <f>IFERROR(INDEX(입력!$W$2:$W$500, MATCH($BO32, 입력!$Z$2:$Z$500, 0)) &amp; "", "")</f>
        <v>김준식</v>
      </c>
      <c r="AK32" s="44" t="str">
        <f>IFERROR(INDEX(입력!$X$2:$X$500, MATCH($BO32, 입력!$Z$2:$Z$500, 0)) &amp; "", "")</f>
        <v>010-3618-0081</v>
      </c>
      <c r="AL32" s="2" t="s">
        <v>1190</v>
      </c>
      <c r="AM32" s="17" t="s">
        <v>1179</v>
      </c>
      <c r="AN32" s="83"/>
      <c r="AO32" s="17" t="s">
        <v>1186</v>
      </c>
      <c r="AP32" s="2" t="s">
        <v>1191</v>
      </c>
      <c r="AQ32" s="21"/>
      <c r="AR32" s="22" t="s">
        <v>1192</v>
      </c>
      <c r="AS32" s="101"/>
      <c r="AT32" s="101"/>
      <c r="AU32" s="101"/>
      <c r="AV32" s="101"/>
      <c r="AW32" s="101"/>
      <c r="AX32" s="101"/>
      <c r="AY32" s="83" t="s">
        <v>3132</v>
      </c>
      <c r="AZ32" s="71" t="str">
        <f>IFERROR(IF(INDEX(입력!$C$2:$C$500, MATCH($BO32, 입력!$Z$2:$Z$500, 0))="", "", TEXT(INDEX(입력!$C$2:$C$500, MATCH($BO32, 입력!$Z$2:$Z$500, 0)), "yyyy-mm-dd")), "")</f>
        <v>2026-04-29</v>
      </c>
      <c r="BA32" s="44" t="str">
        <f>IFERROR(INDEX(입력!$B$2:$B$500, MATCH($BO32, 입력!$Z$2:$Z$500, 0)) &amp; "", "")</f>
        <v>이승수</v>
      </c>
      <c r="BB32" s="83" t="str">
        <f>IFERROR(INDEX(입력!$Y$2:$Y$500, MATCH($BO32, 입력!$Z$2:$Z$500, 0)) &amp; "", "")</f>
        <v/>
      </c>
      <c r="BC32" s="83" t="s">
        <v>3112</v>
      </c>
      <c r="BD32" s="83"/>
      <c r="BE32" s="101"/>
      <c r="BF32" s="101"/>
      <c r="BG32" s="101"/>
      <c r="BH32" s="101"/>
      <c r="BI32" s="101"/>
      <c r="BJ32" s="101"/>
      <c r="BK32" s="110"/>
      <c r="BL32" s="21"/>
      <c r="BM32" s="22"/>
      <c r="BN32" s="23"/>
      <c r="BO32" s="47" t="s">
        <v>185</v>
      </c>
    </row>
    <row r="33" spans="1:67" x14ac:dyDescent="0.45">
      <c r="A33" s="19">
        <v>32</v>
      </c>
      <c r="B33" s="1" t="s">
        <v>1175</v>
      </c>
      <c r="C33" s="17" t="str">
        <f t="shared" si="6"/>
        <v>미이행</v>
      </c>
      <c r="D33" s="17" t="str">
        <f t="shared" si="0"/>
        <v>조사완료</v>
      </c>
      <c r="E33" s="3" t="s">
        <v>3091</v>
      </c>
      <c r="F33" s="3" t="s">
        <v>186</v>
      </c>
      <c r="G33" s="3" t="s">
        <v>1193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MATCH($BO33, 입력!$Z$2:$Z$500, 0)) &amp; "", "")</f>
        <v/>
      </c>
      <c r="S33" s="64" t="str">
        <f>IFERROR(INDEX(입력!$K$2:$K$500, MATCH($BO33,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 t="str">
        <f t="shared" si="3"/>
        <v/>
      </c>
      <c r="X33" s="1">
        <v>0</v>
      </c>
      <c r="Y33" s="64" t="str">
        <f>IFERROR(INDEX(입력!$M$2:$M$500, MATCH($BO33, 입력!$Z$2:$Z$500, 0)) &amp; "", "")</f>
        <v/>
      </c>
      <c r="Z33" s="64" t="str">
        <f>IFERROR(INDEX(입력!$N$2:$N$500, MATCH($BO33, 입력!$Z$2:$Z$500, 0)) &amp; "", "")</f>
        <v/>
      </c>
      <c r="AA33" s="64">
        <f>MAX(0, 표1[[#This Row],[의무_시설]]-표1[[#This Row],[시설합]])</f>
        <v>1</v>
      </c>
      <c r="AB33" s="17" t="str">
        <f t="shared" si="7"/>
        <v>미이행</v>
      </c>
      <c r="AC33" s="64" t="str">
        <f>IFERROR(INDEX(입력!$P$2:$P$500, MATCH($BO33, 입력!$Z$2:$Z$500, 0)) &amp; "", "")</f>
        <v/>
      </c>
      <c r="AD33" s="64" t="str">
        <f>IFERROR(INDEX(입력!$Q$2:$Q$500, MATCH($BO33, 입력!$Z$2:$Z$500, 0)) &amp; "", "")</f>
        <v/>
      </c>
      <c r="AE33" s="64" t="str">
        <f>IFERROR(INDEX(입력!$R$2:$R$500, MATCH($BO33, 입력!$Z$2:$Z$500, 0)) &amp; "", "")</f>
        <v/>
      </c>
      <c r="AF33" s="64" t="str">
        <f>IFERROR(INDEX(입력!$S$2:$S$500, MATCH($BO33, 입력!$Z$2:$Z$500, 0)) &amp; "", "")</f>
        <v/>
      </c>
      <c r="AG33" s="64" t="str">
        <f>IFERROR(INDEX(입력!$T$2:$T$500, MATCH($BO33, 입력!$Z$2:$Z$500, 0)) &amp; "", "")</f>
        <v/>
      </c>
      <c r="AH33" s="64" t="str">
        <f>IFERROR(INDEX(입력!$U$2:$U$500, MATCH($BO33, 입력!$Z$2:$Z$500, 0)) &amp; "", "")</f>
        <v/>
      </c>
      <c r="AI33" s="64" t="str">
        <f>IFERROR(INDEX(입력!$V$2:$V$500, MATCH($BO33, 입력!$Z$2:$Z$500, 0)) &amp; "", "")</f>
        <v>여</v>
      </c>
      <c r="AJ33" s="44" t="str">
        <f>IFERROR(INDEX(입력!$W$2:$W$500, MATCH($BO33, 입력!$Z$2:$Z$500, 0)) &amp; "", "")</f>
        <v>최상훈</v>
      </c>
      <c r="AK33" s="44" t="str">
        <f>IFERROR(INDEX(입력!$X$2:$X$500, MATCH($BO33, 입력!$Z$2:$Z$500, 0)) &amp; "", "")</f>
        <v>010-3911-5481</v>
      </c>
      <c r="AL33" s="2" t="s">
        <v>3790</v>
      </c>
      <c r="AM33" s="17" t="s">
        <v>1179</v>
      </c>
      <c r="AN33" s="113">
        <v>46077</v>
      </c>
      <c r="AO33" s="17" t="s">
        <v>1067</v>
      </c>
      <c r="AP33" s="101" t="s">
        <v>3185</v>
      </c>
      <c r="AQ33" s="108" t="s">
        <v>3159</v>
      </c>
      <c r="AR33" s="22"/>
      <c r="AS33" s="114" t="s">
        <v>3163</v>
      </c>
      <c r="AT33" s="109">
        <v>46104</v>
      </c>
      <c r="AU33" s="101" t="s">
        <v>3126</v>
      </c>
      <c r="AV33" s="114" t="s">
        <v>3186</v>
      </c>
      <c r="AW33" s="101"/>
      <c r="AX33" s="101"/>
      <c r="AY33" s="83" t="s">
        <v>3137</v>
      </c>
      <c r="AZ33" s="71" t="str">
        <f>IFERROR(IF(INDEX(입력!$C$2:$C$500, MATCH($BO33, 입력!$Z$2:$Z$500, 0))="", "", TEXT(INDEX(입력!$C$2:$C$500, MATCH($BO33, 입력!$Z$2:$Z$500, 0)), "yyyy-mm-dd")), "")</f>
        <v>2026-04-16</v>
      </c>
      <c r="BA33" s="44" t="str">
        <f>IFERROR(INDEX(입력!$B$2:$B$500, MATCH($BO33, 입력!$Z$2:$Z$500, 0)) &amp; "", "")</f>
        <v>정은진</v>
      </c>
      <c r="BB33" s="83" t="str">
        <f>IFERROR(INDEX(입력!$Y$2:$Y$500, MATCH($BO33, 입력!$Z$2:$Z$500, 0)) &amp; "", "")</f>
        <v>올해연말쯤 예정. 화재위험때문에 동의가 쉽지 않음.</v>
      </c>
      <c r="BC33" s="83" t="s">
        <v>3159</v>
      </c>
      <c r="BD33" s="83"/>
      <c r="BE33" s="101" t="s">
        <v>3865</v>
      </c>
      <c r="BF33" s="109">
        <v>46163</v>
      </c>
      <c r="BG33" s="101" t="s">
        <v>1059</v>
      </c>
      <c r="BH33" s="101" t="s">
        <v>3947</v>
      </c>
      <c r="BI33" s="101" t="s">
        <v>3948</v>
      </c>
      <c r="BJ33" s="101" t="s">
        <v>3949</v>
      </c>
      <c r="BK33" s="110"/>
      <c r="BL33" s="21"/>
      <c r="BM33" s="22"/>
      <c r="BN33" s="23"/>
      <c r="BO33" s="47" t="s">
        <v>187</v>
      </c>
    </row>
    <row r="34" spans="1:67" x14ac:dyDescent="0.45">
      <c r="A34" s="46">
        <v>33</v>
      </c>
      <c r="B34" s="1" t="s">
        <v>1175</v>
      </c>
      <c r="C34" s="17" t="str">
        <f t="shared" si="6"/>
        <v>미이행</v>
      </c>
      <c r="D34" s="17" t="str">
        <f t="shared" si="0"/>
        <v>조사완료</v>
      </c>
      <c r="E34" s="3" t="s">
        <v>1194</v>
      </c>
      <c r="F34" s="3" t="s">
        <v>188</v>
      </c>
      <c r="G34" s="3" t="s">
        <v>3842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MATCH($BO34, 입력!$Z$2:$Z$500, 0)) &amp; "", "")</f>
        <v/>
      </c>
      <c r="S34" s="64" t="str">
        <f>IFERROR(INDEX(입력!$K$2:$K$500, MATCH($BO34,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 t="str">
        <f t="shared" si="3"/>
        <v/>
      </c>
      <c r="X34" s="1">
        <v>0</v>
      </c>
      <c r="Y34" s="64" t="str">
        <f>IFERROR(INDEX(입력!$M$2:$M$500, MATCH($BO34, 입력!$Z$2:$Z$500, 0)) &amp; "", "")</f>
        <v/>
      </c>
      <c r="Z34" s="64" t="str">
        <f>IFERROR(INDEX(입력!$N$2:$N$500, MATCH($BO34, 입력!$Z$2:$Z$500, 0)) &amp; "", "")</f>
        <v/>
      </c>
      <c r="AA34" s="64">
        <f>MAX(0, 표1[[#This Row],[의무_시설]]-표1[[#This Row],[시설합]])</f>
        <v>3</v>
      </c>
      <c r="AB34" s="17" t="str">
        <f t="shared" si="7"/>
        <v>미이행</v>
      </c>
      <c r="AC34" s="64" t="str">
        <f>IFERROR(INDEX(입력!$P$2:$P$500, MATCH($BO34, 입력!$Z$2:$Z$500, 0)) &amp; "", "")</f>
        <v/>
      </c>
      <c r="AD34" s="64" t="str">
        <f>IFERROR(INDEX(입력!$Q$2:$Q$500, MATCH($BO34, 입력!$Z$2:$Z$500, 0)) &amp; "", "")</f>
        <v/>
      </c>
      <c r="AE34" s="64" t="str">
        <f>IFERROR(INDEX(입력!$R$2:$R$500, MATCH($BO34, 입력!$Z$2:$Z$500, 0)) &amp; "", "")</f>
        <v/>
      </c>
      <c r="AF34" s="64" t="str">
        <f>IFERROR(INDEX(입력!$S$2:$S$500, MATCH($BO34, 입력!$Z$2:$Z$500, 0)) &amp; "", "")</f>
        <v/>
      </c>
      <c r="AG34" s="64" t="str">
        <f>IFERROR(INDEX(입력!$T$2:$T$500, MATCH($BO34, 입력!$Z$2:$Z$500, 0)) &amp; "", "")</f>
        <v/>
      </c>
      <c r="AH34" s="64" t="str">
        <f>IFERROR(INDEX(입력!$U$2:$U$500, MATCH($BO34, 입력!$Z$2:$Z$500, 0)) &amp; "", "")</f>
        <v/>
      </c>
      <c r="AI34" s="64" t="str">
        <f>IFERROR(INDEX(입력!$V$2:$V$500, MATCH($BO34, 입력!$Z$2:$Z$500, 0)) &amp; "", "")</f>
        <v>여</v>
      </c>
      <c r="AJ34" s="44" t="str">
        <f>IFERROR(INDEX(입력!$W$2:$W$500, MATCH($BO34, 입력!$Z$2:$Z$500, 0)) &amp; "", "")</f>
        <v>오지연</v>
      </c>
      <c r="AK34" s="44" t="str">
        <f>IFERROR(INDEX(입력!$X$2:$X$500, MATCH($BO34, 입력!$Z$2:$Z$500, 0)) &amp; "", "")</f>
        <v>010-4566-5359</v>
      </c>
      <c r="AL34" s="2" t="s">
        <v>1195</v>
      </c>
      <c r="AM34" s="17" t="s">
        <v>1179</v>
      </c>
      <c r="AN34" s="113">
        <v>46077</v>
      </c>
      <c r="AO34" s="17" t="s">
        <v>1067</v>
      </c>
      <c r="AP34" s="101" t="s">
        <v>3187</v>
      </c>
      <c r="AQ34" s="108" t="s">
        <v>3159</v>
      </c>
      <c r="AR34" s="22" t="s">
        <v>1196</v>
      </c>
      <c r="AS34" s="114" t="s">
        <v>3124</v>
      </c>
      <c r="AT34" s="109">
        <v>46104</v>
      </c>
      <c r="AU34" s="101" t="s">
        <v>3141</v>
      </c>
      <c r="AV34" s="114" t="s">
        <v>3188</v>
      </c>
      <c r="AW34" s="101"/>
      <c r="AX34" s="101"/>
      <c r="AY34" s="83" t="s">
        <v>3137</v>
      </c>
      <c r="AZ34" s="71" t="str">
        <f>IFERROR(IF(INDEX(입력!$C$2:$C$500, MATCH($BO34, 입력!$Z$2:$Z$500, 0))="", "", TEXT(INDEX(입력!$C$2:$C$500, MATCH($BO34, 입력!$Z$2:$Z$500, 0)), "yyyy-mm-dd")), "")</f>
        <v>2026-04-16</v>
      </c>
      <c r="BA34" s="44" t="str">
        <f>IFERROR(INDEX(입력!$B$2:$B$500, MATCH($BO34, 입력!$Z$2:$Z$500, 0)) &amp; "", "")</f>
        <v>정은진</v>
      </c>
      <c r="BB34" s="83" t="str">
        <f>IFERROR(INDEX(입력!$Y$2:$Y$500, MATCH($BO34, 입력!$Z$2:$Z$500, 0)) &amp; "", "")</f>
        <v>올해쯤 계획. 찾는 차량이 없고 주차자리 부족.</v>
      </c>
      <c r="BC34" s="83" t="s">
        <v>3169</v>
      </c>
      <c r="BD34" s="83"/>
      <c r="BE34" s="101"/>
      <c r="BF34" s="101"/>
      <c r="BG34" s="101"/>
      <c r="BH34" s="101"/>
      <c r="BI34" s="101"/>
      <c r="BJ34" s="101"/>
      <c r="BK34" s="110"/>
      <c r="BL34" s="21"/>
      <c r="BM34" s="22"/>
      <c r="BN34" s="27" t="s">
        <v>3843</v>
      </c>
      <c r="BO34" s="47" t="s">
        <v>189</v>
      </c>
    </row>
    <row r="35" spans="1:67" x14ac:dyDescent="0.45">
      <c r="A35" s="19">
        <v>34</v>
      </c>
      <c r="B35" s="1" t="s">
        <v>1175</v>
      </c>
      <c r="C35" s="17" t="str">
        <f t="shared" si="6"/>
        <v>미이행</v>
      </c>
      <c r="D35" s="17" t="str">
        <f t="shared" si="0"/>
        <v>조사완료</v>
      </c>
      <c r="E35" s="3" t="s">
        <v>1197</v>
      </c>
      <c r="F35" s="3" t="s">
        <v>190</v>
      </c>
      <c r="G35" s="8" t="s">
        <v>1198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MATCH($BO35, 입력!$Z$2:$Z$500, 0)) &amp; "", "")</f>
        <v/>
      </c>
      <c r="S35" s="64" t="str">
        <f>IFERROR(INDEX(입력!$K$2:$K$500, MATCH($BO35,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 t="str">
        <f t="shared" si="3"/>
        <v/>
      </c>
      <c r="X35" s="1">
        <v>0</v>
      </c>
      <c r="Y35" s="64" t="str">
        <f>IFERROR(INDEX(입력!$M$2:$M$500, MATCH($BO35, 입력!$Z$2:$Z$500, 0)) &amp; "", "")</f>
        <v/>
      </c>
      <c r="Z35" s="64" t="str">
        <f>IFERROR(INDEX(입력!$N$2:$N$500, MATCH($BO35, 입력!$Z$2:$Z$500, 0)) &amp; "", "")</f>
        <v/>
      </c>
      <c r="AA35" s="64">
        <f>MAX(0, 표1[[#This Row],[의무_시설]]-표1[[#This Row],[시설합]])</f>
        <v>3</v>
      </c>
      <c r="AB35" s="17" t="str">
        <f t="shared" si="7"/>
        <v>미이행</v>
      </c>
      <c r="AC35" s="64" t="str">
        <f>IFERROR(INDEX(입력!$P$2:$P$500, MATCH($BO35, 입력!$Z$2:$Z$500, 0)) &amp; "", "")</f>
        <v/>
      </c>
      <c r="AD35" s="64" t="str">
        <f>IFERROR(INDEX(입력!$Q$2:$Q$500, MATCH($BO35, 입력!$Z$2:$Z$500, 0)) &amp; "", "")</f>
        <v/>
      </c>
      <c r="AE35" s="64" t="str">
        <f>IFERROR(INDEX(입력!$R$2:$R$500, MATCH($BO35, 입력!$Z$2:$Z$500, 0)) &amp; "", "")</f>
        <v/>
      </c>
      <c r="AF35" s="64" t="str">
        <f>IFERROR(INDEX(입력!$S$2:$S$500, MATCH($BO35, 입력!$Z$2:$Z$500, 0)) &amp; "", "")</f>
        <v/>
      </c>
      <c r="AG35" s="64" t="str">
        <f>IFERROR(INDEX(입력!$T$2:$T$500, MATCH($BO35, 입력!$Z$2:$Z$500, 0)) &amp; "", "")</f>
        <v/>
      </c>
      <c r="AH35" s="64" t="str">
        <f>IFERROR(INDEX(입력!$U$2:$U$500, MATCH($BO35, 입력!$Z$2:$Z$500, 0)) &amp; "", "")</f>
        <v/>
      </c>
      <c r="AI35" s="64" t="str">
        <f>IFERROR(INDEX(입력!$V$2:$V$500, MATCH($BO35, 입력!$Z$2:$Z$500, 0)) &amp; "", "")</f>
        <v>여</v>
      </c>
      <c r="AJ35" s="44" t="str">
        <f>IFERROR(INDEX(입력!$W$2:$W$500, MATCH($BO35, 입력!$Z$2:$Z$500, 0)) &amp; "", "")</f>
        <v/>
      </c>
      <c r="AK35" s="44" t="str">
        <f>IFERROR(INDEX(입력!$X$2:$X$500, MATCH($BO35, 입력!$Z$2:$Z$500, 0)) &amp; "", "")</f>
        <v/>
      </c>
      <c r="AL35" s="2"/>
      <c r="AM35" s="17" t="s">
        <v>1179</v>
      </c>
      <c r="AN35" s="83"/>
      <c r="AO35" s="17" t="s">
        <v>1186</v>
      </c>
      <c r="AP35" s="101" t="s">
        <v>1199</v>
      </c>
      <c r="AQ35" s="108"/>
      <c r="AR35" s="22" t="s">
        <v>1196</v>
      </c>
      <c r="AS35" s="83" t="s">
        <v>3163</v>
      </c>
      <c r="AT35" s="109">
        <v>46104</v>
      </c>
      <c r="AU35" s="101" t="s">
        <v>3141</v>
      </c>
      <c r="AV35" s="83" t="s">
        <v>3189</v>
      </c>
      <c r="AW35" s="101"/>
      <c r="AX35" s="101"/>
      <c r="AY35" s="83" t="s">
        <v>3137</v>
      </c>
      <c r="AZ35" s="71" t="str">
        <f>IFERROR(IF(INDEX(입력!$C$2:$C$500, MATCH($BO35, 입력!$Z$2:$Z$500, 0))="", "", TEXT(INDEX(입력!$C$2:$C$500, MATCH($BO35, 입력!$Z$2:$Z$500, 0)), "yyyy-mm-dd")), "")</f>
        <v>2026-04-22</v>
      </c>
      <c r="BA35" s="44" t="str">
        <f>IFERROR(INDEX(입력!$B$2:$B$500, MATCH($BO35, 입력!$Z$2:$Z$500, 0)) &amp; "", "")</f>
        <v>노기섭</v>
      </c>
      <c r="BB35" s="83" t="str">
        <f>IFERROR(INDEX(입력!$Y$2:$Y$500, MATCH($BO35, 입력!$Z$2:$Z$500, 0)) &amp; "", "")</f>
        <v>080-330-3600(주차고객센터) 통화했으나 상주근무자 없음. 조사불가.</v>
      </c>
      <c r="BC35" s="83" t="s">
        <v>3150</v>
      </c>
      <c r="BD35" s="83"/>
      <c r="BE35" s="101"/>
      <c r="BF35" s="101"/>
      <c r="BG35" s="101"/>
      <c r="BH35" s="101"/>
      <c r="BI35" s="101"/>
      <c r="BJ35" s="101"/>
      <c r="BK35" s="110"/>
      <c r="BL35" s="21"/>
      <c r="BM35" s="22"/>
      <c r="BN35" s="23"/>
      <c r="BO35" s="47" t="s">
        <v>191</v>
      </c>
    </row>
    <row r="36" spans="1:67" x14ac:dyDescent="0.45">
      <c r="A36" s="46">
        <v>35</v>
      </c>
      <c r="B36" s="1" t="s">
        <v>1175</v>
      </c>
      <c r="C36" s="17" t="str">
        <f t="shared" si="6"/>
        <v>이행완료</v>
      </c>
      <c r="D36" s="17" t="str">
        <f t="shared" si="0"/>
        <v>조사완료</v>
      </c>
      <c r="E36" s="3" t="s">
        <v>1200</v>
      </c>
      <c r="F36" s="3" t="s">
        <v>192</v>
      </c>
      <c r="G36" s="3" t="s">
        <v>1201</v>
      </c>
      <c r="H36" s="18" t="s">
        <v>1202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MATCH($BO36, 입력!$Z$2:$Z$500, 0)) &amp; "", "")</f>
        <v>19</v>
      </c>
      <c r="S36" s="64" t="str">
        <f>IFERROR(INDEX(입력!$K$2:$K$500, MATCH($BO36,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3"/>
        <v>1</v>
      </c>
      <c r="X36" s="1">
        <v>19</v>
      </c>
      <c r="Y36" s="64" t="str">
        <f>IFERROR(INDEX(입력!$M$2:$M$500, MATCH($BO36, 입력!$Z$2:$Z$500, 0)) &amp; "", "")</f>
        <v>3</v>
      </c>
      <c r="Z36" s="64" t="str">
        <f>IFERROR(INDEX(입력!$N$2:$N$500, MATCH($BO36, 입력!$Z$2:$Z$500, 0)) &amp; "", "")</f>
        <v>16</v>
      </c>
      <c r="AA36" s="64">
        <f>MAX(0, 표1[[#This Row],[의무_시설]]-표1[[#This Row],[시설합]])</f>
        <v>0</v>
      </c>
      <c r="AB36" s="17" t="str">
        <f t="shared" si="7"/>
        <v>이행완료</v>
      </c>
      <c r="AC36" s="64" t="str">
        <f>IFERROR(INDEX(입력!$P$2:$P$500, MATCH($BO36, 입력!$Z$2:$Z$500, 0)) &amp; "", "")</f>
        <v/>
      </c>
      <c r="AD36" s="64" t="str">
        <f>IFERROR(INDEX(입력!$Q$2:$Q$500, MATCH($BO36, 입력!$Z$2:$Z$500, 0)) &amp; "", "")</f>
        <v/>
      </c>
      <c r="AE36" s="64" t="str">
        <f>IFERROR(INDEX(입력!$R$2:$R$500, MATCH($BO36, 입력!$Z$2:$Z$500, 0)) &amp; "", "")</f>
        <v>여</v>
      </c>
      <c r="AF36" s="64" t="str">
        <f>IFERROR(INDEX(입력!$S$2:$S$500, MATCH($BO36, 입력!$Z$2:$Z$500, 0)) &amp; "", "")</f>
        <v>여</v>
      </c>
      <c r="AG36" s="64" t="str">
        <f>IFERROR(INDEX(입력!$T$2:$T$500, MATCH($BO36, 입력!$Z$2:$Z$500, 0)) &amp; "", "")</f>
        <v/>
      </c>
      <c r="AH36" s="64" t="str">
        <f>IFERROR(INDEX(입력!$U$2:$U$500, MATCH($BO36, 입력!$Z$2:$Z$500, 0)) &amp; "", "")</f>
        <v/>
      </c>
      <c r="AI36" s="64" t="str">
        <f>IFERROR(INDEX(입력!$V$2:$V$500, MATCH($BO36, 입력!$Z$2:$Z$500, 0)) &amp; "", "")</f>
        <v>여</v>
      </c>
      <c r="AJ36" s="44" t="str">
        <f>IFERROR(INDEX(입력!$W$2:$W$500, MATCH($BO36, 입력!$Z$2:$Z$500, 0)) &amp; "", "")</f>
        <v>김수열</v>
      </c>
      <c r="AK36" s="44" t="str">
        <f>IFERROR(INDEX(입력!$X$2:$X$500, MATCH($BO36, 입력!$Z$2:$Z$500, 0)) &amp; "", "")</f>
        <v>010-7927-1806</v>
      </c>
      <c r="AL36" s="2" t="s">
        <v>1203</v>
      </c>
      <c r="AM36" s="17"/>
      <c r="AN36" s="83"/>
      <c r="AO36" s="17" t="s">
        <v>1059</v>
      </c>
      <c r="AP36" s="2" t="s">
        <v>1204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3137</v>
      </c>
      <c r="AZ36" s="71" t="str">
        <f>IFERROR(IF(INDEX(입력!$C$2:$C$500, MATCH($BO36, 입력!$Z$2:$Z$500, 0))="", "", TEXT(INDEX(입력!$C$2:$C$500, MATCH($BO36, 입력!$Z$2:$Z$500, 0)), "yyyy-mm-dd")), "")</f>
        <v>2026-04-29</v>
      </c>
      <c r="BA36" s="44" t="str">
        <f>IFERROR(INDEX(입력!$B$2:$B$500, MATCH($BO36, 입력!$Z$2:$Z$500, 0)) &amp; "", "")</f>
        <v>정은진</v>
      </c>
      <c r="BB36" s="83" t="str">
        <f>IFERROR(INDEX(입력!$Y$2:$Y$500, MATCH($BO36, 입력!$Z$2:$Z$500, 0)) &amp; "", "")</f>
        <v/>
      </c>
      <c r="BC36" s="83" t="s">
        <v>3112</v>
      </c>
      <c r="BD36" s="83"/>
      <c r="BE36" s="101"/>
      <c r="BF36" s="101"/>
      <c r="BG36" s="101"/>
      <c r="BH36" s="101"/>
      <c r="BI36" s="101"/>
      <c r="BJ36" s="101"/>
      <c r="BK36" s="110"/>
      <c r="BL36" s="21"/>
      <c r="BM36" s="22"/>
      <c r="BN36" s="23"/>
      <c r="BO36" s="47" t="s">
        <v>193</v>
      </c>
    </row>
    <row r="37" spans="1:67" x14ac:dyDescent="0.45">
      <c r="A37" s="19">
        <v>36</v>
      </c>
      <c r="B37" s="1" t="s">
        <v>1175</v>
      </c>
      <c r="C37" s="17" t="str">
        <f t="shared" si="6"/>
        <v>이행완료</v>
      </c>
      <c r="D37" s="17" t="str">
        <f t="shared" si="0"/>
        <v>조사완료</v>
      </c>
      <c r="E37" s="3" t="s">
        <v>1205</v>
      </c>
      <c r="F37" s="3" t="s">
        <v>194</v>
      </c>
      <c r="G37" s="3" t="s">
        <v>1206</v>
      </c>
      <c r="H37" s="18" t="s">
        <v>1202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MATCH($BO37, 입력!$Z$2:$Z$500, 0)) &amp; "", "")</f>
        <v>31</v>
      </c>
      <c r="S37" s="64" t="str">
        <f>IFERROR(INDEX(입력!$K$2:$K$500, MATCH($BO37,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3"/>
        <v>1</v>
      </c>
      <c r="X37" s="1">
        <v>31</v>
      </c>
      <c r="Y37" s="64" t="str">
        <f>IFERROR(INDEX(입력!$M$2:$M$500, MATCH($BO37, 입력!$Z$2:$Z$500, 0)) &amp; "", "")</f>
        <v>1</v>
      </c>
      <c r="Z37" s="64" t="str">
        <f>IFERROR(INDEX(입력!$N$2:$N$500, MATCH($BO37, 입력!$Z$2:$Z$500, 0)) &amp; "", "")</f>
        <v>30</v>
      </c>
      <c r="AA37" s="64">
        <f>MAX(0, 표1[[#This Row],[의무_시설]]-표1[[#This Row],[시설합]])</f>
        <v>0</v>
      </c>
      <c r="AB37" s="17" t="str">
        <f t="shared" si="7"/>
        <v>이행완료</v>
      </c>
      <c r="AC37" s="64" t="str">
        <f>IFERROR(INDEX(입력!$P$2:$P$500, MATCH($BO37, 입력!$Z$2:$Z$500, 0)) &amp; "", "")</f>
        <v/>
      </c>
      <c r="AD37" s="64" t="str">
        <f>IFERROR(INDEX(입력!$Q$2:$Q$500, MATCH($BO37, 입력!$Z$2:$Z$500, 0)) &amp; "", "")</f>
        <v/>
      </c>
      <c r="AE37" s="64" t="str">
        <f>IFERROR(INDEX(입력!$R$2:$R$500, MATCH($BO37, 입력!$Z$2:$Z$500, 0)) &amp; "", "")</f>
        <v>여</v>
      </c>
      <c r="AF37" s="64" t="str">
        <f>IFERROR(INDEX(입력!$S$2:$S$500, MATCH($BO37, 입력!$Z$2:$Z$500, 0)) &amp; "", "")</f>
        <v>여</v>
      </c>
      <c r="AG37" s="64" t="str">
        <f>IFERROR(INDEX(입력!$T$2:$T$500, MATCH($BO37, 입력!$Z$2:$Z$500, 0)) &amp; "", "")</f>
        <v/>
      </c>
      <c r="AH37" s="64" t="str">
        <f>IFERROR(INDEX(입력!$U$2:$U$500, MATCH($BO37, 입력!$Z$2:$Z$500, 0)) &amp; "", "")</f>
        <v/>
      </c>
      <c r="AI37" s="64" t="str">
        <f>IFERROR(INDEX(입력!$V$2:$V$500, MATCH($BO37, 입력!$Z$2:$Z$500, 0)) &amp; "", "")</f>
        <v>여</v>
      </c>
      <c r="AJ37" s="44" t="str">
        <f>IFERROR(INDEX(입력!$W$2:$W$500, MATCH($BO37, 입력!$Z$2:$Z$500, 0)) &amp; "", "")</f>
        <v>이귀선</v>
      </c>
      <c r="AK37" s="44" t="str">
        <f>IFERROR(INDEX(입력!$X$2:$X$500, MATCH($BO37, 입력!$Z$2:$Z$500, 0)) &amp; "", "")</f>
        <v>010-3705-5627</v>
      </c>
      <c r="AL37" s="2" t="s">
        <v>1207</v>
      </c>
      <c r="AM37" s="17"/>
      <c r="AN37" s="83"/>
      <c r="AO37" s="17" t="s">
        <v>1067</v>
      </c>
      <c r="AP37" s="2" t="s">
        <v>1208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3131</v>
      </c>
      <c r="AZ37" s="71" t="str">
        <f>IFERROR(IF(INDEX(입력!$C$2:$C$500, MATCH($BO37, 입력!$Z$2:$Z$500, 0))="", "", TEXT(INDEX(입력!$C$2:$C$500, MATCH($BO37, 입력!$Z$2:$Z$500, 0)), "yyyy-mm-dd")), "")</f>
        <v>2026-05-06</v>
      </c>
      <c r="BA37" s="44" t="str">
        <f>IFERROR(INDEX(입력!$B$2:$B$500, MATCH($BO37, 입력!$Z$2:$Z$500, 0)) &amp; "", "")</f>
        <v>정은진</v>
      </c>
      <c r="BB37" s="83" t="str">
        <f>IFERROR(INDEX(입력!$Y$2:$Y$500, MATCH($BO37, 입력!$Z$2:$Z$500, 0)) &amp; "", "")</f>
        <v/>
      </c>
      <c r="BC37" s="83" t="s">
        <v>3112</v>
      </c>
      <c r="BD37" s="83"/>
      <c r="BE37" s="101"/>
      <c r="BF37" s="101"/>
      <c r="BG37" s="101"/>
      <c r="BH37" s="101"/>
      <c r="BI37" s="101"/>
      <c r="BJ37" s="101"/>
      <c r="BK37" s="110"/>
      <c r="BL37" s="21"/>
      <c r="BM37" s="22"/>
      <c r="BN37" s="23"/>
      <c r="BO37" s="47" t="s">
        <v>195</v>
      </c>
    </row>
    <row r="38" spans="1:67" x14ac:dyDescent="0.45">
      <c r="A38" s="46">
        <v>37</v>
      </c>
      <c r="B38" s="1" t="s">
        <v>1175</v>
      </c>
      <c r="C38" s="17" t="str">
        <f t="shared" si="6"/>
        <v>미이행</v>
      </c>
      <c r="D38" s="17" t="str">
        <f t="shared" si="0"/>
        <v>조사완료</v>
      </c>
      <c r="E38" s="3" t="s">
        <v>1209</v>
      </c>
      <c r="F38" s="3" t="s">
        <v>196</v>
      </c>
      <c r="G38" s="3" t="s">
        <v>1210</v>
      </c>
      <c r="H38" s="18" t="s">
        <v>1172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MATCH($BO38, 입력!$Z$2:$Z$500, 0)) &amp; "", "")</f>
        <v/>
      </c>
      <c r="S38" s="64" t="str">
        <f>IFERROR(INDEX(입력!$K$2:$K$500, MATCH($BO38,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3"/>
        <v>1</v>
      </c>
      <c r="X38" s="1">
        <v>0</v>
      </c>
      <c r="Y38" s="64" t="str">
        <f>IFERROR(INDEX(입력!$M$2:$M$500, MATCH($BO38, 입력!$Z$2:$Z$500, 0)) &amp; "", "")</f>
        <v/>
      </c>
      <c r="Z38" s="64" t="str">
        <f>IFERROR(INDEX(입력!$N$2:$N$500, MATCH($BO38, 입력!$Z$2:$Z$500, 0)) &amp; "", "")</f>
        <v/>
      </c>
      <c r="AA38" s="64">
        <f>MAX(0, 표1[[#This Row],[의무_시설]]-표1[[#This Row],[시설합]])</f>
        <v>18</v>
      </c>
      <c r="AB38" s="17" t="str">
        <f t="shared" si="7"/>
        <v>미이행</v>
      </c>
      <c r="AC38" s="64" t="str">
        <f>IFERROR(INDEX(입력!$P$2:$P$500, MATCH($BO38, 입력!$Z$2:$Z$500, 0)) &amp; "", "")</f>
        <v/>
      </c>
      <c r="AD38" s="64" t="str">
        <f>IFERROR(INDEX(입력!$Q$2:$Q$500, MATCH($BO38, 입력!$Z$2:$Z$500, 0)) &amp; "", "")</f>
        <v/>
      </c>
      <c r="AE38" s="64" t="str">
        <f>IFERROR(INDEX(입력!$R$2:$R$500, MATCH($BO38, 입력!$Z$2:$Z$500, 0)) &amp; "", "")</f>
        <v/>
      </c>
      <c r="AF38" s="64" t="str">
        <f>IFERROR(INDEX(입력!$S$2:$S$500, MATCH($BO38, 입력!$Z$2:$Z$500, 0)) &amp; "", "")</f>
        <v/>
      </c>
      <c r="AG38" s="64" t="str">
        <f>IFERROR(INDEX(입력!$T$2:$T$500, MATCH($BO38, 입력!$Z$2:$Z$500, 0)) &amp; "", "")</f>
        <v/>
      </c>
      <c r="AH38" s="64" t="str">
        <f>IFERROR(INDEX(입력!$U$2:$U$500, MATCH($BO38, 입력!$Z$2:$Z$500, 0)) &amp; "", "")</f>
        <v/>
      </c>
      <c r="AI38" s="64" t="str">
        <f>IFERROR(INDEX(입력!$V$2:$V$500, MATCH($BO38, 입력!$Z$2:$Z$500, 0)) &amp; "", "")</f>
        <v>여</v>
      </c>
      <c r="AJ38" s="44" t="str">
        <f>IFERROR(INDEX(입력!$W$2:$W$500, MATCH($BO38, 입력!$Z$2:$Z$500, 0)) &amp; "", "")</f>
        <v>김명완</v>
      </c>
      <c r="AK38" s="44" t="str">
        <f>IFERROR(INDEX(입력!$X$2:$X$500, MATCH($BO38, 입력!$Z$2:$Z$500, 0)) &amp; "", "")</f>
        <v>970-0026</v>
      </c>
      <c r="AL38" s="2" t="s">
        <v>1211</v>
      </c>
      <c r="AM38" s="17" t="s">
        <v>1060</v>
      </c>
      <c r="AN38" s="113">
        <v>46077</v>
      </c>
      <c r="AO38" s="17" t="s">
        <v>1067</v>
      </c>
      <c r="AP38" s="101" t="s">
        <v>3190</v>
      </c>
      <c r="AQ38" s="108" t="s">
        <v>3159</v>
      </c>
      <c r="AR38" s="22"/>
      <c r="AS38" s="101" t="s">
        <v>3125</v>
      </c>
      <c r="AT38" s="109">
        <v>46104</v>
      </c>
      <c r="AU38" s="101" t="s">
        <v>3126</v>
      </c>
      <c r="AV38" s="101" t="s">
        <v>3191</v>
      </c>
      <c r="AW38" s="101" t="s">
        <v>3192</v>
      </c>
      <c r="AX38" s="101"/>
      <c r="AY38" s="83" t="s">
        <v>3131</v>
      </c>
      <c r="AZ38" s="71" t="str">
        <f>IFERROR(IF(INDEX(입력!$C$2:$C$500, MATCH($BO38, 입력!$Z$2:$Z$500, 0))="", "", TEXT(INDEX(입력!$C$2:$C$500, MATCH($BO38, 입력!$Z$2:$Z$500, 0)), "yyyy-mm-dd")), "")</f>
        <v>2026-04-20</v>
      </c>
      <c r="BA38" s="44" t="str">
        <f>IFERROR(INDEX(입력!$B$2:$B$500, MATCH($BO38, 입력!$Z$2:$Z$500, 0)) &amp; "", "")</f>
        <v>이승수</v>
      </c>
      <c r="BB38" s="83" t="str">
        <f>IFERROR(INDEX(입력!$Y$2:$Y$500, MATCH($BO38, 입력!$Z$2:$Z$500, 0)) &amp; "", "")</f>
        <v>진행중.</v>
      </c>
      <c r="BC38" s="83" t="s">
        <v>3166</v>
      </c>
      <c r="BD38" s="83"/>
      <c r="BE38" s="101" t="s">
        <v>1060</v>
      </c>
      <c r="BF38" s="109">
        <v>46162</v>
      </c>
      <c r="BG38" s="101" t="s">
        <v>1059</v>
      </c>
      <c r="BH38" s="101" t="s">
        <v>3950</v>
      </c>
      <c r="BI38" s="101" t="s">
        <v>3951</v>
      </c>
      <c r="BJ38" s="101"/>
      <c r="BK38" s="110" t="s">
        <v>3983</v>
      </c>
      <c r="BL38" s="21"/>
      <c r="BM38" s="22"/>
      <c r="BN38" s="23"/>
      <c r="BO38" s="47" t="s">
        <v>197</v>
      </c>
    </row>
    <row r="39" spans="1:67" x14ac:dyDescent="0.45">
      <c r="A39" s="19">
        <v>38</v>
      </c>
      <c r="B39" s="1" t="s">
        <v>1175</v>
      </c>
      <c r="C39" s="17" t="str">
        <f t="shared" si="6"/>
        <v>이행완료</v>
      </c>
      <c r="D39" s="17" t="str">
        <f t="shared" si="0"/>
        <v>조사완료</v>
      </c>
      <c r="E39" s="3" t="s">
        <v>1212</v>
      </c>
      <c r="F39" s="3" t="s">
        <v>198</v>
      </c>
      <c r="G39" s="3" t="s">
        <v>1213</v>
      </c>
      <c r="H39" s="18" t="s">
        <v>1133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MATCH($BO39, 입력!$Z$2:$Z$500, 0)) &amp; "", "")</f>
        <v>2</v>
      </c>
      <c r="S39" s="64" t="str">
        <f>IFERROR(INDEX(입력!$K$2:$K$500, MATCH($BO39,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 t="str">
        <f t="shared" si="3"/>
        <v/>
      </c>
      <c r="X39" s="1">
        <v>2</v>
      </c>
      <c r="Y39" s="64" t="str">
        <f>IFERROR(INDEX(입력!$M$2:$M$500, MATCH($BO39, 입력!$Z$2:$Z$500, 0)) &amp; "", "")</f>
        <v/>
      </c>
      <c r="Z39" s="64" t="str">
        <f>IFERROR(INDEX(입력!$N$2:$N$500, MATCH($BO39, 입력!$Z$2:$Z$500, 0)) &amp; "", "")</f>
        <v>2</v>
      </c>
      <c r="AA39" s="64">
        <f>MAX(0, 표1[[#This Row],[의무_시설]]-표1[[#This Row],[시설합]])</f>
        <v>0</v>
      </c>
      <c r="AB39" s="17" t="str">
        <f t="shared" si="7"/>
        <v>이행완료</v>
      </c>
      <c r="AC39" s="64" t="str">
        <f>IFERROR(INDEX(입력!$P$2:$P$500, MATCH($BO39, 입력!$Z$2:$Z$500, 0)) &amp; "", "")</f>
        <v/>
      </c>
      <c r="AD39" s="64" t="str">
        <f>IFERROR(INDEX(입력!$Q$2:$Q$500, MATCH($BO39, 입력!$Z$2:$Z$500, 0)) &amp; "", "")</f>
        <v/>
      </c>
      <c r="AE39" s="64" t="str">
        <f>IFERROR(INDEX(입력!$R$2:$R$500, MATCH($BO39, 입력!$Z$2:$Z$500, 0)) &amp; "", "")</f>
        <v/>
      </c>
      <c r="AF39" s="64" t="str">
        <f>IFERROR(INDEX(입력!$S$2:$S$500, MATCH($BO39, 입력!$Z$2:$Z$500, 0)) &amp; "", "")</f>
        <v/>
      </c>
      <c r="AG39" s="64" t="str">
        <f>IFERROR(INDEX(입력!$T$2:$T$500, MATCH($BO39, 입력!$Z$2:$Z$500, 0)) &amp; "", "")</f>
        <v/>
      </c>
      <c r="AH39" s="64" t="str">
        <f>IFERROR(INDEX(입력!$U$2:$U$500, MATCH($BO39, 입력!$Z$2:$Z$500, 0)) &amp; "", "")</f>
        <v/>
      </c>
      <c r="AI39" s="64" t="str">
        <f>IFERROR(INDEX(입력!$V$2:$V$500, MATCH($BO39, 입력!$Z$2:$Z$500, 0)) &amp; "", "")</f>
        <v>여</v>
      </c>
      <c r="AJ39" s="44" t="str">
        <f>IFERROR(INDEX(입력!$W$2:$W$500, MATCH($BO39, 입력!$Z$2:$Z$500, 0)) &amp; "", "")</f>
        <v>박은혜</v>
      </c>
      <c r="AK39" s="44" t="str">
        <f>IFERROR(INDEX(입력!$X$2:$X$500, MATCH($BO39, 입력!$Z$2:$Z$500, 0)) &amp; "", "")</f>
        <v>973-2556</v>
      </c>
      <c r="AL39" s="2" t="s">
        <v>1214</v>
      </c>
      <c r="AM39" s="17" t="s">
        <v>1179</v>
      </c>
      <c r="AN39" s="83"/>
      <c r="AO39" s="17" t="s">
        <v>1186</v>
      </c>
      <c r="AP39" s="2" t="s">
        <v>1215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3131</v>
      </c>
      <c r="AZ39" s="71" t="str">
        <f>IFERROR(IF(INDEX(입력!$C$2:$C$500, MATCH($BO39, 입력!$Z$2:$Z$500, 0))="", "", TEXT(INDEX(입력!$C$2:$C$500, MATCH($BO39, 입력!$Z$2:$Z$500, 0)), "yyyy-mm-dd")), "")</f>
        <v>2026-04-27</v>
      </c>
      <c r="BA39" s="44" t="str">
        <f>IFERROR(INDEX(입력!$B$2:$B$500, MATCH($BO39, 입력!$Z$2:$Z$500, 0)) &amp; "", "")</f>
        <v>이승수</v>
      </c>
      <c r="BB39" s="83" t="str">
        <f>IFERROR(INDEX(입력!$Y$2:$Y$500, MATCH($BO39, 입력!$Z$2:$Z$500, 0)) &amp; "", "")</f>
        <v/>
      </c>
      <c r="BC39" s="83" t="s">
        <v>3112</v>
      </c>
      <c r="BD39" s="83"/>
      <c r="BE39" s="101"/>
      <c r="BF39" s="101"/>
      <c r="BG39" s="101"/>
      <c r="BH39" s="101"/>
      <c r="BI39" s="101"/>
      <c r="BJ39" s="101"/>
      <c r="BK39" s="110"/>
      <c r="BL39" s="21"/>
      <c r="BM39" s="22"/>
      <c r="BN39" s="23"/>
      <c r="BO39" s="47" t="s">
        <v>199</v>
      </c>
    </row>
    <row r="40" spans="1:67" x14ac:dyDescent="0.45">
      <c r="A40" s="46">
        <v>39</v>
      </c>
      <c r="B40" s="1" t="s">
        <v>1175</v>
      </c>
      <c r="C40" s="17" t="str">
        <f t="shared" si="6"/>
        <v>미이행</v>
      </c>
      <c r="D40" s="17" t="str">
        <f t="shared" si="0"/>
        <v>조사완료</v>
      </c>
      <c r="E40" s="3" t="s">
        <v>1216</v>
      </c>
      <c r="F40" s="3" t="s">
        <v>200</v>
      </c>
      <c r="G40" s="3" t="s">
        <v>1217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MATCH($BO40, 입력!$Z$2:$Z$500, 0)) &amp; "", "")</f>
        <v/>
      </c>
      <c r="S40" s="64" t="str">
        <f>IFERROR(INDEX(입력!$K$2:$K$500, MATCH($BO40,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3"/>
        <v>1</v>
      </c>
      <c r="X40" s="1">
        <v>4</v>
      </c>
      <c r="Y40" s="64" t="str">
        <f>IFERROR(INDEX(입력!$M$2:$M$500, MATCH($BO40, 입력!$Z$2:$Z$500, 0)) &amp; "", "")</f>
        <v>2</v>
      </c>
      <c r="Z40" s="64" t="str">
        <f>IFERROR(INDEX(입력!$N$2:$N$500, MATCH($BO40, 입력!$Z$2:$Z$500, 0)) &amp; "", "")</f>
        <v>2</v>
      </c>
      <c r="AA40" s="64">
        <f>MAX(0, 표1[[#This Row],[의무_시설]]-표1[[#This Row],[시설합]])</f>
        <v>4</v>
      </c>
      <c r="AB40" s="17" t="str">
        <f t="shared" si="7"/>
        <v>미이행</v>
      </c>
      <c r="AC40" s="64" t="str">
        <f>IFERROR(INDEX(입력!$P$2:$P$500, MATCH($BO40, 입력!$Z$2:$Z$500, 0)) &amp; "", "")</f>
        <v/>
      </c>
      <c r="AD40" s="64" t="str">
        <f>IFERROR(INDEX(입력!$Q$2:$Q$500, MATCH($BO40, 입력!$Z$2:$Z$500, 0)) &amp; "", "")</f>
        <v/>
      </c>
      <c r="AE40" s="64" t="str">
        <f>IFERROR(INDEX(입력!$R$2:$R$500, MATCH($BO40, 입력!$Z$2:$Z$500, 0)) &amp; "", "")</f>
        <v/>
      </c>
      <c r="AF40" s="64" t="str">
        <f>IFERROR(INDEX(입력!$S$2:$S$500, MATCH($BO40, 입력!$Z$2:$Z$500, 0)) &amp; "", "")</f>
        <v/>
      </c>
      <c r="AG40" s="64" t="str">
        <f>IFERROR(INDEX(입력!$T$2:$T$500, MATCH($BO40, 입력!$Z$2:$Z$500, 0)) &amp; "", "")</f>
        <v/>
      </c>
      <c r="AH40" s="64" t="str">
        <f>IFERROR(INDEX(입력!$U$2:$U$500, MATCH($BO40, 입력!$Z$2:$Z$500, 0)) &amp; "", "")</f>
        <v/>
      </c>
      <c r="AI40" s="64" t="str">
        <f>IFERROR(INDEX(입력!$V$2:$V$500, MATCH($BO40, 입력!$Z$2:$Z$500, 0)) &amp; "", "")</f>
        <v>여</v>
      </c>
      <c r="AJ40" s="44" t="str">
        <f>IFERROR(INDEX(입력!$W$2:$W$500, MATCH($BO40, 입력!$Z$2:$Z$500, 0)) &amp; "", "")</f>
        <v>김진태</v>
      </c>
      <c r="AK40" s="44" t="str">
        <f>IFERROR(INDEX(입력!$X$2:$X$500, MATCH($BO40, 입력!$Z$2:$Z$500, 0)) &amp; "", "")</f>
        <v>010-3632-9885</v>
      </c>
      <c r="AL40" s="2" t="s">
        <v>1218</v>
      </c>
      <c r="AM40" s="17" t="s">
        <v>3167</v>
      </c>
      <c r="AN40" s="113">
        <v>46112</v>
      </c>
      <c r="AO40" s="17" t="s">
        <v>1059</v>
      </c>
      <c r="AP40" s="101" t="s">
        <v>3193</v>
      </c>
      <c r="AQ40" s="108" t="s">
        <v>3169</v>
      </c>
      <c r="AR40" s="22"/>
      <c r="AS40" s="101" t="s">
        <v>3163</v>
      </c>
      <c r="AT40" s="109">
        <v>46104</v>
      </c>
      <c r="AU40" s="101" t="s">
        <v>3127</v>
      </c>
      <c r="AV40" s="101" t="s">
        <v>3191</v>
      </c>
      <c r="AW40" s="101" t="s">
        <v>3159</v>
      </c>
      <c r="AX40" s="101" t="s">
        <v>3194</v>
      </c>
      <c r="AY40" s="83" t="s">
        <v>3131</v>
      </c>
      <c r="AZ40" s="71" t="str">
        <f>IFERROR(IF(INDEX(입력!$C$2:$C$500, MATCH($BO40, 입력!$Z$2:$Z$500, 0))="", "", TEXT(INDEX(입력!$C$2:$C$500, MATCH($BO40, 입력!$Z$2:$Z$500, 0)), "yyyy-mm-dd")), "")</f>
        <v>2026-04-22</v>
      </c>
      <c r="BA40" s="44" t="str">
        <f>IFERROR(INDEX(입력!$B$2:$B$500, MATCH($BO40, 입력!$Z$2:$Z$500, 0)) &amp; "", "")</f>
        <v>정은진</v>
      </c>
      <c r="BB40" s="83" t="str">
        <f>IFERROR(INDEX(입력!$Y$2:$Y$500, MATCH($BO40, 입력!$Z$2:$Z$500, 0)) &amp; "", "")</f>
        <v>업체선정해서 7월말~8월중으로 설치예정.</v>
      </c>
      <c r="BC40" s="83" t="s">
        <v>3172</v>
      </c>
      <c r="BD40" s="83"/>
      <c r="BE40" s="101" t="s">
        <v>1179</v>
      </c>
      <c r="BF40" s="109">
        <v>46163</v>
      </c>
      <c r="BG40" s="101" t="s">
        <v>1059</v>
      </c>
      <c r="BH40" s="101" t="s">
        <v>3952</v>
      </c>
      <c r="BI40" s="101"/>
      <c r="BJ40" s="101"/>
      <c r="BK40" s="110" t="s">
        <v>3984</v>
      </c>
      <c r="BL40" s="21"/>
      <c r="BM40" s="22"/>
      <c r="BN40" s="23"/>
      <c r="BO40" s="47" t="s">
        <v>201</v>
      </c>
    </row>
    <row r="41" spans="1:67" x14ac:dyDescent="0.45">
      <c r="A41" s="19">
        <v>40</v>
      </c>
      <c r="B41" s="1" t="s">
        <v>1175</v>
      </c>
      <c r="C41" s="17" t="str">
        <f t="shared" si="6"/>
        <v>이행완료</v>
      </c>
      <c r="D41" s="17" t="str">
        <f t="shared" si="0"/>
        <v>조사완료</v>
      </c>
      <c r="E41" s="3" t="s">
        <v>1219</v>
      </c>
      <c r="F41" s="3" t="s">
        <v>202</v>
      </c>
      <c r="G41" s="3" t="s">
        <v>1220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MATCH($BO41, 입력!$Z$2:$Z$500, 0)) &amp; "", "")</f>
        <v>1</v>
      </c>
      <c r="S41" s="64" t="str">
        <f>IFERROR(INDEX(입력!$K$2:$K$500, MATCH($BO41,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 t="str">
        <f t="shared" si="3"/>
        <v/>
      </c>
      <c r="X41" s="1">
        <v>2</v>
      </c>
      <c r="Y41" s="64" t="str">
        <f>IFERROR(INDEX(입력!$M$2:$M$500, MATCH($BO41, 입력!$Z$2:$Z$500, 0)) &amp; "", "")</f>
        <v/>
      </c>
      <c r="Z41" s="64" t="str">
        <f>IFERROR(INDEX(입력!$N$2:$N$500, MATCH($BO41, 입력!$Z$2:$Z$500, 0)) &amp; "", "")</f>
        <v>2</v>
      </c>
      <c r="AA41" s="64">
        <f>MAX(0, 표1[[#This Row],[의무_시설]]-표1[[#This Row],[시설합]])</f>
        <v>0</v>
      </c>
      <c r="AB41" s="17" t="str">
        <f t="shared" si="7"/>
        <v>이행완료</v>
      </c>
      <c r="AC41" s="64" t="str">
        <f>IFERROR(INDEX(입력!$P$2:$P$500, MATCH($BO41, 입력!$Z$2:$Z$500, 0)) &amp; "", "")</f>
        <v/>
      </c>
      <c r="AD41" s="64" t="str">
        <f>IFERROR(INDEX(입력!$Q$2:$Q$500, MATCH($BO41, 입력!$Z$2:$Z$500, 0)) &amp; "", "")</f>
        <v/>
      </c>
      <c r="AE41" s="64" t="str">
        <f>IFERROR(INDEX(입력!$R$2:$R$500, MATCH($BO41, 입력!$Z$2:$Z$500, 0)) &amp; "", "")</f>
        <v>여</v>
      </c>
      <c r="AF41" s="64" t="str">
        <f>IFERROR(INDEX(입력!$S$2:$S$500, MATCH($BO41, 입력!$Z$2:$Z$500, 0)) &amp; "", "")</f>
        <v>부</v>
      </c>
      <c r="AG41" s="64" t="str">
        <f>IFERROR(INDEX(입력!$T$2:$T$500, MATCH($BO41, 입력!$Z$2:$Z$500, 0)) &amp; "", "")</f>
        <v/>
      </c>
      <c r="AH41" s="64" t="str">
        <f>IFERROR(INDEX(입력!$U$2:$U$500, MATCH($BO41, 입력!$Z$2:$Z$500, 0)) &amp; "", "")</f>
        <v/>
      </c>
      <c r="AI41" s="64" t="str">
        <f>IFERROR(INDEX(입력!$V$2:$V$500, MATCH($BO41, 입력!$Z$2:$Z$500, 0)) &amp; "", "")</f>
        <v>여</v>
      </c>
      <c r="AJ41" s="44" t="str">
        <f>IFERROR(INDEX(입력!$W$2:$W$500, MATCH($BO41, 입력!$Z$2:$Z$500, 0)) &amp; "", "")</f>
        <v>김나영</v>
      </c>
      <c r="AK41" s="44" t="str">
        <f>IFERROR(INDEX(입력!$X$2:$X$500, MATCH($BO41, 입력!$Z$2:$Z$500, 0)) &amp; "", "")</f>
        <v>010-3666-4557</v>
      </c>
      <c r="AL41" s="2" t="s">
        <v>1221</v>
      </c>
      <c r="AM41" s="17" t="s">
        <v>1060</v>
      </c>
      <c r="AN41" s="83"/>
      <c r="AO41" s="17" t="s">
        <v>1067</v>
      </c>
      <c r="AP41" s="2" t="s">
        <v>1222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3137</v>
      </c>
      <c r="AZ41" s="71" t="str">
        <f>IFERROR(IF(INDEX(입력!$C$2:$C$500, MATCH($BO41, 입력!$Z$2:$Z$500, 0))="", "", TEXT(INDEX(입력!$C$2:$C$500, MATCH($BO41, 입력!$Z$2:$Z$500, 0)), "yyyy-mm-dd")), "")</f>
        <v>2026-05-07</v>
      </c>
      <c r="BA41" s="44" t="str">
        <f>IFERROR(INDEX(입력!$B$2:$B$500, MATCH($BO41, 입력!$Z$2:$Z$500, 0)) &amp; "", "")</f>
        <v>정은진</v>
      </c>
      <c r="BB41" s="83" t="str">
        <f>IFERROR(INDEX(입력!$Y$2:$Y$500, MATCH($BO41, 입력!$Z$2:$Z$500, 0)) &amp; "", "")</f>
        <v/>
      </c>
      <c r="BC41" s="83" t="s">
        <v>3112</v>
      </c>
      <c r="BD41" s="83"/>
      <c r="BE41" s="101"/>
      <c r="BF41" s="101"/>
      <c r="BG41" s="101"/>
      <c r="BH41" s="101"/>
      <c r="BI41" s="101"/>
      <c r="BJ41" s="101"/>
      <c r="BK41" s="110"/>
      <c r="BL41" s="21"/>
      <c r="BM41" s="22"/>
      <c r="BN41" s="23"/>
      <c r="BO41" s="47" t="s">
        <v>203</v>
      </c>
    </row>
    <row r="42" spans="1:67" x14ac:dyDescent="0.45">
      <c r="A42" s="46">
        <v>41</v>
      </c>
      <c r="B42" s="1" t="s">
        <v>1175</v>
      </c>
      <c r="C42" s="17" t="str">
        <f t="shared" si="6"/>
        <v>이행완료</v>
      </c>
      <c r="D42" s="17" t="str">
        <f t="shared" si="0"/>
        <v>조사완료</v>
      </c>
      <c r="E42" s="3" t="s">
        <v>1223</v>
      </c>
      <c r="F42" s="3" t="s">
        <v>204</v>
      </c>
      <c r="G42" s="3" t="s">
        <v>1224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MATCH($BO42, 입력!$Z$2:$Z$500, 0)) &amp; "", "")</f>
        <v>3</v>
      </c>
      <c r="S42" s="64" t="str">
        <f>IFERROR(INDEX(입력!$K$2:$K$500, MATCH($BO42,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 t="str">
        <f t="shared" si="3"/>
        <v/>
      </c>
      <c r="X42" s="1">
        <v>4</v>
      </c>
      <c r="Y42" s="64" t="str">
        <f>IFERROR(INDEX(입력!$M$2:$M$500, MATCH($BO42, 입력!$Z$2:$Z$500, 0)) &amp; "", "")</f>
        <v>2</v>
      </c>
      <c r="Z42" s="64" t="str">
        <f>IFERROR(INDEX(입력!$N$2:$N$500, MATCH($BO42, 입력!$Z$2:$Z$500, 0)) &amp; "", "")</f>
        <v>2</v>
      </c>
      <c r="AA42" s="64">
        <f>MAX(0, 표1[[#This Row],[의무_시설]]-표1[[#This Row],[시설합]])</f>
        <v>0</v>
      </c>
      <c r="AB42" s="17" t="str">
        <f t="shared" si="7"/>
        <v>이행완료</v>
      </c>
      <c r="AC42" s="64" t="str">
        <f>IFERROR(INDEX(입력!$P$2:$P$500, MATCH($BO42, 입력!$Z$2:$Z$500, 0)) &amp; "", "")</f>
        <v/>
      </c>
      <c r="AD42" s="64" t="str">
        <f>IFERROR(INDEX(입력!$Q$2:$Q$500, MATCH($BO42, 입력!$Z$2:$Z$500, 0)) &amp; "", "")</f>
        <v/>
      </c>
      <c r="AE42" s="64" t="str">
        <f>IFERROR(INDEX(입력!$R$2:$R$500, MATCH($BO42, 입력!$Z$2:$Z$500, 0)) &amp; "", "")</f>
        <v>여</v>
      </c>
      <c r="AF42" s="64" t="str">
        <f>IFERROR(INDEX(입력!$S$2:$S$500, MATCH($BO42, 입력!$Z$2:$Z$500, 0)) &amp; "", "")</f>
        <v>부</v>
      </c>
      <c r="AG42" s="64" t="str">
        <f>IFERROR(INDEX(입력!$T$2:$T$500, MATCH($BO42, 입력!$Z$2:$Z$500, 0)) &amp; "", "")</f>
        <v/>
      </c>
      <c r="AH42" s="64" t="str">
        <f>IFERROR(INDEX(입력!$U$2:$U$500, MATCH($BO42, 입력!$Z$2:$Z$500, 0)) &amp; "", "")</f>
        <v/>
      </c>
      <c r="AI42" s="64" t="str">
        <f>IFERROR(INDEX(입력!$V$2:$V$500, MATCH($BO42, 입력!$Z$2:$Z$500, 0)) &amp; "", "")</f>
        <v>여</v>
      </c>
      <c r="AJ42" s="44" t="str">
        <f>IFERROR(INDEX(입력!$W$2:$W$500, MATCH($BO42, 입력!$Z$2:$Z$500, 0)) &amp; "", "")</f>
        <v>윤종민</v>
      </c>
      <c r="AK42" s="44" t="str">
        <f>IFERROR(INDEX(입력!$X$2:$X$500, MATCH($BO42,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1225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3131</v>
      </c>
      <c r="AZ42" s="71" t="str">
        <f>IFERROR(IF(INDEX(입력!$C$2:$C$500, MATCH($BO42, 입력!$Z$2:$Z$500, 0))="", "", TEXT(INDEX(입력!$C$2:$C$500, MATCH($BO42, 입력!$Z$2:$Z$500, 0)), "yyyy-mm-dd")), "")</f>
        <v>2026-05-06</v>
      </c>
      <c r="BA42" s="44" t="str">
        <f>IFERROR(INDEX(입력!$B$2:$B$500, MATCH($BO42, 입력!$Z$2:$Z$500, 0)) &amp; "", "")</f>
        <v>이승수</v>
      </c>
      <c r="BB42" s="83" t="str">
        <f>IFERROR(INDEX(입력!$Y$2:$Y$500, MATCH($BO42, 입력!$Z$2:$Z$500, 0)) &amp; "", "")</f>
        <v/>
      </c>
      <c r="BC42" s="83" t="s">
        <v>3112</v>
      </c>
      <c r="BD42" s="83"/>
      <c r="BE42" s="101"/>
      <c r="BF42" s="101"/>
      <c r="BG42" s="101"/>
      <c r="BH42" s="101"/>
      <c r="BI42" s="101"/>
      <c r="BJ42" s="101"/>
      <c r="BK42" s="110"/>
      <c r="BL42" s="21"/>
      <c r="BM42" s="22"/>
      <c r="BN42" s="23"/>
      <c r="BO42" s="47" t="s">
        <v>205</v>
      </c>
    </row>
    <row r="43" spans="1:67" x14ac:dyDescent="0.45">
      <c r="A43" s="19">
        <v>42</v>
      </c>
      <c r="B43" s="1" t="s">
        <v>1175</v>
      </c>
      <c r="C43" s="17" t="str">
        <f t="shared" si="6"/>
        <v>미이행</v>
      </c>
      <c r="D43" s="17" t="str">
        <f t="shared" si="0"/>
        <v>조사완료</v>
      </c>
      <c r="E43" s="3" t="s">
        <v>1226</v>
      </c>
      <c r="F43" s="3" t="s">
        <v>206</v>
      </c>
      <c r="G43" s="3" t="s">
        <v>1227</v>
      </c>
      <c r="H43" s="18" t="s">
        <v>1133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MATCH($BO43, 입력!$Z$2:$Z$500, 0)) &amp; "", "")</f>
        <v/>
      </c>
      <c r="S43" s="64" t="str">
        <f>IFERROR(INDEX(입력!$K$2:$K$500, MATCH($BO43,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 t="str">
        <f t="shared" si="3"/>
        <v/>
      </c>
      <c r="X43" s="1">
        <v>0</v>
      </c>
      <c r="Y43" s="64" t="str">
        <f>IFERROR(INDEX(입력!$M$2:$M$500, MATCH($BO43, 입력!$Z$2:$Z$500, 0)) &amp; "", "")</f>
        <v/>
      </c>
      <c r="Z43" s="64" t="str">
        <f>IFERROR(INDEX(입력!$N$2:$N$500, MATCH($BO43, 입력!$Z$2:$Z$500, 0)) &amp; "", "")</f>
        <v/>
      </c>
      <c r="AA43" s="64">
        <f>MAX(0, 표1[[#This Row],[의무_시설]]-표1[[#This Row],[시설합]])</f>
        <v>1</v>
      </c>
      <c r="AB43" s="17" t="str">
        <f t="shared" si="7"/>
        <v>미이행</v>
      </c>
      <c r="AC43" s="64" t="str">
        <f>IFERROR(INDEX(입력!$P$2:$P$500, MATCH($BO43, 입력!$Z$2:$Z$500, 0)) &amp; "", "")</f>
        <v/>
      </c>
      <c r="AD43" s="64" t="str">
        <f>IFERROR(INDEX(입력!$Q$2:$Q$500, MATCH($BO43, 입력!$Z$2:$Z$500, 0)) &amp; "", "")</f>
        <v/>
      </c>
      <c r="AE43" s="64" t="str">
        <f>IFERROR(INDEX(입력!$R$2:$R$500, MATCH($BO43, 입력!$Z$2:$Z$500, 0)) &amp; "", "")</f>
        <v/>
      </c>
      <c r="AF43" s="64" t="str">
        <f>IFERROR(INDEX(입력!$S$2:$S$500, MATCH($BO43, 입력!$Z$2:$Z$500, 0)) &amp; "", "")</f>
        <v/>
      </c>
      <c r="AG43" s="64" t="str">
        <f>IFERROR(INDEX(입력!$T$2:$T$500, MATCH($BO43, 입력!$Z$2:$Z$500, 0)) &amp; "", "")</f>
        <v/>
      </c>
      <c r="AH43" s="64" t="str">
        <f>IFERROR(INDEX(입력!$U$2:$U$500, MATCH($BO43, 입력!$Z$2:$Z$500, 0)) &amp; "", "")</f>
        <v/>
      </c>
      <c r="AI43" s="64" t="str">
        <f>IFERROR(INDEX(입력!$V$2:$V$500, MATCH($BO43, 입력!$Z$2:$Z$500, 0)) &amp; "", "")</f>
        <v>여</v>
      </c>
      <c r="AJ43" s="44" t="str">
        <f>IFERROR(INDEX(입력!$W$2:$W$500, MATCH($BO43, 입력!$Z$2:$Z$500, 0)) &amp; "", "")</f>
        <v>최기선</v>
      </c>
      <c r="AK43" s="44" t="str">
        <f>IFERROR(INDEX(입력!$X$2:$X$500, MATCH($BO43, 입력!$Z$2:$Z$500, 0)) &amp; "", "")</f>
        <v>010-3602-0706</v>
      </c>
      <c r="AL43" s="2" t="s">
        <v>1228</v>
      </c>
      <c r="AM43" s="17"/>
      <c r="AN43" s="113">
        <v>46076</v>
      </c>
      <c r="AO43" s="17" t="s">
        <v>1186</v>
      </c>
      <c r="AP43" s="101" t="s">
        <v>3195</v>
      </c>
      <c r="AQ43" s="108" t="s">
        <v>3169</v>
      </c>
      <c r="AR43" s="22"/>
      <c r="AS43" s="114" t="s">
        <v>3163</v>
      </c>
      <c r="AT43" s="109">
        <v>46104</v>
      </c>
      <c r="AU43" s="101" t="s">
        <v>3141</v>
      </c>
      <c r="AV43" s="114" t="s">
        <v>3186</v>
      </c>
      <c r="AW43" s="101"/>
      <c r="AX43" s="101"/>
      <c r="AY43" s="83" t="s">
        <v>3137</v>
      </c>
      <c r="AZ43" s="71" t="str">
        <f>IFERROR(IF(INDEX(입력!$C$2:$C$500, MATCH($BO43, 입력!$Z$2:$Z$500, 0))="", "", TEXT(INDEX(입력!$C$2:$C$500, MATCH($BO43, 입력!$Z$2:$Z$500, 0)), "yyyy-mm-dd")), "")</f>
        <v>2026-04-20</v>
      </c>
      <c r="BA43" s="44" t="str">
        <f>IFERROR(INDEX(입력!$B$2:$B$500, MATCH($BO43, 입력!$Z$2:$Z$500, 0)) &amp; "", "")</f>
        <v>이승수</v>
      </c>
      <c r="BB43" s="83" t="str">
        <f>IFERROR(INDEX(입력!$Y$2:$Y$500, MATCH($BO43, 입력!$Z$2:$Z$500, 0)) &amp; "", "")</f>
        <v>회의중 연내설치가능.</v>
      </c>
      <c r="BC43" s="83" t="s">
        <v>3159</v>
      </c>
      <c r="BD43" s="83"/>
      <c r="BE43" s="101" t="s">
        <v>1060</v>
      </c>
      <c r="BF43" s="109">
        <v>46168</v>
      </c>
      <c r="BG43" s="101" t="s">
        <v>1059</v>
      </c>
      <c r="BH43" s="101" t="s">
        <v>3953</v>
      </c>
      <c r="BI43" s="101" t="s">
        <v>3954</v>
      </c>
      <c r="BJ43" s="101"/>
      <c r="BK43" s="110" t="s">
        <v>3983</v>
      </c>
      <c r="BL43" s="21"/>
      <c r="BM43" s="22"/>
      <c r="BN43" s="23"/>
      <c r="BO43" s="47" t="s">
        <v>207</v>
      </c>
    </row>
    <row r="44" spans="1:67" x14ac:dyDescent="0.45">
      <c r="A44" s="46">
        <v>43</v>
      </c>
      <c r="B44" s="1" t="s">
        <v>1175</v>
      </c>
      <c r="C44" s="17" t="str">
        <f t="shared" si="6"/>
        <v>미이행</v>
      </c>
      <c r="D44" s="17" t="str">
        <f t="shared" si="0"/>
        <v>조사완료</v>
      </c>
      <c r="E44" s="3" t="s">
        <v>1229</v>
      </c>
      <c r="F44" s="3" t="s">
        <v>208</v>
      </c>
      <c r="G44" s="3" t="s">
        <v>1230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MATCH($BO44, 입력!$Z$2:$Z$500, 0)) &amp; "", "")</f>
        <v/>
      </c>
      <c r="S44" s="64" t="str">
        <f>IFERROR(INDEX(입력!$K$2:$K$500, MATCH($BO44,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 t="str">
        <f t="shared" si="3"/>
        <v/>
      </c>
      <c r="X44" s="1">
        <v>0</v>
      </c>
      <c r="Y44" s="64" t="str">
        <f>IFERROR(INDEX(입력!$M$2:$M$500, MATCH($BO44, 입력!$Z$2:$Z$500, 0)) &amp; "", "")</f>
        <v/>
      </c>
      <c r="Z44" s="64" t="str">
        <f>IFERROR(INDEX(입력!$N$2:$N$500, MATCH($BO44, 입력!$Z$2:$Z$500, 0)) &amp; "", "")</f>
        <v/>
      </c>
      <c r="AA44" s="64">
        <f>MAX(0, 표1[[#This Row],[의무_시설]]-표1[[#This Row],[시설합]])</f>
        <v>1</v>
      </c>
      <c r="AB44" s="17" t="str">
        <f t="shared" si="7"/>
        <v>미이행</v>
      </c>
      <c r="AC44" s="64" t="str">
        <f>IFERROR(INDEX(입력!$P$2:$P$500, MATCH($BO44, 입력!$Z$2:$Z$500, 0)) &amp; "", "")</f>
        <v/>
      </c>
      <c r="AD44" s="64" t="str">
        <f>IFERROR(INDEX(입력!$Q$2:$Q$500, MATCH($BO44, 입력!$Z$2:$Z$500, 0)) &amp; "", "")</f>
        <v/>
      </c>
      <c r="AE44" s="64" t="str">
        <f>IFERROR(INDEX(입력!$R$2:$R$500, MATCH($BO44, 입력!$Z$2:$Z$500, 0)) &amp; "", "")</f>
        <v/>
      </c>
      <c r="AF44" s="64" t="str">
        <f>IFERROR(INDEX(입력!$S$2:$S$500, MATCH($BO44, 입력!$Z$2:$Z$500, 0)) &amp; "", "")</f>
        <v/>
      </c>
      <c r="AG44" s="64" t="str">
        <f>IFERROR(INDEX(입력!$T$2:$T$500, MATCH($BO44, 입력!$Z$2:$Z$500, 0)) &amp; "", "")</f>
        <v/>
      </c>
      <c r="AH44" s="64" t="str">
        <f>IFERROR(INDEX(입력!$U$2:$U$500, MATCH($BO44, 입력!$Z$2:$Z$500, 0)) &amp; "", "")</f>
        <v/>
      </c>
      <c r="AI44" s="64" t="str">
        <f>IFERROR(INDEX(입력!$V$2:$V$500, MATCH($BO44, 입력!$Z$2:$Z$500, 0)) &amp; "", "")</f>
        <v>여</v>
      </c>
      <c r="AJ44" s="44" t="str">
        <f>IFERROR(INDEX(입력!$W$2:$W$500, MATCH($BO44, 입력!$Z$2:$Z$500, 0)) &amp; "", "")</f>
        <v>김진문</v>
      </c>
      <c r="AK44" s="44" t="str">
        <f>IFERROR(INDEX(입력!$X$2:$X$500, MATCH($BO44, 입력!$Z$2:$Z$500, 0)) &amp; "", "")</f>
        <v>010-6690-4000</v>
      </c>
      <c r="AL44" s="2" t="s">
        <v>1232</v>
      </c>
      <c r="AM44" s="17" t="s">
        <v>1060</v>
      </c>
      <c r="AN44" s="113">
        <v>46106</v>
      </c>
      <c r="AO44" s="17" t="s">
        <v>1067</v>
      </c>
      <c r="AP44" s="101" t="s">
        <v>3196</v>
      </c>
      <c r="AQ44" s="108"/>
      <c r="AR44" s="22"/>
      <c r="AS44" s="114" t="s">
        <v>3163</v>
      </c>
      <c r="AT44" s="109">
        <v>46104</v>
      </c>
      <c r="AU44" s="101" t="s">
        <v>3127</v>
      </c>
      <c r="AV44" s="114" t="s">
        <v>3186</v>
      </c>
      <c r="AW44" s="101"/>
      <c r="AX44" s="101"/>
      <c r="AY44" s="83" t="s">
        <v>3131</v>
      </c>
      <c r="AZ44" s="71" t="str">
        <f>IFERROR(IF(INDEX(입력!$C$2:$C$500, MATCH($BO44, 입력!$Z$2:$Z$500, 0))="", "", TEXT(INDEX(입력!$C$2:$C$500, MATCH($BO44, 입력!$Z$2:$Z$500, 0)), "yyyy-mm-dd")), "")</f>
        <v>2026-04-18</v>
      </c>
      <c r="BA44" s="44" t="str">
        <f>IFERROR(INDEX(입력!$B$2:$B$500, MATCH($BO44, 입력!$Z$2:$Z$500, 0)) &amp; "", "")</f>
        <v>이승수</v>
      </c>
      <c r="BB44" s="83" t="str">
        <f>IFERROR(INDEX(입력!$Y$2:$Y$500, MATCH($BO44, 입력!$Z$2:$Z$500, 0)) &amp; "", "")</f>
        <v>불경기 어려움. 설치계획중.</v>
      </c>
      <c r="BC44" s="83" t="s">
        <v>3198</v>
      </c>
      <c r="BD44" s="83"/>
      <c r="BE44" s="101" t="s">
        <v>3865</v>
      </c>
      <c r="BF44" s="109">
        <v>46164</v>
      </c>
      <c r="BG44" s="101" t="s">
        <v>1059</v>
      </c>
      <c r="BH44" s="101" t="s">
        <v>3955</v>
      </c>
      <c r="BI44" s="101" t="s">
        <v>3956</v>
      </c>
      <c r="BJ44" s="101"/>
      <c r="BK44" s="110"/>
      <c r="BL44" s="21"/>
      <c r="BM44" s="22"/>
      <c r="BN44" s="23"/>
      <c r="BO44" s="47" t="s">
        <v>209</v>
      </c>
    </row>
    <row r="45" spans="1:67" x14ac:dyDescent="0.45">
      <c r="A45" s="19">
        <v>44</v>
      </c>
      <c r="B45" s="1" t="s">
        <v>1175</v>
      </c>
      <c r="C45" s="17" t="str">
        <f t="shared" si="6"/>
        <v>이행완료</v>
      </c>
      <c r="D45" s="17" t="str">
        <f t="shared" si="0"/>
        <v>조사완료</v>
      </c>
      <c r="E45" s="3" t="s">
        <v>1233</v>
      </c>
      <c r="F45" s="3" t="s">
        <v>210</v>
      </c>
      <c r="G45" s="8" t="s">
        <v>1234</v>
      </c>
      <c r="H45" s="18" t="s">
        <v>1172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MATCH($BO45, 입력!$Z$2:$Z$500, 0)) &amp; "", "")</f>
        <v/>
      </c>
      <c r="S45" s="64" t="str">
        <f>IFERROR(INDEX(입력!$K$2:$K$500, MATCH($BO45,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 t="str">
        <f t="shared" si="3"/>
        <v/>
      </c>
      <c r="X45" s="1">
        <v>2</v>
      </c>
      <c r="Y45" s="64" t="str">
        <f>IFERROR(INDEX(입력!$M$2:$M$500, MATCH($BO45, 입력!$Z$2:$Z$500, 0)) &amp; "", "")</f>
        <v/>
      </c>
      <c r="Z45" s="64" t="str">
        <f>IFERROR(INDEX(입력!$N$2:$N$500, MATCH($BO45, 입력!$Z$2:$Z$500, 0)) &amp; "", "")</f>
        <v>2</v>
      </c>
      <c r="AA45" s="64">
        <f>MAX(0, 표1[[#This Row],[의무_시설]]-표1[[#This Row],[시설합]])</f>
        <v>0</v>
      </c>
      <c r="AB45" s="17" t="str">
        <f t="shared" si="7"/>
        <v>이행완료</v>
      </c>
      <c r="AC45" s="64" t="str">
        <f>IFERROR(INDEX(입력!$P$2:$P$500, MATCH($BO45, 입력!$Z$2:$Z$500, 0)) &amp; "", "")</f>
        <v/>
      </c>
      <c r="AD45" s="64" t="str">
        <f>IFERROR(INDEX(입력!$Q$2:$Q$500, MATCH($BO45, 입력!$Z$2:$Z$500, 0)) &amp; "", "")</f>
        <v/>
      </c>
      <c r="AE45" s="64" t="str">
        <f>IFERROR(INDEX(입력!$R$2:$R$500, MATCH($BO45, 입력!$Z$2:$Z$500, 0)) &amp; "", "")</f>
        <v>여</v>
      </c>
      <c r="AF45" s="64" t="str">
        <f>IFERROR(INDEX(입력!$S$2:$S$500, MATCH($BO45, 입력!$Z$2:$Z$500, 0)) &amp; "", "")</f>
        <v>여</v>
      </c>
      <c r="AG45" s="64" t="str">
        <f>IFERROR(INDEX(입력!$T$2:$T$500, MATCH($BO45, 입력!$Z$2:$Z$500, 0)) &amp; "", "")</f>
        <v/>
      </c>
      <c r="AH45" s="64" t="str">
        <f>IFERROR(INDEX(입력!$U$2:$U$500, MATCH($BO45, 입력!$Z$2:$Z$500, 0)) &amp; "", "")</f>
        <v/>
      </c>
      <c r="AI45" s="64" t="str">
        <f>IFERROR(INDEX(입력!$V$2:$V$500, MATCH($BO45, 입력!$Z$2:$Z$500, 0)) &amp; "", "")</f>
        <v>여</v>
      </c>
      <c r="AJ45" s="44" t="str">
        <f>IFERROR(INDEX(입력!$W$2:$W$500, MATCH($BO45, 입력!$Z$2:$Z$500, 0)) &amp; "", "")</f>
        <v>안준철</v>
      </c>
      <c r="AK45" s="44" t="str">
        <f>IFERROR(INDEX(입력!$X$2:$X$500, MATCH($BO45, 입력!$Z$2:$Z$500, 0)) &amp; "", "")</f>
        <v>010-2625-7422</v>
      </c>
      <c r="AL45" s="2" t="s">
        <v>1235</v>
      </c>
      <c r="AM45" s="17"/>
      <c r="AN45" s="83"/>
      <c r="AO45" s="17" t="s">
        <v>1186</v>
      </c>
      <c r="AP45" s="2" t="s">
        <v>1236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3137</v>
      </c>
      <c r="AZ45" s="71" t="str">
        <f>IFERROR(IF(INDEX(입력!$C$2:$C$500, MATCH($BO45, 입력!$Z$2:$Z$500, 0))="", "", TEXT(INDEX(입력!$C$2:$C$500, MATCH($BO45, 입력!$Z$2:$Z$500, 0)), "yyyy-mm-dd")), "")</f>
        <v>2026-05-04</v>
      </c>
      <c r="BA45" s="44" t="str">
        <f>IFERROR(INDEX(입력!$B$2:$B$500, MATCH($BO45, 입력!$Z$2:$Z$500, 0)) &amp; "", "")</f>
        <v>이승수</v>
      </c>
      <c r="BB45" s="83" t="str">
        <f>IFERROR(INDEX(입력!$Y$2:$Y$500, MATCH($BO45, 입력!$Z$2:$Z$500, 0)) &amp; "", "")</f>
        <v/>
      </c>
      <c r="BC45" s="83" t="s">
        <v>3112</v>
      </c>
      <c r="BD45" s="83"/>
      <c r="BE45" s="101"/>
      <c r="BF45" s="101"/>
      <c r="BG45" s="101"/>
      <c r="BH45" s="101"/>
      <c r="BI45" s="101"/>
      <c r="BJ45" s="101"/>
      <c r="BK45" s="110"/>
      <c r="BL45" s="21"/>
      <c r="BM45" s="22"/>
      <c r="BN45" s="23"/>
      <c r="BO45" s="47" t="s">
        <v>211</v>
      </c>
    </row>
    <row r="46" spans="1:67" x14ac:dyDescent="0.45">
      <c r="A46" s="46">
        <v>45</v>
      </c>
      <c r="B46" s="1" t="s">
        <v>1175</v>
      </c>
      <c r="C46" s="17" t="str">
        <f t="shared" si="6"/>
        <v>이행완료</v>
      </c>
      <c r="D46" s="17" t="str">
        <f t="shared" si="0"/>
        <v>조사완료</v>
      </c>
      <c r="E46" s="1" t="s">
        <v>1237</v>
      </c>
      <c r="F46" s="1" t="s">
        <v>212</v>
      </c>
      <c r="G46" s="1" t="s">
        <v>1238</v>
      </c>
      <c r="H46" s="18" t="s">
        <v>1172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MATCH($BO46, 입력!$Z$2:$Z$500, 0)) &amp; "", "")</f>
        <v/>
      </c>
      <c r="S46" s="64" t="str">
        <f>IFERROR(INDEX(입력!$K$2:$K$500, MATCH($BO46,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 t="str">
        <f t="shared" si="3"/>
        <v/>
      </c>
      <c r="X46" s="1">
        <v>5</v>
      </c>
      <c r="Y46" s="64" t="str">
        <f>IFERROR(INDEX(입력!$M$2:$M$500, MATCH($BO46, 입력!$Z$2:$Z$500, 0)) &amp; "", "")</f>
        <v/>
      </c>
      <c r="Z46" s="64" t="str">
        <f>IFERROR(INDEX(입력!$N$2:$N$500, MATCH($BO46, 입력!$Z$2:$Z$500, 0)) &amp; "", "")</f>
        <v>5</v>
      </c>
      <c r="AA46" s="64">
        <f>MAX(0, 표1[[#This Row],[의무_시설]]-표1[[#This Row],[시설합]])</f>
        <v>0</v>
      </c>
      <c r="AB46" s="17" t="str">
        <f t="shared" si="7"/>
        <v>이행완료</v>
      </c>
      <c r="AC46" s="64" t="str">
        <f>IFERROR(INDEX(입력!$P$2:$P$500, MATCH($BO46, 입력!$Z$2:$Z$500, 0)) &amp; "", "")</f>
        <v/>
      </c>
      <c r="AD46" s="64" t="str">
        <f>IFERROR(INDEX(입력!$Q$2:$Q$500, MATCH($BO46, 입력!$Z$2:$Z$500, 0)) &amp; "", "")</f>
        <v/>
      </c>
      <c r="AE46" s="64" t="str">
        <f>IFERROR(INDEX(입력!$R$2:$R$500, MATCH($BO46, 입력!$Z$2:$Z$500, 0)) &amp; "", "")</f>
        <v>여</v>
      </c>
      <c r="AF46" s="64" t="str">
        <f>IFERROR(INDEX(입력!$S$2:$S$500, MATCH($BO46, 입력!$Z$2:$Z$500, 0)) &amp; "", "")</f>
        <v>여</v>
      </c>
      <c r="AG46" s="64" t="str">
        <f>IFERROR(INDEX(입력!$T$2:$T$500, MATCH($BO46, 입력!$Z$2:$Z$500, 0)) &amp; "", "")</f>
        <v/>
      </c>
      <c r="AH46" s="64" t="str">
        <f>IFERROR(INDEX(입력!$U$2:$U$500, MATCH($BO46, 입력!$Z$2:$Z$500, 0)) &amp; "", "")</f>
        <v/>
      </c>
      <c r="AI46" s="64" t="str">
        <f>IFERROR(INDEX(입력!$V$2:$V$500, MATCH($BO46, 입력!$Z$2:$Z$500, 0)) &amp; "", "")</f>
        <v>여</v>
      </c>
      <c r="AJ46" s="44" t="str">
        <f>IFERROR(INDEX(입력!$W$2:$W$500, MATCH($BO46, 입력!$Z$2:$Z$500, 0)) &amp; "", "")</f>
        <v>서금식</v>
      </c>
      <c r="AK46" s="44" t="str">
        <f>IFERROR(INDEX(입력!$X$2:$X$500, MATCH($BO46, 입력!$Z$2:$Z$500, 0)) &amp; "", "")</f>
        <v>974-9167</v>
      </c>
      <c r="AL46" s="2" t="s">
        <v>1239</v>
      </c>
      <c r="AM46" s="17" t="s">
        <v>1179</v>
      </c>
      <c r="AN46" s="83"/>
      <c r="AO46" s="17" t="s">
        <v>1186</v>
      </c>
      <c r="AP46" s="2" t="s">
        <v>1240</v>
      </c>
      <c r="AQ46" s="21"/>
      <c r="AR46" s="22" t="s">
        <v>1241</v>
      </c>
      <c r="AS46" s="101"/>
      <c r="AT46" s="101"/>
      <c r="AU46" s="101"/>
      <c r="AV46" s="101"/>
      <c r="AW46" s="101"/>
      <c r="AX46" s="101"/>
      <c r="AY46" s="83" t="s">
        <v>3131</v>
      </c>
      <c r="AZ46" s="71" t="str">
        <f>IFERROR(IF(INDEX(입력!$C$2:$C$500, MATCH($BO46, 입력!$Z$2:$Z$500, 0))="", "", TEXT(INDEX(입력!$C$2:$C$500, MATCH($BO46, 입력!$Z$2:$Z$500, 0)), "yyyy-mm-dd")), "")</f>
        <v>2026-05-06</v>
      </c>
      <c r="BA46" s="44" t="str">
        <f>IFERROR(INDEX(입력!$B$2:$B$500, MATCH($BO46, 입력!$Z$2:$Z$500, 0)) &amp; "", "")</f>
        <v>이승수</v>
      </c>
      <c r="BB46" s="83" t="str">
        <f>IFERROR(INDEX(입력!$Y$2:$Y$500, MATCH($BO46, 입력!$Z$2:$Z$500, 0)) &amp; "", "")</f>
        <v/>
      </c>
      <c r="BC46" s="83" t="s">
        <v>3112</v>
      </c>
      <c r="BD46" s="83"/>
      <c r="BE46" s="101"/>
      <c r="BF46" s="101"/>
      <c r="BG46" s="101"/>
      <c r="BH46" s="101"/>
      <c r="BI46" s="101"/>
      <c r="BJ46" s="101"/>
      <c r="BK46" s="110"/>
      <c r="BL46" s="21"/>
      <c r="BM46" s="22"/>
      <c r="BN46" s="23"/>
      <c r="BO46" s="47" t="s">
        <v>213</v>
      </c>
    </row>
    <row r="47" spans="1:67" x14ac:dyDescent="0.45">
      <c r="A47" s="19">
        <v>46</v>
      </c>
      <c r="B47" s="1" t="s">
        <v>1175</v>
      </c>
      <c r="C47" s="17" t="str">
        <f t="shared" si="6"/>
        <v>미이행</v>
      </c>
      <c r="D47" s="17" t="str">
        <f t="shared" si="0"/>
        <v>조사완료</v>
      </c>
      <c r="E47" s="3" t="s">
        <v>1243</v>
      </c>
      <c r="F47" s="3" t="s">
        <v>215</v>
      </c>
      <c r="G47" s="3" t="s">
        <v>3986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MATCH($BO47, 입력!$Z$2:$Z$500, 0)) &amp; "", "")</f>
        <v/>
      </c>
      <c r="S47" s="64" t="str">
        <f>IFERROR(INDEX(입력!$K$2:$K$500, MATCH($BO47,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 t="str">
        <f t="shared" si="3"/>
        <v/>
      </c>
      <c r="X47" s="1">
        <v>0</v>
      </c>
      <c r="Y47" s="64" t="str">
        <f>IFERROR(INDEX(입력!$M$2:$M$500, MATCH($BO47, 입력!$Z$2:$Z$500, 0)) &amp; "", "")</f>
        <v/>
      </c>
      <c r="Z47" s="64" t="str">
        <f>IFERROR(INDEX(입력!$N$2:$N$500, MATCH($BO47, 입력!$Z$2:$Z$500, 0)) &amp; "", "")</f>
        <v/>
      </c>
      <c r="AA47" s="64">
        <f>MAX(0, 표1[[#This Row],[의무_시설]]-표1[[#This Row],[시설합]])</f>
        <v>2</v>
      </c>
      <c r="AB47" s="17" t="str">
        <f t="shared" si="7"/>
        <v>미이행</v>
      </c>
      <c r="AC47" s="64" t="str">
        <f>IFERROR(INDEX(입력!$P$2:$P$500, MATCH($BO47, 입력!$Z$2:$Z$500, 0)) &amp; "", "")</f>
        <v/>
      </c>
      <c r="AD47" s="64" t="str">
        <f>IFERROR(INDEX(입력!$Q$2:$Q$500, MATCH($BO47, 입력!$Z$2:$Z$500, 0)) &amp; "", "")</f>
        <v/>
      </c>
      <c r="AE47" s="64" t="str">
        <f>IFERROR(INDEX(입력!$R$2:$R$500, MATCH($BO47, 입력!$Z$2:$Z$500, 0)) &amp; "", "")</f>
        <v/>
      </c>
      <c r="AF47" s="64" t="str">
        <f>IFERROR(INDEX(입력!$S$2:$S$500, MATCH($BO47, 입력!$Z$2:$Z$500, 0)) &amp; "", "")</f>
        <v/>
      </c>
      <c r="AG47" s="64" t="str">
        <f>IFERROR(INDEX(입력!$T$2:$T$500, MATCH($BO47, 입력!$Z$2:$Z$500, 0)) &amp; "", "")</f>
        <v/>
      </c>
      <c r="AH47" s="64" t="str">
        <f>IFERROR(INDEX(입력!$U$2:$U$500, MATCH($BO47, 입력!$Z$2:$Z$500, 0)) &amp; "", "")</f>
        <v/>
      </c>
      <c r="AI47" s="64" t="str">
        <f>IFERROR(INDEX(입력!$V$2:$V$500, MATCH($BO47, 입력!$Z$2:$Z$500, 0)) &amp; "", "")</f>
        <v>여</v>
      </c>
      <c r="AJ47" s="44" t="str">
        <f>IFERROR(INDEX(입력!$W$2:$W$500, MATCH($BO47, 입력!$Z$2:$Z$500, 0)) &amp; "", "")</f>
        <v>김현명</v>
      </c>
      <c r="AK47" s="44" t="str">
        <f>IFERROR(INDEX(입력!$X$2:$X$500, MATCH($BO47, 입력!$Z$2:$Z$500, 0)) &amp; "", "")</f>
        <v>010-6392-9593</v>
      </c>
      <c r="AL47" s="1" t="s">
        <v>1244</v>
      </c>
      <c r="AM47" s="17" t="s">
        <v>3199</v>
      </c>
      <c r="AN47" s="113">
        <v>46072</v>
      </c>
      <c r="AO47" s="17" t="s">
        <v>1186</v>
      </c>
      <c r="AP47" s="101" t="s">
        <v>3200</v>
      </c>
      <c r="AQ47" s="108"/>
      <c r="AR47" s="22" t="s">
        <v>1245</v>
      </c>
      <c r="AS47" s="114" t="s">
        <v>3124</v>
      </c>
      <c r="AT47" s="109">
        <v>46104</v>
      </c>
      <c r="AU47" s="101" t="s">
        <v>3126</v>
      </c>
      <c r="AV47" s="114" t="s">
        <v>3201</v>
      </c>
      <c r="AW47" s="101"/>
      <c r="AX47" s="101"/>
      <c r="AY47" s="83" t="s">
        <v>3137</v>
      </c>
      <c r="AZ47" s="71" t="str">
        <f>IFERROR(IF(INDEX(입력!$C$2:$C$500, MATCH($BO47, 입력!$Z$2:$Z$500, 0))="", "", TEXT(INDEX(입력!$C$2:$C$500, MATCH($BO47, 입력!$Z$2:$Z$500, 0)), "yyyy-mm-dd")), "")</f>
        <v>2026-04-20</v>
      </c>
      <c r="BA47" s="44" t="str">
        <f>IFERROR(INDEX(입력!$B$2:$B$500, MATCH($BO47, 입력!$Z$2:$Z$500, 0)) &amp; "", "")</f>
        <v>정은진</v>
      </c>
      <c r="BB47" s="83" t="str">
        <f>IFERROR(INDEX(입력!$Y$2:$Y$500, MATCH($BO47, 입력!$Z$2:$Z$500, 0)) &amp; "", "")</f>
        <v>임차인들과의 자금문제. 올해말 설치에정.</v>
      </c>
      <c r="BC47" s="83" t="s">
        <v>3166</v>
      </c>
      <c r="BD47" s="83"/>
      <c r="BE47" s="101"/>
      <c r="BF47" s="101"/>
      <c r="BG47" s="101"/>
      <c r="BH47" s="101"/>
      <c r="BI47" s="101"/>
      <c r="BJ47" s="101"/>
      <c r="BK47" s="110"/>
      <c r="BL47" s="21"/>
      <c r="BM47" s="22"/>
      <c r="BN47" s="23"/>
      <c r="BO47" s="47" t="s">
        <v>216</v>
      </c>
    </row>
    <row r="48" spans="1:67" x14ac:dyDescent="0.45">
      <c r="A48" s="46">
        <v>47</v>
      </c>
      <c r="B48" s="1" t="s">
        <v>1175</v>
      </c>
      <c r="C48" s="17" t="str">
        <f t="shared" si="6"/>
        <v>미이행</v>
      </c>
      <c r="D48" s="17" t="str">
        <f t="shared" si="0"/>
        <v>조사완료</v>
      </c>
      <c r="E48" s="3" t="s">
        <v>1246</v>
      </c>
      <c r="F48" s="3" t="s">
        <v>217</v>
      </c>
      <c r="G48" s="3" t="s">
        <v>1247</v>
      </c>
      <c r="H48" s="18" t="s">
        <v>1202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MATCH($BO48, 입력!$Z$2:$Z$500, 0)) &amp; "", "")</f>
        <v/>
      </c>
      <c r="S48" s="64" t="str">
        <f>IFERROR(INDEX(입력!$K$2:$K$500, MATCH($BO48,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 t="str">
        <f t="shared" si="3"/>
        <v/>
      </c>
      <c r="X48" s="1">
        <v>0</v>
      </c>
      <c r="Y48" s="64" t="str">
        <f>IFERROR(INDEX(입력!$M$2:$M$500, MATCH($BO48, 입력!$Z$2:$Z$500, 0)) &amp; "", "")</f>
        <v/>
      </c>
      <c r="Z48" s="64" t="str">
        <f>IFERROR(INDEX(입력!$N$2:$N$500, MATCH($BO48, 입력!$Z$2:$Z$500, 0)) &amp; "", "")</f>
        <v/>
      </c>
      <c r="AA48" s="64">
        <f>MAX(0, 표1[[#This Row],[의무_시설]]-표1[[#This Row],[시설합]])</f>
        <v>3</v>
      </c>
      <c r="AB48" s="17" t="str">
        <f t="shared" si="7"/>
        <v>미이행</v>
      </c>
      <c r="AC48" s="64" t="str">
        <f>IFERROR(INDEX(입력!$P$2:$P$500, MATCH($BO48, 입력!$Z$2:$Z$500, 0)) &amp; "", "")</f>
        <v/>
      </c>
      <c r="AD48" s="64" t="str">
        <f>IFERROR(INDEX(입력!$Q$2:$Q$500, MATCH($BO48, 입력!$Z$2:$Z$500, 0)) &amp; "", "")</f>
        <v/>
      </c>
      <c r="AE48" s="64" t="str">
        <f>IFERROR(INDEX(입력!$R$2:$R$500, MATCH($BO48, 입력!$Z$2:$Z$500, 0)) &amp; "", "")</f>
        <v/>
      </c>
      <c r="AF48" s="64" t="str">
        <f>IFERROR(INDEX(입력!$S$2:$S$500, MATCH($BO48, 입력!$Z$2:$Z$500, 0)) &amp; "", "")</f>
        <v/>
      </c>
      <c r="AG48" s="64" t="str">
        <f>IFERROR(INDEX(입력!$T$2:$T$500, MATCH($BO48, 입력!$Z$2:$Z$500, 0)) &amp; "", "")</f>
        <v/>
      </c>
      <c r="AH48" s="64" t="str">
        <f>IFERROR(INDEX(입력!$U$2:$U$500, MATCH($BO48, 입력!$Z$2:$Z$500, 0)) &amp; "", "")</f>
        <v/>
      </c>
      <c r="AI48" s="64" t="str">
        <f>IFERROR(INDEX(입력!$V$2:$V$500, MATCH($BO48, 입력!$Z$2:$Z$500, 0)) &amp; "", "")</f>
        <v>여</v>
      </c>
      <c r="AJ48" s="44" t="str">
        <f>IFERROR(INDEX(입력!$W$2:$W$500, MATCH($BO48, 입력!$Z$2:$Z$500, 0)) &amp; "", "")</f>
        <v>임동휴</v>
      </c>
      <c r="AK48" s="44" t="str">
        <f>IFERROR(INDEX(입력!$X$2:$X$500, MATCH($BO48, 입력!$Z$2:$Z$500, 0)) &amp; "", "")</f>
        <v>959-6278</v>
      </c>
      <c r="AL48" s="2" t="s">
        <v>1248</v>
      </c>
      <c r="AM48" s="17" t="s">
        <v>3135</v>
      </c>
      <c r="AN48" s="113">
        <v>46045</v>
      </c>
      <c r="AO48" s="17" t="s">
        <v>1059</v>
      </c>
      <c r="AP48" s="101" t="s">
        <v>3202</v>
      </c>
      <c r="AQ48" s="108"/>
      <c r="AR48" s="22"/>
      <c r="AS48" s="101" t="s">
        <v>3163</v>
      </c>
      <c r="AT48" s="109">
        <v>46104</v>
      </c>
      <c r="AU48" s="101" t="s">
        <v>3127</v>
      </c>
      <c r="AV48" s="101" t="s">
        <v>3128</v>
      </c>
      <c r="AW48" s="101" t="s">
        <v>3203</v>
      </c>
      <c r="AX48" s="101"/>
      <c r="AY48" s="83" t="s">
        <v>3131</v>
      </c>
      <c r="AZ48" s="71" t="str">
        <f>IFERROR(IF(INDEX(입력!$C$2:$C$500, MATCH($BO48, 입력!$Z$2:$Z$500, 0))="", "", TEXT(INDEX(입력!$C$2:$C$500, MATCH($BO48, 입력!$Z$2:$Z$500, 0)), "yyyy-mm-dd")), "")</f>
        <v>2026-04-17</v>
      </c>
      <c r="BA48" s="44" t="str">
        <f>IFERROR(INDEX(입력!$B$2:$B$500, MATCH($BO48, 입력!$Z$2:$Z$500, 0)) &amp; "", "")</f>
        <v>정은진</v>
      </c>
      <c r="BB48" s="83" t="str">
        <f>IFERROR(INDEX(입력!$Y$2:$Y$500, MATCH($BO48, 입력!$Z$2:$Z$500, 0)) &amp; "", "")</f>
        <v>업체 선정중. 5월말 예정.</v>
      </c>
      <c r="BC48" s="83" t="s">
        <v>3133</v>
      </c>
      <c r="BD48" s="83"/>
      <c r="BE48" s="101"/>
      <c r="BF48" s="101"/>
      <c r="BG48" s="101"/>
      <c r="BH48" s="101"/>
      <c r="BI48" s="101"/>
      <c r="BJ48" s="101"/>
      <c r="BK48" s="110"/>
      <c r="BL48" s="21"/>
      <c r="BM48" s="22"/>
      <c r="BN48" s="23"/>
      <c r="BO48" s="47" t="s">
        <v>218</v>
      </c>
    </row>
    <row r="49" spans="1:67" x14ac:dyDescent="0.45">
      <c r="A49" s="19">
        <v>48</v>
      </c>
      <c r="B49" s="1" t="s">
        <v>1175</v>
      </c>
      <c r="C49" s="17" t="str">
        <f t="shared" si="6"/>
        <v>이행완료</v>
      </c>
      <c r="D49" s="17" t="str">
        <f t="shared" si="0"/>
        <v>조사완료</v>
      </c>
      <c r="E49" s="3" t="s">
        <v>1249</v>
      </c>
      <c r="F49" s="3" t="s">
        <v>219</v>
      </c>
      <c r="G49" s="3" t="s">
        <v>1250</v>
      </c>
      <c r="H49" s="18" t="s">
        <v>1172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MATCH($BO49, 입력!$Z$2:$Z$500, 0)) &amp; "", "")</f>
        <v/>
      </c>
      <c r="S49" s="64" t="str">
        <f>IFERROR(INDEX(입력!$K$2:$K$500, MATCH($BO49,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 t="str">
        <f t="shared" si="3"/>
        <v/>
      </c>
      <c r="X49" s="1">
        <v>3</v>
      </c>
      <c r="Y49" s="64" t="str">
        <f>IFERROR(INDEX(입력!$M$2:$M$500, MATCH($BO49, 입력!$Z$2:$Z$500, 0)) &amp; "", "")</f>
        <v>1</v>
      </c>
      <c r="Z49" s="64" t="str">
        <f>IFERROR(INDEX(입력!$N$2:$N$500, MATCH($BO49, 입력!$Z$2:$Z$500, 0)) &amp; "", "")</f>
        <v>2</v>
      </c>
      <c r="AA49" s="64">
        <f>MAX(0, 표1[[#This Row],[의무_시설]]-표1[[#This Row],[시설합]])</f>
        <v>0</v>
      </c>
      <c r="AB49" s="17" t="str">
        <f t="shared" si="7"/>
        <v>이행완료</v>
      </c>
      <c r="AC49" s="64" t="str">
        <f>IFERROR(INDEX(입력!$P$2:$P$500, MATCH($BO49, 입력!$Z$2:$Z$500, 0)) &amp; "", "")</f>
        <v/>
      </c>
      <c r="AD49" s="64" t="str">
        <f>IFERROR(INDEX(입력!$Q$2:$Q$500, MATCH($BO49, 입력!$Z$2:$Z$500, 0)) &amp; "", "")</f>
        <v/>
      </c>
      <c r="AE49" s="64" t="str">
        <f>IFERROR(INDEX(입력!$R$2:$R$500, MATCH($BO49, 입력!$Z$2:$Z$500, 0)) &amp; "", "")</f>
        <v/>
      </c>
      <c r="AF49" s="64" t="str">
        <f>IFERROR(INDEX(입력!$S$2:$S$500, MATCH($BO49, 입력!$Z$2:$Z$500, 0)) &amp; "", "")</f>
        <v/>
      </c>
      <c r="AG49" s="64" t="str">
        <f>IFERROR(INDEX(입력!$T$2:$T$500, MATCH($BO49, 입력!$Z$2:$Z$500, 0)) &amp; "", "")</f>
        <v/>
      </c>
      <c r="AH49" s="64" t="str">
        <f>IFERROR(INDEX(입력!$U$2:$U$500, MATCH($BO49, 입력!$Z$2:$Z$500, 0)) &amp; "", "")</f>
        <v/>
      </c>
      <c r="AI49" s="64" t="str">
        <f>IFERROR(INDEX(입력!$V$2:$V$500, MATCH($BO49, 입력!$Z$2:$Z$500, 0)) &amp; "", "")</f>
        <v/>
      </c>
      <c r="AJ49" s="44" t="str">
        <f>IFERROR(INDEX(입력!$W$2:$W$500, MATCH($BO49, 입력!$Z$2:$Z$500, 0)) &amp; "", "")</f>
        <v/>
      </c>
      <c r="AK49" s="44" t="str">
        <f>IFERROR(INDEX(입력!$X$2:$X$500, MATCH($BO49, 입력!$Z$2:$Z$500, 0)) &amp; "", "")</f>
        <v/>
      </c>
      <c r="AL49" s="2"/>
      <c r="AM49" s="17" t="s">
        <v>1251</v>
      </c>
      <c r="AN49" s="83"/>
      <c r="AO49" s="17" t="s">
        <v>1059</v>
      </c>
      <c r="AP49" s="2"/>
      <c r="AQ49" s="21"/>
      <c r="AR49" s="22" t="s">
        <v>1196</v>
      </c>
      <c r="AS49" s="101"/>
      <c r="AT49" s="101"/>
      <c r="AU49" s="101"/>
      <c r="AV49" s="101"/>
      <c r="AW49" s="101"/>
      <c r="AX49" s="101"/>
      <c r="AY49" s="83" t="s">
        <v>3137</v>
      </c>
      <c r="AZ49" s="71" t="str">
        <f>IFERROR(IF(INDEX(입력!$C$2:$C$500, MATCH($BO49, 입력!$Z$2:$Z$500, 0))="", "", TEXT(INDEX(입력!$C$2:$C$500, MATCH($BO49, 입력!$Z$2:$Z$500, 0)), "yyyy-mm-dd")), "")</f>
        <v>2026-05-04</v>
      </c>
      <c r="BA49" s="44" t="str">
        <f>IFERROR(INDEX(입력!$B$2:$B$500, MATCH($BO49, 입력!$Z$2:$Z$500, 0)) &amp; "", "")</f>
        <v>이승수</v>
      </c>
      <c r="BB49" s="83" t="str">
        <f>IFERROR(INDEX(입력!$Y$2:$Y$500, MATCH($BO49, 입력!$Z$2:$Z$500, 0)) &amp; "", "")</f>
        <v/>
      </c>
      <c r="BC49" s="83" t="s">
        <v>3112</v>
      </c>
      <c r="BD49" s="83"/>
      <c r="BE49" s="101"/>
      <c r="BF49" s="101"/>
      <c r="BG49" s="101"/>
      <c r="BH49" s="101"/>
      <c r="BI49" s="101"/>
      <c r="BJ49" s="101"/>
      <c r="BK49" s="110"/>
      <c r="BL49" s="21"/>
      <c r="BM49" s="22"/>
      <c r="BN49" s="23"/>
      <c r="BO49" s="47" t="s">
        <v>220</v>
      </c>
    </row>
    <row r="50" spans="1:67" x14ac:dyDescent="0.45">
      <c r="A50" s="46">
        <v>49</v>
      </c>
      <c r="B50" s="1" t="s">
        <v>1175</v>
      </c>
      <c r="C50" s="17" t="str">
        <f t="shared" si="6"/>
        <v>미이행</v>
      </c>
      <c r="D50" s="17" t="str">
        <f t="shared" si="0"/>
        <v>조사완료</v>
      </c>
      <c r="E50" s="3" t="s">
        <v>1252</v>
      </c>
      <c r="F50" s="3" t="s">
        <v>221</v>
      </c>
      <c r="G50" s="3" t="s">
        <v>1253</v>
      </c>
      <c r="H50" s="18" t="s">
        <v>1202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MATCH($BO50, 입력!$Z$2:$Z$500, 0)) &amp; "", "")</f>
        <v/>
      </c>
      <c r="S50" s="64" t="str">
        <f>IFERROR(INDEX(입력!$K$2:$K$500, MATCH($BO50,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 t="str">
        <f t="shared" si="3"/>
        <v/>
      </c>
      <c r="X50" s="1">
        <v>0</v>
      </c>
      <c r="Y50" s="64" t="str">
        <f>IFERROR(INDEX(입력!$M$2:$M$500, MATCH($BO50, 입력!$Z$2:$Z$500, 0)) &amp; "", "")</f>
        <v/>
      </c>
      <c r="Z50" s="64" t="str">
        <f>IFERROR(INDEX(입력!$N$2:$N$500, MATCH($BO50, 입력!$Z$2:$Z$500, 0)) &amp; "", "")</f>
        <v/>
      </c>
      <c r="AA50" s="64">
        <f>MAX(0, 표1[[#This Row],[의무_시설]]-표1[[#This Row],[시설합]])</f>
        <v>1</v>
      </c>
      <c r="AB50" s="17" t="str">
        <f t="shared" si="7"/>
        <v>미이행</v>
      </c>
      <c r="AC50" s="64" t="str">
        <f>IFERROR(INDEX(입력!$P$2:$P$500, MATCH($BO50, 입력!$Z$2:$Z$500, 0)) &amp; "", "")</f>
        <v/>
      </c>
      <c r="AD50" s="64" t="str">
        <f>IFERROR(INDEX(입력!$Q$2:$Q$500, MATCH($BO50, 입력!$Z$2:$Z$500, 0)) &amp; "", "")</f>
        <v/>
      </c>
      <c r="AE50" s="64" t="str">
        <f>IFERROR(INDEX(입력!$R$2:$R$500, MATCH($BO50, 입력!$Z$2:$Z$500, 0)) &amp; "", "")</f>
        <v/>
      </c>
      <c r="AF50" s="64" t="str">
        <f>IFERROR(INDEX(입력!$S$2:$S$500, MATCH($BO50, 입력!$Z$2:$Z$500, 0)) &amp; "", "")</f>
        <v/>
      </c>
      <c r="AG50" s="64" t="str">
        <f>IFERROR(INDEX(입력!$T$2:$T$500, MATCH($BO50, 입력!$Z$2:$Z$500, 0)) &amp; "", "")</f>
        <v/>
      </c>
      <c r="AH50" s="64" t="str">
        <f>IFERROR(INDEX(입력!$U$2:$U$500, MATCH($BO50, 입력!$Z$2:$Z$500, 0)) &amp; "", "")</f>
        <v/>
      </c>
      <c r="AI50" s="64" t="str">
        <f>IFERROR(INDEX(입력!$V$2:$V$500, MATCH($BO50, 입력!$Z$2:$Z$500, 0)) &amp; "", "")</f>
        <v>여</v>
      </c>
      <c r="AJ50" s="44" t="str">
        <f>IFERROR(INDEX(입력!$W$2:$W$500, MATCH($BO50, 입력!$Z$2:$Z$500, 0)) &amp; "", "")</f>
        <v>최상운</v>
      </c>
      <c r="AK50" s="44" t="str">
        <f>IFERROR(INDEX(입력!$X$2:$X$500, MATCH($BO50, 입력!$Z$2:$Z$500, 0)) &amp; "", "")</f>
        <v>010-3911-5481</v>
      </c>
      <c r="AL50" s="2" t="s">
        <v>1254</v>
      </c>
      <c r="AM50" s="17"/>
      <c r="AN50" s="113">
        <v>46072</v>
      </c>
      <c r="AO50" s="17" t="s">
        <v>1186</v>
      </c>
      <c r="AP50" s="101" t="s">
        <v>3204</v>
      </c>
      <c r="AQ50" s="108"/>
      <c r="AR50" s="22" t="s">
        <v>1196</v>
      </c>
      <c r="AS50" s="114" t="s">
        <v>3163</v>
      </c>
      <c r="AT50" s="109">
        <v>46104</v>
      </c>
      <c r="AU50" s="101" t="s">
        <v>3141</v>
      </c>
      <c r="AV50" s="114" t="s">
        <v>3205</v>
      </c>
      <c r="AW50" s="101"/>
      <c r="AX50" s="101"/>
      <c r="AY50" s="83" t="s">
        <v>3137</v>
      </c>
      <c r="AZ50" s="71" t="str">
        <f>IFERROR(IF(INDEX(입력!$C$2:$C$500, MATCH($BO50, 입력!$Z$2:$Z$500, 0))="", "", TEXT(INDEX(입력!$C$2:$C$500, MATCH($BO50, 입력!$Z$2:$Z$500, 0)), "yyyy-mm-dd")), "")</f>
        <v>2026-04-17</v>
      </c>
      <c r="BA50" s="44" t="str">
        <f>IFERROR(INDEX(입력!$B$2:$B$500, MATCH($BO50, 입력!$Z$2:$Z$500, 0)) &amp; "", "")</f>
        <v>정은진</v>
      </c>
      <c r="BB50" s="83" t="str">
        <f>IFERROR(INDEX(입력!$Y$2:$Y$500, MATCH($BO50, 입력!$Z$2:$Z$500, 0)) &amp; "", "")</f>
        <v>건물주 협의가 안되서 연말까지 할 예정.</v>
      </c>
      <c r="BC50" s="83" t="s">
        <v>3159</v>
      </c>
      <c r="BD50" s="83"/>
      <c r="BE50" s="101" t="s">
        <v>1060</v>
      </c>
      <c r="BF50" s="109">
        <v>46157</v>
      </c>
      <c r="BG50" s="101" t="s">
        <v>1059</v>
      </c>
      <c r="BH50" s="101" t="s">
        <v>3821</v>
      </c>
      <c r="BI50" s="101"/>
      <c r="BJ50" s="101"/>
      <c r="BK50" s="110"/>
      <c r="BL50" s="21"/>
      <c r="BM50" s="22"/>
      <c r="BN50" s="23"/>
      <c r="BO50" s="47" t="s">
        <v>222</v>
      </c>
    </row>
    <row r="51" spans="1:67" x14ac:dyDescent="0.45">
      <c r="A51" s="19">
        <v>50</v>
      </c>
      <c r="B51" s="1" t="s">
        <v>1175</v>
      </c>
      <c r="C51" s="17" t="str">
        <f t="shared" si="6"/>
        <v>이행완료</v>
      </c>
      <c r="D51" s="17" t="str">
        <f t="shared" si="0"/>
        <v>조사완료</v>
      </c>
      <c r="E51" s="3" t="s">
        <v>1255</v>
      </c>
      <c r="F51" s="3" t="s">
        <v>223</v>
      </c>
      <c r="G51" s="3" t="s">
        <v>1256</v>
      </c>
      <c r="H51" s="18" t="s">
        <v>1172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MATCH($BO51, 입력!$Z$2:$Z$500, 0)) &amp; "", "")</f>
        <v/>
      </c>
      <c r="S51" s="64" t="str">
        <f>IFERROR(INDEX(입력!$K$2:$K$500, MATCH($BO51,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 t="str">
        <f t="shared" si="3"/>
        <v/>
      </c>
      <c r="X51" s="1">
        <v>2</v>
      </c>
      <c r="Y51" s="64" t="str">
        <f>IFERROR(INDEX(입력!$M$2:$M$500, MATCH($BO51, 입력!$Z$2:$Z$500, 0)) &amp; "", "")</f>
        <v/>
      </c>
      <c r="Z51" s="64" t="str">
        <f>IFERROR(INDEX(입력!$N$2:$N$500, MATCH($BO51, 입력!$Z$2:$Z$500, 0)) &amp; "", "")</f>
        <v>2</v>
      </c>
      <c r="AA51" s="64">
        <f>MAX(0, 표1[[#This Row],[의무_시설]]-표1[[#This Row],[시설합]])</f>
        <v>0</v>
      </c>
      <c r="AB51" s="17" t="str">
        <f t="shared" si="7"/>
        <v>이행완료</v>
      </c>
      <c r="AC51" s="64" t="str">
        <f>IFERROR(INDEX(입력!$P$2:$P$500, MATCH($BO51, 입력!$Z$2:$Z$500, 0)) &amp; "", "")</f>
        <v/>
      </c>
      <c r="AD51" s="64" t="str">
        <f>IFERROR(INDEX(입력!$Q$2:$Q$500, MATCH($BO51, 입력!$Z$2:$Z$500, 0)) &amp; "", "")</f>
        <v/>
      </c>
      <c r="AE51" s="64" t="str">
        <f>IFERROR(INDEX(입력!$R$2:$R$500, MATCH($BO51, 입력!$Z$2:$Z$500, 0)) &amp; "", "")</f>
        <v>여</v>
      </c>
      <c r="AF51" s="64" t="str">
        <f>IFERROR(INDEX(입력!$S$2:$S$500, MATCH($BO51, 입력!$Z$2:$Z$500, 0)) &amp; "", "")</f>
        <v>여</v>
      </c>
      <c r="AG51" s="64" t="str">
        <f>IFERROR(INDEX(입력!$T$2:$T$500, MATCH($BO51, 입력!$Z$2:$Z$500, 0)) &amp; "", "")</f>
        <v/>
      </c>
      <c r="AH51" s="64" t="str">
        <f>IFERROR(INDEX(입력!$U$2:$U$500, MATCH($BO51, 입력!$Z$2:$Z$500, 0)) &amp; "", "")</f>
        <v/>
      </c>
      <c r="AI51" s="64" t="str">
        <f>IFERROR(INDEX(입력!$V$2:$V$500, MATCH($BO51, 입력!$Z$2:$Z$500, 0)) &amp; "", "")</f>
        <v>여</v>
      </c>
      <c r="AJ51" s="44" t="str">
        <f>IFERROR(INDEX(입력!$W$2:$W$500, MATCH($BO51, 입력!$Z$2:$Z$500, 0)) &amp; "", "")</f>
        <v>김성관</v>
      </c>
      <c r="AK51" s="44" t="str">
        <f>IFERROR(INDEX(입력!$X$2:$X$500, MATCH($BO51, 입력!$Z$2:$Z$500, 0)) &amp; "", "")</f>
        <v>010-4795-3824</v>
      </c>
      <c r="AL51" s="2" t="s">
        <v>1257</v>
      </c>
      <c r="AM51" s="17" t="s">
        <v>1179</v>
      </c>
      <c r="AN51" s="83"/>
      <c r="AO51" s="17" t="s">
        <v>1059</v>
      </c>
      <c r="AP51" s="2" t="s">
        <v>3206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3137</v>
      </c>
      <c r="AZ51" s="71" t="str">
        <f>IFERROR(IF(INDEX(입력!$C$2:$C$500, MATCH($BO51, 입력!$Z$2:$Z$500, 0))="", "", TEXT(INDEX(입력!$C$2:$C$500, MATCH($BO51, 입력!$Z$2:$Z$500, 0)), "yyyy-mm-dd")), "")</f>
        <v>2026-05-04</v>
      </c>
      <c r="BA51" s="44" t="str">
        <f>IFERROR(INDEX(입력!$B$2:$B$500, MATCH($BO51, 입력!$Z$2:$Z$500, 0)) &amp; "", "")</f>
        <v>이승수</v>
      </c>
      <c r="BB51" s="83" t="str">
        <f>IFERROR(INDEX(입력!$Y$2:$Y$500, MATCH($BO51, 입력!$Z$2:$Z$500, 0)) &amp; "", "")</f>
        <v/>
      </c>
      <c r="BC51" s="83" t="s">
        <v>3112</v>
      </c>
      <c r="BD51" s="83"/>
      <c r="BE51" s="101"/>
      <c r="BF51" s="101"/>
      <c r="BG51" s="101"/>
      <c r="BH51" s="101"/>
      <c r="BI51" s="101"/>
      <c r="BJ51" s="101"/>
      <c r="BK51" s="110"/>
      <c r="BL51" s="21"/>
      <c r="BM51" s="22"/>
      <c r="BN51" s="23"/>
      <c r="BO51" s="47" t="s">
        <v>224</v>
      </c>
    </row>
    <row r="52" spans="1:67" x14ac:dyDescent="0.45">
      <c r="A52" s="46">
        <v>51</v>
      </c>
      <c r="B52" s="1" t="s">
        <v>1175</v>
      </c>
      <c r="C52" s="17" t="str">
        <f t="shared" si="6"/>
        <v>미이행</v>
      </c>
      <c r="D52" s="17" t="str">
        <f t="shared" si="0"/>
        <v>조사완료</v>
      </c>
      <c r="E52" s="3" t="s">
        <v>1258</v>
      </c>
      <c r="F52" s="3" t="s">
        <v>225</v>
      </c>
      <c r="G52" s="3" t="s">
        <v>1259</v>
      </c>
      <c r="H52" s="18" t="s">
        <v>1172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MATCH($BO52, 입력!$Z$2:$Z$500, 0)) &amp; "", "")</f>
        <v/>
      </c>
      <c r="S52" s="64" t="str">
        <f>IFERROR(INDEX(입력!$K$2:$K$500, MATCH($BO52,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 t="str">
        <f t="shared" si="3"/>
        <v/>
      </c>
      <c r="X52" s="1">
        <v>0</v>
      </c>
      <c r="Y52" s="64" t="str">
        <f>IFERROR(INDEX(입력!$M$2:$M$500, MATCH($BO52, 입력!$Z$2:$Z$500, 0)) &amp; "", "")</f>
        <v/>
      </c>
      <c r="Z52" s="64" t="str">
        <f>IFERROR(INDEX(입력!$N$2:$N$500, MATCH($BO52, 입력!$Z$2:$Z$500, 0)) &amp; "", "")</f>
        <v/>
      </c>
      <c r="AA52" s="64">
        <f>MAX(0, 표1[[#This Row],[의무_시설]]-표1[[#This Row],[시설합]])</f>
        <v>3</v>
      </c>
      <c r="AB52" s="17" t="str">
        <f t="shared" si="7"/>
        <v>미이행</v>
      </c>
      <c r="AC52" s="64" t="str">
        <f>IFERROR(INDEX(입력!$P$2:$P$500, MATCH($BO52, 입력!$Z$2:$Z$500, 0)) &amp; "", "")</f>
        <v/>
      </c>
      <c r="AD52" s="64" t="str">
        <f>IFERROR(INDEX(입력!$Q$2:$Q$500, MATCH($BO52, 입력!$Z$2:$Z$500, 0)) &amp; "", "")</f>
        <v/>
      </c>
      <c r="AE52" s="64" t="str">
        <f>IFERROR(INDEX(입력!$R$2:$R$500, MATCH($BO52, 입력!$Z$2:$Z$500, 0)) &amp; "", "")</f>
        <v/>
      </c>
      <c r="AF52" s="64" t="str">
        <f>IFERROR(INDEX(입력!$S$2:$S$500, MATCH($BO52, 입력!$Z$2:$Z$500, 0)) &amp; "", "")</f>
        <v/>
      </c>
      <c r="AG52" s="64" t="str">
        <f>IFERROR(INDEX(입력!$T$2:$T$500, MATCH($BO52, 입력!$Z$2:$Z$500, 0)) &amp; "", "")</f>
        <v/>
      </c>
      <c r="AH52" s="64" t="str">
        <f>IFERROR(INDEX(입력!$U$2:$U$500, MATCH($BO52, 입력!$Z$2:$Z$500, 0)) &amp; "", "")</f>
        <v/>
      </c>
      <c r="AI52" s="64" t="str">
        <f>IFERROR(INDEX(입력!$V$2:$V$500, MATCH($BO52, 입력!$Z$2:$Z$500, 0)) &amp; "", "")</f>
        <v>여</v>
      </c>
      <c r="AJ52" s="44" t="str">
        <f>IFERROR(INDEX(입력!$W$2:$W$500, MATCH($BO52, 입력!$Z$2:$Z$500, 0)) &amp; "", "")</f>
        <v>박대인</v>
      </c>
      <c r="AK52" s="44" t="str">
        <f>IFERROR(INDEX(입력!$X$2:$X$500, MATCH($BO52, 입력!$Z$2:$Z$500, 0)) &amp; "", "")</f>
        <v>010-5812-8826</v>
      </c>
      <c r="AL52" s="2" t="s">
        <v>3789</v>
      </c>
      <c r="AM52" s="17" t="s">
        <v>3207</v>
      </c>
      <c r="AN52" s="113">
        <v>46114</v>
      </c>
      <c r="AO52" s="17" t="s">
        <v>1059</v>
      </c>
      <c r="AP52" s="101" t="s">
        <v>3208</v>
      </c>
      <c r="AQ52" s="108"/>
      <c r="AR52" s="22"/>
      <c r="AS52" s="101" t="s">
        <v>3163</v>
      </c>
      <c r="AT52" s="109">
        <v>46104</v>
      </c>
      <c r="AU52" s="101" t="s">
        <v>3141</v>
      </c>
      <c r="AV52" s="101" t="s">
        <v>3210</v>
      </c>
      <c r="AW52" s="101" t="s">
        <v>3211</v>
      </c>
      <c r="AX52" s="101" t="s">
        <v>3212</v>
      </c>
      <c r="AY52" s="83" t="s">
        <v>3131</v>
      </c>
      <c r="AZ52" s="71" t="str">
        <f>IFERROR(IF(INDEX(입력!$C$2:$C$500, MATCH($BO52, 입력!$Z$2:$Z$500, 0))="", "", TEXT(INDEX(입력!$C$2:$C$500, MATCH($BO52, 입력!$Z$2:$Z$500, 0)), "yyyy-mm-dd")), "")</f>
        <v>2026-04-20</v>
      </c>
      <c r="BA52" s="44" t="str">
        <f>IFERROR(INDEX(입력!$B$2:$B$500, MATCH($BO52, 입력!$Z$2:$Z$500, 0)) &amp; "", "")</f>
        <v>이승수</v>
      </c>
      <c r="BB52" s="83" t="str">
        <f>IFERROR(INDEX(입력!$Y$2:$Y$500, MATCH($BO52, 입력!$Z$2:$Z$500, 0)) &amp; "", "")</f>
        <v>의무설치 3면 계획중. 설치업체 협의중.</v>
      </c>
      <c r="BC52" s="83" t="s">
        <v>3213</v>
      </c>
      <c r="BD52" s="83"/>
      <c r="BE52" s="101"/>
      <c r="BF52" s="101"/>
      <c r="BG52" s="101"/>
      <c r="BH52" s="101"/>
      <c r="BI52" s="101"/>
      <c r="BJ52" s="101"/>
      <c r="BK52" s="110"/>
      <c r="BL52" s="21"/>
      <c r="BM52" s="22"/>
      <c r="BN52" s="23"/>
      <c r="BO52" s="47" t="s">
        <v>226</v>
      </c>
    </row>
    <row r="53" spans="1:67" x14ac:dyDescent="0.45">
      <c r="A53" s="19">
        <v>52</v>
      </c>
      <c r="B53" s="1" t="s">
        <v>1175</v>
      </c>
      <c r="C53" s="17" t="str">
        <f t="shared" si="6"/>
        <v>미이행</v>
      </c>
      <c r="D53" s="17" t="str">
        <f t="shared" si="0"/>
        <v>조사완료</v>
      </c>
      <c r="E53" s="3" t="s">
        <v>1260</v>
      </c>
      <c r="F53" s="3" t="s">
        <v>227</v>
      </c>
      <c r="G53" s="3" t="s">
        <v>1261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MATCH($BO53, 입력!$Z$2:$Z$500, 0)) &amp; "", "")</f>
        <v/>
      </c>
      <c r="S53" s="64" t="str">
        <f>IFERROR(INDEX(입력!$K$2:$K$500, MATCH($BO53,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3"/>
        <v>1</v>
      </c>
      <c r="X53" s="1">
        <v>3</v>
      </c>
      <c r="Y53" s="64" t="str">
        <f>IFERROR(INDEX(입력!$M$2:$M$500, MATCH($BO53, 입력!$Z$2:$Z$500, 0)) &amp; "", "")</f>
        <v/>
      </c>
      <c r="Z53" s="64" t="str">
        <f>IFERROR(INDEX(입력!$N$2:$N$500, MATCH($BO53, 입력!$Z$2:$Z$500, 0)) &amp; "", "")</f>
        <v>3</v>
      </c>
      <c r="AA53" s="64">
        <f>MAX(0, 표1[[#This Row],[의무_시설]]-표1[[#This Row],[시설합]])</f>
        <v>3</v>
      </c>
      <c r="AB53" s="17" t="str">
        <f t="shared" si="7"/>
        <v>미이행</v>
      </c>
      <c r="AC53" s="64" t="str">
        <f>IFERROR(INDEX(입력!$P$2:$P$500, MATCH($BO53, 입력!$Z$2:$Z$500, 0)) &amp; "", "")</f>
        <v/>
      </c>
      <c r="AD53" s="64" t="str">
        <f>IFERROR(INDEX(입력!$Q$2:$Q$500, MATCH($BO53, 입력!$Z$2:$Z$500, 0)) &amp; "", "")</f>
        <v/>
      </c>
      <c r="AE53" s="64" t="str">
        <f>IFERROR(INDEX(입력!$R$2:$R$500, MATCH($BO53, 입력!$Z$2:$Z$500, 0)) &amp; "", "")</f>
        <v>여</v>
      </c>
      <c r="AF53" s="64" t="str">
        <f>IFERROR(INDEX(입력!$S$2:$S$500, MATCH($BO53, 입력!$Z$2:$Z$500, 0)) &amp; "", "")</f>
        <v>여</v>
      </c>
      <c r="AG53" s="64" t="str">
        <f>IFERROR(INDEX(입력!$T$2:$T$500, MATCH($BO53, 입력!$Z$2:$Z$500, 0)) &amp; "", "")</f>
        <v/>
      </c>
      <c r="AH53" s="64" t="str">
        <f>IFERROR(INDEX(입력!$U$2:$U$500, MATCH($BO53, 입력!$Z$2:$Z$500, 0)) &amp; "", "")</f>
        <v/>
      </c>
      <c r="AI53" s="64" t="str">
        <f>IFERROR(INDEX(입력!$V$2:$V$500, MATCH($BO53, 입력!$Z$2:$Z$500, 0)) &amp; "", "")</f>
        <v>여</v>
      </c>
      <c r="AJ53" s="44" t="str">
        <f>IFERROR(INDEX(입력!$W$2:$W$500, MATCH($BO53, 입력!$Z$2:$Z$500, 0)) &amp; "", "")</f>
        <v>양만송</v>
      </c>
      <c r="AK53" s="44" t="str">
        <f>IFERROR(INDEX(입력!$X$2:$X$500, MATCH($BO53, 입력!$Z$2:$Z$500, 0)) &amp; "", "")</f>
        <v>010-5664-7204</v>
      </c>
      <c r="AL53" s="2" t="s">
        <v>1262</v>
      </c>
      <c r="AM53" s="17" t="s">
        <v>1060</v>
      </c>
      <c r="AN53" s="113">
        <v>46045</v>
      </c>
      <c r="AO53" s="17" t="s">
        <v>1089</v>
      </c>
      <c r="AP53" s="101" t="s">
        <v>1263</v>
      </c>
      <c r="AQ53" s="108"/>
      <c r="AR53" s="22"/>
      <c r="AS53" s="114" t="s">
        <v>3163</v>
      </c>
      <c r="AT53" s="109">
        <v>46104</v>
      </c>
      <c r="AU53" s="101" t="s">
        <v>3126</v>
      </c>
      <c r="AV53" s="114" t="s">
        <v>3189</v>
      </c>
      <c r="AW53" s="101"/>
      <c r="AX53" s="101"/>
      <c r="AY53" s="83" t="s">
        <v>3131</v>
      </c>
      <c r="AZ53" s="71" t="str">
        <f>IFERROR(IF(INDEX(입력!$C$2:$C$500, MATCH($BO53, 입력!$Z$2:$Z$500, 0))="", "", TEXT(INDEX(입력!$C$2:$C$500, MATCH($BO53, 입력!$Z$2:$Z$500, 0)), "yyyy-mm-dd")), "")</f>
        <v>2026-04-23</v>
      </c>
      <c r="BA53" s="44" t="str">
        <f>IFERROR(INDEX(입력!$B$2:$B$500, MATCH($BO53, 입력!$Z$2:$Z$500, 0)) &amp; "", "")</f>
        <v>노기섭</v>
      </c>
      <c r="BB53" s="83" t="str">
        <f>IFERROR(INDEX(입력!$Y$2:$Y$500, MATCH($BO53, 입력!$Z$2:$Z$500, 0)) &amp; "", "")</f>
        <v>업체 협의중. '26.12월 안으로 설치예정</v>
      </c>
      <c r="BC53" s="83" t="s">
        <v>3159</v>
      </c>
      <c r="BD53" s="83"/>
      <c r="BE53" s="101" t="s">
        <v>1060</v>
      </c>
      <c r="BF53" s="109">
        <v>46168</v>
      </c>
      <c r="BG53" s="101" t="s">
        <v>1059</v>
      </c>
      <c r="BH53" s="101" t="s">
        <v>3955</v>
      </c>
      <c r="BI53" s="101" t="s">
        <v>3957</v>
      </c>
      <c r="BJ53" s="101"/>
      <c r="BK53" s="110"/>
      <c r="BL53" s="21"/>
      <c r="BM53" s="22"/>
      <c r="BN53" s="23"/>
      <c r="BO53" s="47" t="s">
        <v>228</v>
      </c>
    </row>
    <row r="54" spans="1:67" x14ac:dyDescent="0.45">
      <c r="A54" s="46">
        <v>53</v>
      </c>
      <c r="B54" s="1" t="s">
        <v>1175</v>
      </c>
      <c r="C54" s="17" t="str">
        <f t="shared" si="6"/>
        <v>이행완료</v>
      </c>
      <c r="D54" s="17" t="str">
        <f t="shared" si="0"/>
        <v>조사완료</v>
      </c>
      <c r="E54" s="141" t="s">
        <v>1264</v>
      </c>
      <c r="F54" s="3" t="s">
        <v>229</v>
      </c>
      <c r="G54" s="3" t="s">
        <v>1265</v>
      </c>
      <c r="H54" s="18" t="s">
        <v>1266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MATCH($BO54, 입력!$Z$2:$Z$500, 0)) &amp; "", "")</f>
        <v/>
      </c>
      <c r="S54" s="64" t="str">
        <f>IFERROR(INDEX(입력!$K$2:$K$500, MATCH($BO54,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3"/>
        <v>1</v>
      </c>
      <c r="X54" s="1">
        <v>9</v>
      </c>
      <c r="Y54" s="64" t="str">
        <f>IFERROR(INDEX(입력!$M$2:$M$500, MATCH($BO54, 입력!$Z$2:$Z$500, 0)) &amp; "", "")</f>
        <v/>
      </c>
      <c r="Z54" s="64" t="str">
        <f>IFERROR(INDEX(입력!$N$2:$N$500, MATCH($BO54, 입력!$Z$2:$Z$500, 0)) &amp; "", "")</f>
        <v>9</v>
      </c>
      <c r="AA54" s="64">
        <f>MAX(0, 표1[[#This Row],[의무_시설]]-표1[[#This Row],[시설합]])</f>
        <v>0</v>
      </c>
      <c r="AB54" s="17" t="str">
        <f t="shared" si="7"/>
        <v>이행완료</v>
      </c>
      <c r="AC54" s="64" t="str">
        <f>IFERROR(INDEX(입력!$P$2:$P$500, MATCH($BO54, 입력!$Z$2:$Z$500, 0)) &amp; "", "")</f>
        <v/>
      </c>
      <c r="AD54" s="64" t="str">
        <f>IFERROR(INDEX(입력!$Q$2:$Q$500, MATCH($BO54, 입력!$Z$2:$Z$500, 0)) &amp; "", "")</f>
        <v/>
      </c>
      <c r="AE54" s="64" t="str">
        <f>IFERROR(INDEX(입력!$R$2:$R$500, MATCH($BO54, 입력!$Z$2:$Z$500, 0)) &amp; "", "")</f>
        <v>여</v>
      </c>
      <c r="AF54" s="64" t="str">
        <f>IFERROR(INDEX(입력!$S$2:$S$500, MATCH($BO54, 입력!$Z$2:$Z$500, 0)) &amp; "", "")</f>
        <v>여</v>
      </c>
      <c r="AG54" s="64" t="str">
        <f>IFERROR(INDEX(입력!$T$2:$T$500, MATCH($BO54, 입력!$Z$2:$Z$500, 0)) &amp; "", "")</f>
        <v/>
      </c>
      <c r="AH54" s="64" t="str">
        <f>IFERROR(INDEX(입력!$U$2:$U$500, MATCH($BO54, 입력!$Z$2:$Z$500, 0)) &amp; "", "")</f>
        <v/>
      </c>
      <c r="AI54" s="64" t="str">
        <f>IFERROR(INDEX(입력!$V$2:$V$500, MATCH($BO54, 입력!$Z$2:$Z$500, 0)) &amp; "", "")</f>
        <v>여</v>
      </c>
      <c r="AJ54" s="44" t="str">
        <f>IFERROR(INDEX(입력!$W$2:$W$500, MATCH($BO54, 입력!$Z$2:$Z$500, 0)) &amp; "", "")</f>
        <v>장병양</v>
      </c>
      <c r="AK54" s="44" t="str">
        <f>IFERROR(INDEX(입력!$X$2:$X$500, MATCH($BO54, 입력!$Z$2:$Z$500, 0)) &amp; "", "")</f>
        <v>010-6340-2929</v>
      </c>
      <c r="AL54" s="2" t="s">
        <v>1267</v>
      </c>
      <c r="AM54" s="17" t="s">
        <v>1251</v>
      </c>
      <c r="AN54" s="83"/>
      <c r="AO54" s="17" t="s">
        <v>1059</v>
      </c>
      <c r="AP54" s="2" t="s">
        <v>1268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3137</v>
      </c>
      <c r="AZ54" s="71" t="str">
        <f>IFERROR(IF(INDEX(입력!$C$2:$C$500, MATCH($BO54, 입력!$Z$2:$Z$500, 0))="", "", TEXT(INDEX(입력!$C$2:$C$500, MATCH($BO54, 입력!$Z$2:$Z$500, 0)), "yyyy-mm-dd")), "")</f>
        <v>2026-05-07</v>
      </c>
      <c r="BA54" s="44" t="str">
        <f>IFERROR(INDEX(입력!$B$2:$B$500, MATCH($BO54, 입력!$Z$2:$Z$500, 0)) &amp; "", "")</f>
        <v>정은진</v>
      </c>
      <c r="BB54" s="83" t="str">
        <f>IFERROR(INDEX(입력!$Y$2:$Y$500, MATCH($BO54, 입력!$Z$2:$Z$500, 0)) &amp; "", "")</f>
        <v/>
      </c>
      <c r="BC54" s="83" t="s">
        <v>3112</v>
      </c>
      <c r="BD54" s="83"/>
      <c r="BE54" s="101"/>
      <c r="BF54" s="101"/>
      <c r="BG54" s="101"/>
      <c r="BH54" s="101"/>
      <c r="BI54" s="101"/>
      <c r="BJ54" s="101"/>
      <c r="BK54" s="110"/>
      <c r="BL54" s="21"/>
      <c r="BM54" s="22"/>
      <c r="BN54" s="23"/>
      <c r="BO54" s="47" t="s">
        <v>230</v>
      </c>
    </row>
    <row r="55" spans="1:67" x14ac:dyDescent="0.45">
      <c r="A55" s="19">
        <v>54</v>
      </c>
      <c r="B55" s="1" t="s">
        <v>1175</v>
      </c>
      <c r="C55" s="17" t="str">
        <f t="shared" si="6"/>
        <v>이행완료</v>
      </c>
      <c r="D55" s="17" t="str">
        <f t="shared" si="0"/>
        <v>조사완료</v>
      </c>
      <c r="E55" s="3" t="s">
        <v>1269</v>
      </c>
      <c r="F55" s="3" t="s">
        <v>231</v>
      </c>
      <c r="G55" s="3" t="s">
        <v>1270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MATCH($BO55, 입력!$Z$2:$Z$500, 0)) &amp; "", "")</f>
        <v/>
      </c>
      <c r="S55" s="64" t="str">
        <f>IFERROR(INDEX(입력!$K$2:$K$500, MATCH($BO55,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 t="str">
        <f t="shared" si="3"/>
        <v/>
      </c>
      <c r="X55" s="1">
        <v>3</v>
      </c>
      <c r="Y55" s="64" t="str">
        <f>IFERROR(INDEX(입력!$M$2:$M$500, MATCH($BO55, 입력!$Z$2:$Z$500, 0)) &amp; "", "")</f>
        <v/>
      </c>
      <c r="Z55" s="64" t="str">
        <f>IFERROR(INDEX(입력!$N$2:$N$500, MATCH($BO55, 입력!$Z$2:$Z$500, 0)) &amp; "", "")</f>
        <v>3</v>
      </c>
      <c r="AA55" s="64">
        <f>MAX(0, 표1[[#This Row],[의무_시설]]-표1[[#This Row],[시설합]])</f>
        <v>0</v>
      </c>
      <c r="AB55" s="17" t="str">
        <f t="shared" si="7"/>
        <v>이행완료</v>
      </c>
      <c r="AC55" s="64" t="str">
        <f>IFERROR(INDEX(입력!$P$2:$P$500, MATCH($BO55, 입력!$Z$2:$Z$500, 0)) &amp; "", "")</f>
        <v/>
      </c>
      <c r="AD55" s="64" t="str">
        <f>IFERROR(INDEX(입력!$Q$2:$Q$500, MATCH($BO55, 입력!$Z$2:$Z$500, 0)) &amp; "", "")</f>
        <v/>
      </c>
      <c r="AE55" s="64" t="str">
        <f>IFERROR(INDEX(입력!$R$2:$R$500, MATCH($BO55, 입력!$Z$2:$Z$500, 0)) &amp; "", "")</f>
        <v/>
      </c>
      <c r="AF55" s="64" t="str">
        <f>IFERROR(INDEX(입력!$S$2:$S$500, MATCH($BO55, 입력!$Z$2:$Z$500, 0)) &amp; "", "")</f>
        <v/>
      </c>
      <c r="AG55" s="64" t="str">
        <f>IFERROR(INDEX(입력!$T$2:$T$500, MATCH($BO55, 입력!$Z$2:$Z$500, 0)) &amp; "", "")</f>
        <v/>
      </c>
      <c r="AH55" s="64" t="str">
        <f>IFERROR(INDEX(입력!$U$2:$U$500, MATCH($BO55, 입력!$Z$2:$Z$500, 0)) &amp; "", "")</f>
        <v/>
      </c>
      <c r="AI55" s="64" t="str">
        <f>IFERROR(INDEX(입력!$V$2:$V$500, MATCH($BO55, 입력!$Z$2:$Z$500, 0)) &amp; "", "")</f>
        <v>여</v>
      </c>
      <c r="AJ55" s="44" t="str">
        <f>IFERROR(INDEX(입력!$W$2:$W$500, MATCH($BO55, 입력!$Z$2:$Z$500, 0)) &amp; "", "")</f>
        <v>김용민</v>
      </c>
      <c r="AK55" s="44" t="str">
        <f>IFERROR(INDEX(입력!$X$2:$X$500, MATCH($BO55, 입력!$Z$2:$Z$500, 0)) &amp; "", "")</f>
        <v>950-9500</v>
      </c>
      <c r="AL55" s="2" t="s">
        <v>1271</v>
      </c>
      <c r="AM55" s="17" t="s">
        <v>1145</v>
      </c>
      <c r="AN55" s="83"/>
      <c r="AO55" s="17" t="s">
        <v>1089</v>
      </c>
      <c r="AP55" s="2" t="s">
        <v>3214</v>
      </c>
      <c r="AQ55" s="21"/>
      <c r="AR55" s="22" t="s">
        <v>3215</v>
      </c>
      <c r="AS55" s="101"/>
      <c r="AT55" s="101"/>
      <c r="AU55" s="101"/>
      <c r="AV55" s="101"/>
      <c r="AW55" s="101"/>
      <c r="AX55" s="101"/>
      <c r="AY55" s="83" t="s">
        <v>3137</v>
      </c>
      <c r="AZ55" s="71" t="str">
        <f>IFERROR(IF(INDEX(입력!$C$2:$C$500, MATCH($BO55, 입력!$Z$2:$Z$500, 0))="", "", TEXT(INDEX(입력!$C$2:$C$500, MATCH($BO55, 입력!$Z$2:$Z$500, 0)), "yyyy-mm-dd")), "")</f>
        <v>2026-04-21</v>
      </c>
      <c r="BA55" s="44" t="str">
        <f>IFERROR(INDEX(입력!$B$2:$B$500, MATCH($BO55, 입력!$Z$2:$Z$500, 0)) &amp; "", "")</f>
        <v>노기섭</v>
      </c>
      <c r="BB55" s="83" t="str">
        <f>IFERROR(INDEX(입력!$Y$2:$Y$500, MATCH($BO55, 입력!$Z$2:$Z$500, 0)) &amp; "", "")</f>
        <v/>
      </c>
      <c r="BC55" s="83" t="s">
        <v>3112</v>
      </c>
      <c r="BD55" s="83"/>
      <c r="BE55" s="101"/>
      <c r="BF55" s="101"/>
      <c r="BG55" s="101"/>
      <c r="BH55" s="101"/>
      <c r="BI55" s="101"/>
      <c r="BJ55" s="101"/>
      <c r="BK55" s="110"/>
      <c r="BL55" s="21"/>
      <c r="BM55" s="22"/>
      <c r="BN55" s="23"/>
      <c r="BO55" s="47" t="s">
        <v>232</v>
      </c>
    </row>
    <row r="56" spans="1:67" x14ac:dyDescent="0.45">
      <c r="A56" s="46">
        <v>55</v>
      </c>
      <c r="B56" s="1" t="s">
        <v>1175</v>
      </c>
      <c r="C56" s="17" t="str">
        <f t="shared" si="6"/>
        <v>이행완료</v>
      </c>
      <c r="D56" s="17" t="str">
        <f t="shared" si="0"/>
        <v>조사완료</v>
      </c>
      <c r="E56" s="3" t="s">
        <v>1272</v>
      </c>
      <c r="F56" s="3" t="s">
        <v>233</v>
      </c>
      <c r="G56" s="3" t="s">
        <v>1273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MATCH($BO56, 입력!$Z$2:$Z$500, 0)) &amp; "", "")</f>
        <v>2</v>
      </c>
      <c r="S56" s="64" t="str">
        <f>IFERROR(INDEX(입력!$K$2:$K$500, MATCH($BO56,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 t="str">
        <f t="shared" si="3"/>
        <v/>
      </c>
      <c r="X56" s="1">
        <v>2</v>
      </c>
      <c r="Y56" s="64" t="str">
        <f>IFERROR(INDEX(입력!$M$2:$M$500, MATCH($BO56, 입력!$Z$2:$Z$500, 0)) &amp; "", "")</f>
        <v/>
      </c>
      <c r="Z56" s="64" t="str">
        <f>IFERROR(INDEX(입력!$N$2:$N$500, MATCH($BO56, 입력!$Z$2:$Z$500, 0)) &amp; "", "")</f>
        <v>2</v>
      </c>
      <c r="AA56" s="64">
        <f>MAX(0, 표1[[#This Row],[의무_시설]]-표1[[#This Row],[시설합]])</f>
        <v>0</v>
      </c>
      <c r="AB56" s="17" t="str">
        <f t="shared" si="7"/>
        <v>이행완료</v>
      </c>
      <c r="AC56" s="64" t="str">
        <f>IFERROR(INDEX(입력!$P$2:$P$500, MATCH($BO56, 입력!$Z$2:$Z$500, 0)) &amp; "", "")</f>
        <v/>
      </c>
      <c r="AD56" s="64" t="str">
        <f>IFERROR(INDEX(입력!$Q$2:$Q$500, MATCH($BO56, 입력!$Z$2:$Z$500, 0)) &amp; "", "")</f>
        <v/>
      </c>
      <c r="AE56" s="64" t="str">
        <f>IFERROR(INDEX(입력!$R$2:$R$500, MATCH($BO56, 입력!$Z$2:$Z$500, 0)) &amp; "", "")</f>
        <v>여</v>
      </c>
      <c r="AF56" s="64" t="str">
        <f>IFERROR(INDEX(입력!$S$2:$S$500, MATCH($BO56, 입력!$Z$2:$Z$500, 0)) &amp; "", "")</f>
        <v>여</v>
      </c>
      <c r="AG56" s="64" t="str">
        <f>IFERROR(INDEX(입력!$T$2:$T$500, MATCH($BO56, 입력!$Z$2:$Z$500, 0)) &amp; "", "")</f>
        <v/>
      </c>
      <c r="AH56" s="64" t="str">
        <f>IFERROR(INDEX(입력!$U$2:$U$500, MATCH($BO56, 입력!$Z$2:$Z$500, 0)) &amp; "", "")</f>
        <v/>
      </c>
      <c r="AI56" s="64" t="str">
        <f>IFERROR(INDEX(입력!$V$2:$V$500, MATCH($BO56, 입력!$Z$2:$Z$500, 0)) &amp; "", "")</f>
        <v>여</v>
      </c>
      <c r="AJ56" s="44" t="str">
        <f>IFERROR(INDEX(입력!$W$2:$W$500, MATCH($BO56, 입력!$Z$2:$Z$500, 0)) &amp; "", "")</f>
        <v>홍보경</v>
      </c>
      <c r="AK56" s="44" t="str">
        <f>IFERROR(INDEX(입력!$X$2:$X$500, MATCH($BO56, 입력!$Z$2:$Z$500, 0)) &amp; "", "")</f>
        <v>010-2372-1110</v>
      </c>
      <c r="AL56" s="2"/>
      <c r="AM56" s="17" t="s">
        <v>1179</v>
      </c>
      <c r="AN56" s="83"/>
      <c r="AO56" s="17" t="s">
        <v>1089</v>
      </c>
      <c r="AP56" s="2" t="s">
        <v>3216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3131</v>
      </c>
      <c r="AZ56" s="71" t="str">
        <f>IFERROR(IF(INDEX(입력!$C$2:$C$500, MATCH($BO56, 입력!$Z$2:$Z$500, 0))="", "", TEXT(INDEX(입력!$C$2:$C$500, MATCH($BO56, 입력!$Z$2:$Z$500, 0)), "yyyy-mm-dd")), "")</f>
        <v>2026-05-06</v>
      </c>
      <c r="BA56" s="44" t="str">
        <f>IFERROR(INDEX(입력!$B$2:$B$500, MATCH($BO56, 입력!$Z$2:$Z$500, 0)) &amp; "", "")</f>
        <v>노기섭</v>
      </c>
      <c r="BB56" s="83" t="str">
        <f>IFERROR(INDEX(입력!$Y$2:$Y$500, MATCH($BO56, 입력!$Z$2:$Z$500, 0)) &amp; "", "")</f>
        <v/>
      </c>
      <c r="BC56" s="83" t="s">
        <v>3112</v>
      </c>
      <c r="BD56" s="83"/>
      <c r="BE56" s="101"/>
      <c r="BF56" s="101"/>
      <c r="BG56" s="101"/>
      <c r="BH56" s="101"/>
      <c r="BI56" s="101"/>
      <c r="BJ56" s="101"/>
      <c r="BK56" s="110"/>
      <c r="BL56" s="21"/>
      <c r="BM56" s="22"/>
      <c r="BN56" s="23"/>
      <c r="BO56" s="47" t="s">
        <v>234</v>
      </c>
    </row>
    <row r="57" spans="1:67" x14ac:dyDescent="0.45">
      <c r="A57" s="19">
        <v>56</v>
      </c>
      <c r="B57" s="1" t="s">
        <v>1175</v>
      </c>
      <c r="C57" s="17" t="str">
        <f t="shared" si="6"/>
        <v>이행완료</v>
      </c>
      <c r="D57" s="17" t="str">
        <f t="shared" si="0"/>
        <v>조사완료</v>
      </c>
      <c r="E57" s="3" t="s">
        <v>1274</v>
      </c>
      <c r="F57" s="3" t="s">
        <v>235</v>
      </c>
      <c r="G57" s="3" t="s">
        <v>1275</v>
      </c>
      <c r="H57" s="18" t="s">
        <v>1276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MATCH($BO57, 입력!$Z$2:$Z$500, 0)) &amp; "", "")</f>
        <v/>
      </c>
      <c r="S57" s="64" t="str">
        <f>IFERROR(INDEX(입력!$K$2:$K$500, MATCH($BO57,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 t="str">
        <f t="shared" si="3"/>
        <v/>
      </c>
      <c r="X57" s="1">
        <v>2</v>
      </c>
      <c r="Y57" s="64" t="str">
        <f>IFERROR(INDEX(입력!$M$2:$M$500, MATCH($BO57, 입력!$Z$2:$Z$500, 0)) &amp; "", "")</f>
        <v/>
      </c>
      <c r="Z57" s="64" t="str">
        <f>IFERROR(INDEX(입력!$N$2:$N$500, MATCH($BO57, 입력!$Z$2:$Z$500, 0)) &amp; "", "")</f>
        <v>2</v>
      </c>
      <c r="AA57" s="64">
        <f>MAX(0, 표1[[#This Row],[의무_시설]]-표1[[#This Row],[시설합]])</f>
        <v>0</v>
      </c>
      <c r="AB57" s="17" t="str">
        <f t="shared" si="7"/>
        <v>이행완료</v>
      </c>
      <c r="AC57" s="64" t="str">
        <f>IFERROR(INDEX(입력!$P$2:$P$500, MATCH($BO57, 입력!$Z$2:$Z$500, 0)) &amp; "", "")</f>
        <v/>
      </c>
      <c r="AD57" s="64" t="str">
        <f>IFERROR(INDEX(입력!$Q$2:$Q$500, MATCH($BO57, 입력!$Z$2:$Z$500, 0)) &amp; "", "")</f>
        <v/>
      </c>
      <c r="AE57" s="64" t="str">
        <f>IFERROR(INDEX(입력!$R$2:$R$500, MATCH($BO57, 입력!$Z$2:$Z$500, 0)) &amp; "", "")</f>
        <v>여</v>
      </c>
      <c r="AF57" s="64" t="str">
        <f>IFERROR(INDEX(입력!$S$2:$S$500, MATCH($BO57, 입력!$Z$2:$Z$500, 0)) &amp; "", "")</f>
        <v>여</v>
      </c>
      <c r="AG57" s="64" t="str">
        <f>IFERROR(INDEX(입력!$T$2:$T$500, MATCH($BO57, 입력!$Z$2:$Z$500, 0)) &amp; "", "")</f>
        <v/>
      </c>
      <c r="AH57" s="64" t="str">
        <f>IFERROR(INDEX(입력!$U$2:$U$500, MATCH($BO57, 입력!$Z$2:$Z$500, 0)) &amp; "", "")</f>
        <v/>
      </c>
      <c r="AI57" s="64" t="str">
        <f>IFERROR(INDEX(입력!$V$2:$V$500, MATCH($BO57, 입력!$Z$2:$Z$500, 0)) &amp; "", "")</f>
        <v>여</v>
      </c>
      <c r="AJ57" s="44" t="str">
        <f>IFERROR(INDEX(입력!$W$2:$W$500, MATCH($BO57, 입력!$Z$2:$Z$500, 0)) &amp; "", "")</f>
        <v>신동석</v>
      </c>
      <c r="AK57" s="44" t="str">
        <f>IFERROR(INDEX(입력!$X$2:$X$500, MATCH($BO57, 입력!$Z$2:$Z$500, 0)) &amp; "", "")</f>
        <v>010-5493-5899</v>
      </c>
      <c r="AL57" s="2"/>
      <c r="AM57" s="17" t="s">
        <v>1251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3137</v>
      </c>
      <c r="AZ57" s="71" t="str">
        <f>IFERROR(IF(INDEX(입력!$C$2:$C$500, MATCH($BO57, 입력!$Z$2:$Z$500, 0))="", "", TEXT(INDEX(입력!$C$2:$C$500, MATCH($BO57, 입력!$Z$2:$Z$500, 0)), "yyyy-mm-dd")), "")</f>
        <v>2026-05-07</v>
      </c>
      <c r="BA57" s="44" t="str">
        <f>IFERROR(INDEX(입력!$B$2:$B$500, MATCH($BO57, 입력!$Z$2:$Z$500, 0)) &amp; "", "")</f>
        <v>노기섭</v>
      </c>
      <c r="BB57" s="83" t="str">
        <f>IFERROR(INDEX(입력!$Y$2:$Y$500, MATCH($BO57, 입력!$Z$2:$Z$500, 0)) &amp; "", "")</f>
        <v/>
      </c>
      <c r="BC57" s="83" t="s">
        <v>3112</v>
      </c>
      <c r="BD57" s="83"/>
      <c r="BE57" s="101"/>
      <c r="BF57" s="101"/>
      <c r="BG57" s="101"/>
      <c r="BH57" s="101"/>
      <c r="BI57" s="101"/>
      <c r="BJ57" s="101"/>
      <c r="BK57" s="110"/>
      <c r="BL57" s="21"/>
      <c r="BM57" s="22"/>
      <c r="BN57" s="23"/>
      <c r="BO57" s="47" t="s">
        <v>236</v>
      </c>
    </row>
    <row r="58" spans="1:67" x14ac:dyDescent="0.45">
      <c r="A58" s="46">
        <v>57</v>
      </c>
      <c r="B58" s="1" t="s">
        <v>1175</v>
      </c>
      <c r="C58" s="17" t="str">
        <f t="shared" si="6"/>
        <v>이행완료</v>
      </c>
      <c r="D58" s="17" t="str">
        <f t="shared" si="0"/>
        <v>조사완료</v>
      </c>
      <c r="E58" s="3" t="s">
        <v>1277</v>
      </c>
      <c r="F58" s="3" t="s">
        <v>237</v>
      </c>
      <c r="G58" s="3" t="s">
        <v>1278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MATCH($BO58, 입력!$Z$2:$Z$500, 0)) &amp; "", "")</f>
        <v/>
      </c>
      <c r="S58" s="64" t="str">
        <f>IFERROR(INDEX(입력!$K$2:$K$500, MATCH($BO58,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 t="str">
        <f t="shared" si="3"/>
        <v/>
      </c>
      <c r="X58" s="1">
        <v>5</v>
      </c>
      <c r="Y58" s="64" t="str">
        <f>IFERROR(INDEX(입력!$M$2:$M$500, MATCH($BO58, 입력!$Z$2:$Z$500, 0)) &amp; "", "")</f>
        <v/>
      </c>
      <c r="Z58" s="64" t="str">
        <f>IFERROR(INDEX(입력!$N$2:$N$500, MATCH($BO58, 입력!$Z$2:$Z$500, 0)) &amp; "", "")</f>
        <v>5</v>
      </c>
      <c r="AA58" s="64">
        <f>MAX(0, 표1[[#This Row],[의무_시설]]-표1[[#This Row],[시설합]])</f>
        <v>0</v>
      </c>
      <c r="AB58" s="17" t="str">
        <f t="shared" si="7"/>
        <v>이행완료</v>
      </c>
      <c r="AC58" s="64" t="str">
        <f>IFERROR(INDEX(입력!$P$2:$P$500, MATCH($BO58, 입력!$Z$2:$Z$500, 0)) &amp; "", "")</f>
        <v/>
      </c>
      <c r="AD58" s="64" t="str">
        <f>IFERROR(INDEX(입력!$Q$2:$Q$500, MATCH($BO58, 입력!$Z$2:$Z$500, 0)) &amp; "", "")</f>
        <v/>
      </c>
      <c r="AE58" s="64" t="str">
        <f>IFERROR(INDEX(입력!$R$2:$R$500, MATCH($BO58, 입력!$Z$2:$Z$500, 0)) &amp; "", "")</f>
        <v>여</v>
      </c>
      <c r="AF58" s="64" t="str">
        <f>IFERROR(INDEX(입력!$S$2:$S$500, MATCH($BO58, 입력!$Z$2:$Z$500, 0)) &amp; "", "")</f>
        <v>여</v>
      </c>
      <c r="AG58" s="64" t="str">
        <f>IFERROR(INDEX(입력!$T$2:$T$500, MATCH($BO58, 입력!$Z$2:$Z$500, 0)) &amp; "", "")</f>
        <v/>
      </c>
      <c r="AH58" s="64" t="str">
        <f>IFERROR(INDEX(입력!$U$2:$U$500, MATCH($BO58, 입력!$Z$2:$Z$500, 0)) &amp; "", "")</f>
        <v/>
      </c>
      <c r="AI58" s="64" t="str">
        <f>IFERROR(INDEX(입력!$V$2:$V$500, MATCH($BO58, 입력!$Z$2:$Z$500, 0)) &amp; "", "")</f>
        <v>여</v>
      </c>
      <c r="AJ58" s="44" t="str">
        <f>IFERROR(INDEX(입력!$W$2:$W$500, MATCH($BO58, 입력!$Z$2:$Z$500, 0)) &amp; "", "")</f>
        <v>김충현</v>
      </c>
      <c r="AK58" s="44" t="str">
        <f>IFERROR(INDEX(입력!$X$2:$X$500, MATCH($BO58, 입력!$Z$2:$Z$500, 0)) &amp; "", "")</f>
        <v>010-9440-9937</v>
      </c>
      <c r="AL58" s="2"/>
      <c r="AM58" s="17" t="s">
        <v>1251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3137</v>
      </c>
      <c r="AZ58" s="71" t="str">
        <f>IFERROR(IF(INDEX(입력!$C$2:$C$500, MATCH($BO58, 입력!$Z$2:$Z$500, 0))="", "", TEXT(INDEX(입력!$C$2:$C$500, MATCH($BO58, 입력!$Z$2:$Z$500, 0)), "yyyy-mm-dd")), "")</f>
        <v>2026-05-11</v>
      </c>
      <c r="BA58" s="44" t="str">
        <f>IFERROR(INDEX(입력!$B$2:$B$500, MATCH($BO58, 입력!$Z$2:$Z$500, 0)) &amp; "", "")</f>
        <v>노기섭</v>
      </c>
      <c r="BB58" s="83" t="str">
        <f>IFERROR(INDEX(입력!$Y$2:$Y$500, MATCH($BO58, 입력!$Z$2:$Z$500, 0)) &amp; "", "")</f>
        <v/>
      </c>
      <c r="BC58" s="83" t="s">
        <v>3112</v>
      </c>
      <c r="BD58" s="83"/>
      <c r="BE58" s="101"/>
      <c r="BF58" s="101"/>
      <c r="BG58" s="101"/>
      <c r="BH58" s="101"/>
      <c r="BI58" s="101"/>
      <c r="BJ58" s="101"/>
      <c r="BK58" s="110"/>
      <c r="BL58" s="21"/>
      <c r="BM58" s="22"/>
      <c r="BN58" s="23"/>
      <c r="BO58" s="47" t="s">
        <v>238</v>
      </c>
    </row>
    <row r="59" spans="1:67" x14ac:dyDescent="0.45">
      <c r="A59" s="19">
        <v>58</v>
      </c>
      <c r="B59" s="1" t="s">
        <v>1175</v>
      </c>
      <c r="C59" s="17" t="str">
        <f t="shared" si="6"/>
        <v>이행완료</v>
      </c>
      <c r="D59" s="17" t="str">
        <f t="shared" si="0"/>
        <v>조사완료</v>
      </c>
      <c r="E59" s="3" t="s">
        <v>1279</v>
      </c>
      <c r="F59" s="3" t="s">
        <v>239</v>
      </c>
      <c r="G59" s="3" t="s">
        <v>1280</v>
      </c>
      <c r="H59" s="18" t="s">
        <v>1152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MATCH($BO59, 입력!$Z$2:$Z$500, 0)) &amp; "", "")</f>
        <v>3</v>
      </c>
      <c r="S59" s="64" t="str">
        <f>IFERROR(INDEX(입력!$K$2:$K$500, MATCH($BO59,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 t="str">
        <f t="shared" si="3"/>
        <v/>
      </c>
      <c r="X59" s="1">
        <v>3</v>
      </c>
      <c r="Y59" s="64" t="str">
        <f>IFERROR(INDEX(입력!$M$2:$M$500, MATCH($BO59, 입력!$Z$2:$Z$500, 0)) &amp; "", "")</f>
        <v>1</v>
      </c>
      <c r="Z59" s="64" t="str">
        <f>IFERROR(INDEX(입력!$N$2:$N$500, MATCH($BO59, 입력!$Z$2:$Z$500, 0)) &amp; "", "")</f>
        <v>2</v>
      </c>
      <c r="AA59" s="64">
        <f>MAX(0, 표1[[#This Row],[의무_시설]]-표1[[#This Row],[시설합]])</f>
        <v>0</v>
      </c>
      <c r="AB59" s="17" t="str">
        <f t="shared" si="7"/>
        <v>이행완료</v>
      </c>
      <c r="AC59" s="64" t="str">
        <f>IFERROR(INDEX(입력!$P$2:$P$500, MATCH($BO59, 입력!$Z$2:$Z$500, 0)) &amp; "", "")</f>
        <v/>
      </c>
      <c r="AD59" s="64" t="str">
        <f>IFERROR(INDEX(입력!$Q$2:$Q$500, MATCH($BO59, 입력!$Z$2:$Z$500, 0)) &amp; "", "")</f>
        <v/>
      </c>
      <c r="AE59" s="64" t="str">
        <f>IFERROR(INDEX(입력!$R$2:$R$500, MATCH($BO59, 입력!$Z$2:$Z$500, 0)) &amp; "", "")</f>
        <v>여</v>
      </c>
      <c r="AF59" s="64" t="str">
        <f>IFERROR(INDEX(입력!$S$2:$S$500, MATCH($BO59, 입력!$Z$2:$Z$500, 0)) &amp; "", "")</f>
        <v>부</v>
      </c>
      <c r="AG59" s="64" t="str">
        <f>IFERROR(INDEX(입력!$T$2:$T$500, MATCH($BO59, 입력!$Z$2:$Z$500, 0)) &amp; "", "")</f>
        <v/>
      </c>
      <c r="AH59" s="64" t="str">
        <f>IFERROR(INDEX(입력!$U$2:$U$500, MATCH($BO59, 입력!$Z$2:$Z$500, 0)) &amp; "", "")</f>
        <v/>
      </c>
      <c r="AI59" s="64" t="str">
        <f>IFERROR(INDEX(입력!$V$2:$V$500, MATCH($BO59, 입력!$Z$2:$Z$500, 0)) &amp; "", "")</f>
        <v>여</v>
      </c>
      <c r="AJ59" s="44" t="str">
        <f>IFERROR(INDEX(입력!$W$2:$W$500, MATCH($BO59, 입력!$Z$2:$Z$500, 0)) &amp; "", "")</f>
        <v>정영호</v>
      </c>
      <c r="AK59" s="44" t="str">
        <f>IFERROR(INDEX(입력!$X$2:$X$500, MATCH($BO59, 입력!$Z$2:$Z$500, 0)) &amp; "", "")</f>
        <v>010-4608-3026</v>
      </c>
      <c r="AL59" s="2"/>
      <c r="AM59" s="17" t="s">
        <v>1179</v>
      </c>
      <c r="AN59" s="83"/>
      <c r="AO59" s="17" t="s">
        <v>1067</v>
      </c>
      <c r="AP59" s="2" t="s">
        <v>3217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3137</v>
      </c>
      <c r="AZ59" s="71" t="str">
        <f>IFERROR(IF(INDEX(입력!$C$2:$C$500, MATCH($BO59, 입력!$Z$2:$Z$500, 0))="", "", TEXT(INDEX(입력!$C$2:$C$500, MATCH($BO59, 입력!$Z$2:$Z$500, 0)), "yyyy-mm-dd")), "")</f>
        <v>2026-04-29</v>
      </c>
      <c r="BA59" s="44" t="str">
        <f>IFERROR(INDEX(입력!$B$2:$B$500, MATCH($BO59, 입력!$Z$2:$Z$500, 0)) &amp; "", "")</f>
        <v>정은진</v>
      </c>
      <c r="BB59" s="83" t="str">
        <f>IFERROR(INDEX(입력!$Y$2:$Y$500, MATCH($BO59, 입력!$Z$2:$Z$500, 0)) &amp; "", "")</f>
        <v/>
      </c>
      <c r="BC59" s="83" t="s">
        <v>3112</v>
      </c>
      <c r="BD59" s="83"/>
      <c r="BE59" s="101"/>
      <c r="BF59" s="101"/>
      <c r="BG59" s="101"/>
      <c r="BH59" s="101"/>
      <c r="BI59" s="101"/>
      <c r="BJ59" s="101"/>
      <c r="BK59" s="110"/>
      <c r="BL59" s="21"/>
      <c r="BM59" s="22"/>
      <c r="BN59" s="23"/>
      <c r="BO59" s="47" t="s">
        <v>240</v>
      </c>
    </row>
    <row r="60" spans="1:67" x14ac:dyDescent="0.45">
      <c r="A60" s="46">
        <v>59</v>
      </c>
      <c r="B60" s="1" t="s">
        <v>1175</v>
      </c>
      <c r="C60" s="17" t="str">
        <f t="shared" si="6"/>
        <v>이행완료</v>
      </c>
      <c r="D60" s="17" t="str">
        <f t="shared" si="0"/>
        <v>조사완료</v>
      </c>
      <c r="E60" s="3" t="s">
        <v>1281</v>
      </c>
      <c r="F60" s="3" t="s">
        <v>241</v>
      </c>
      <c r="G60" s="3" t="s">
        <v>1282</v>
      </c>
      <c r="H60" s="18" t="s">
        <v>1172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MATCH($BO60, 입력!$Z$2:$Z$500, 0)) &amp; "", "")</f>
        <v/>
      </c>
      <c r="S60" s="64" t="str">
        <f>IFERROR(INDEX(입력!$K$2:$K$500, MATCH($BO60,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 t="str">
        <f t="shared" si="3"/>
        <v/>
      </c>
      <c r="X60" s="1">
        <v>4</v>
      </c>
      <c r="Y60" s="64" t="str">
        <f>IFERROR(INDEX(입력!$M$2:$M$500, MATCH($BO60, 입력!$Z$2:$Z$500, 0)) &amp; "", "")</f>
        <v>1</v>
      </c>
      <c r="Z60" s="64" t="str">
        <f>IFERROR(INDEX(입력!$N$2:$N$500, MATCH($BO60, 입력!$Z$2:$Z$500, 0)) &amp; "", "")</f>
        <v>3</v>
      </c>
      <c r="AA60" s="64">
        <f>MAX(0, 표1[[#This Row],[의무_시설]]-표1[[#This Row],[시설합]])</f>
        <v>0</v>
      </c>
      <c r="AB60" s="17" t="str">
        <f t="shared" si="7"/>
        <v>이행완료</v>
      </c>
      <c r="AC60" s="64" t="str">
        <f>IFERROR(INDEX(입력!$P$2:$P$500, MATCH($BO60, 입력!$Z$2:$Z$500, 0)) &amp; "", "")</f>
        <v/>
      </c>
      <c r="AD60" s="64" t="str">
        <f>IFERROR(INDEX(입력!$Q$2:$Q$500, MATCH($BO60, 입력!$Z$2:$Z$500, 0)) &amp; "", "")</f>
        <v/>
      </c>
      <c r="AE60" s="64" t="str">
        <f>IFERROR(INDEX(입력!$R$2:$R$500, MATCH($BO60, 입력!$Z$2:$Z$500, 0)) &amp; "", "")</f>
        <v/>
      </c>
      <c r="AF60" s="64" t="str">
        <f>IFERROR(INDEX(입력!$S$2:$S$500, MATCH($BO60, 입력!$Z$2:$Z$500, 0)) &amp; "", "")</f>
        <v/>
      </c>
      <c r="AG60" s="64" t="str">
        <f>IFERROR(INDEX(입력!$T$2:$T$500, MATCH($BO60, 입력!$Z$2:$Z$500, 0)) &amp; "", "")</f>
        <v/>
      </c>
      <c r="AH60" s="64" t="str">
        <f>IFERROR(INDEX(입력!$U$2:$U$500, MATCH($BO60, 입력!$Z$2:$Z$500, 0)) &amp; "", "")</f>
        <v/>
      </c>
      <c r="AI60" s="64" t="str">
        <f>IFERROR(INDEX(입력!$V$2:$V$500, MATCH($BO60, 입력!$Z$2:$Z$500, 0)) &amp; "", "")</f>
        <v>여</v>
      </c>
      <c r="AJ60" s="44" t="str">
        <f>IFERROR(INDEX(입력!$W$2:$W$500, MATCH($BO60, 입력!$Z$2:$Z$500, 0)) &amp; "", "")</f>
        <v>노기록</v>
      </c>
      <c r="AK60" s="44" t="str">
        <f>IFERROR(INDEX(입력!$X$2:$X$500, MATCH($BO60, 입력!$Z$2:$Z$500, 0)) &amp; "", "")</f>
        <v>974-5570</v>
      </c>
      <c r="AL60" s="2"/>
      <c r="AM60" s="17" t="s">
        <v>1179</v>
      </c>
      <c r="AN60" s="83"/>
      <c r="AO60" s="17" t="s">
        <v>1059</v>
      </c>
      <c r="AP60" s="2" t="s">
        <v>1178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3137</v>
      </c>
      <c r="AZ60" s="71" t="str">
        <f>IFERROR(IF(INDEX(입력!$C$2:$C$500, MATCH($BO60, 입력!$Z$2:$Z$500, 0))="", "", TEXT(INDEX(입력!$C$2:$C$500, MATCH($BO60, 입력!$Z$2:$Z$500, 0)), "yyyy-mm-dd")), "")</f>
        <v>2026-05-04</v>
      </c>
      <c r="BA60" s="44" t="str">
        <f>IFERROR(INDEX(입력!$B$2:$B$500, MATCH($BO60, 입력!$Z$2:$Z$500, 0)) &amp; "", "")</f>
        <v>이승수</v>
      </c>
      <c r="BB60" s="83" t="str">
        <f>IFERROR(INDEX(입력!$Y$2:$Y$500, MATCH($BO60, 입력!$Z$2:$Z$500, 0)) &amp; "", "")</f>
        <v/>
      </c>
      <c r="BC60" s="83" t="s">
        <v>3112</v>
      </c>
      <c r="BD60" s="83"/>
      <c r="BE60" s="101"/>
      <c r="BF60" s="101"/>
      <c r="BG60" s="101"/>
      <c r="BH60" s="101"/>
      <c r="BI60" s="101"/>
      <c r="BJ60" s="101"/>
      <c r="BK60" s="110"/>
      <c r="BL60" s="21"/>
      <c r="BM60" s="22"/>
      <c r="BN60" s="23"/>
      <c r="BO60" s="47" t="s">
        <v>242</v>
      </c>
    </row>
    <row r="61" spans="1:67" x14ac:dyDescent="0.45">
      <c r="A61" s="19">
        <v>60</v>
      </c>
      <c r="B61" s="1" t="s">
        <v>1175</v>
      </c>
      <c r="C61" s="17" t="str">
        <f t="shared" si="6"/>
        <v>이행완료</v>
      </c>
      <c r="D61" s="17" t="str">
        <f t="shared" si="0"/>
        <v>조사완료</v>
      </c>
      <c r="E61" s="3" t="s">
        <v>1283</v>
      </c>
      <c r="F61" s="3" t="s">
        <v>243</v>
      </c>
      <c r="G61" s="3" t="s">
        <v>1284</v>
      </c>
      <c r="H61" s="18" t="s">
        <v>1133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MATCH($BO61, 입력!$Z$2:$Z$500, 0)) &amp; "", "")</f>
        <v/>
      </c>
      <c r="S61" s="64" t="str">
        <f>IFERROR(INDEX(입력!$K$2:$K$500, MATCH($BO61,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 t="str">
        <f t="shared" si="3"/>
        <v/>
      </c>
      <c r="X61" s="1">
        <v>3</v>
      </c>
      <c r="Y61" s="64" t="str">
        <f>IFERROR(INDEX(입력!$M$2:$M$500, MATCH($BO61, 입력!$Z$2:$Z$500, 0)) &amp; "", "")</f>
        <v>1</v>
      </c>
      <c r="Z61" s="64" t="str">
        <f>IFERROR(INDEX(입력!$N$2:$N$500, MATCH($BO61, 입력!$Z$2:$Z$500, 0)) &amp; "", "")</f>
        <v>2</v>
      </c>
      <c r="AA61" s="64">
        <f>MAX(0, 표1[[#This Row],[의무_시설]]-표1[[#This Row],[시설합]])</f>
        <v>0</v>
      </c>
      <c r="AB61" s="17" t="str">
        <f t="shared" si="7"/>
        <v>이행완료</v>
      </c>
      <c r="AC61" s="64" t="str">
        <f>IFERROR(INDEX(입력!$P$2:$P$500, MATCH($BO61, 입력!$Z$2:$Z$500, 0)) &amp; "", "")</f>
        <v/>
      </c>
      <c r="AD61" s="64" t="str">
        <f>IFERROR(INDEX(입력!$Q$2:$Q$500, MATCH($BO61, 입력!$Z$2:$Z$500, 0)) &amp; "", "")</f>
        <v/>
      </c>
      <c r="AE61" s="64" t="str">
        <f>IFERROR(INDEX(입력!$R$2:$R$500, MATCH($BO61, 입력!$Z$2:$Z$500, 0)) &amp; "", "")</f>
        <v>여</v>
      </c>
      <c r="AF61" s="64" t="str">
        <f>IFERROR(INDEX(입력!$S$2:$S$500, MATCH($BO61, 입력!$Z$2:$Z$500, 0)) &amp; "", "")</f>
        <v>여</v>
      </c>
      <c r="AG61" s="64" t="str">
        <f>IFERROR(INDEX(입력!$T$2:$T$500, MATCH($BO61, 입력!$Z$2:$Z$500, 0)) &amp; "", "")</f>
        <v/>
      </c>
      <c r="AH61" s="64" t="str">
        <f>IFERROR(INDEX(입력!$U$2:$U$500, MATCH($BO61, 입력!$Z$2:$Z$500, 0)) &amp; "", "")</f>
        <v/>
      </c>
      <c r="AI61" s="64" t="str">
        <f>IFERROR(INDEX(입력!$V$2:$V$500, MATCH($BO61, 입력!$Z$2:$Z$500, 0)) &amp; "", "")</f>
        <v>여</v>
      </c>
      <c r="AJ61" s="44" t="str">
        <f>IFERROR(INDEX(입력!$W$2:$W$500, MATCH($BO61, 입력!$Z$2:$Z$500, 0)) &amp; "", "")</f>
        <v>조병열</v>
      </c>
      <c r="AK61" s="44" t="str">
        <f>IFERROR(INDEX(입력!$X$2:$X$500, MATCH($BO61, 입력!$Z$2:$Z$500, 0)) &amp; "", "")</f>
        <v>010-5628-0500</v>
      </c>
      <c r="AL61" s="2" t="s">
        <v>1285</v>
      </c>
      <c r="AM61" s="17" t="s">
        <v>1060</v>
      </c>
      <c r="AN61" s="83"/>
      <c r="AO61" s="17" t="s">
        <v>1059</v>
      </c>
      <c r="AP61" s="2" t="s">
        <v>3219</v>
      </c>
      <c r="AQ61" s="21"/>
      <c r="AR61" s="22" t="s">
        <v>1286</v>
      </c>
      <c r="AS61" s="101"/>
      <c r="AT61" s="101"/>
      <c r="AU61" s="101"/>
      <c r="AV61" s="101"/>
      <c r="AW61" s="101"/>
      <c r="AX61" s="101"/>
      <c r="AY61" s="83" t="s">
        <v>3132</v>
      </c>
      <c r="AZ61" s="71" t="str">
        <f>IFERROR(IF(INDEX(입력!$C$2:$C$500, MATCH($BO61, 입력!$Z$2:$Z$500, 0))="", "", TEXT(INDEX(입력!$C$2:$C$500, MATCH($BO61, 입력!$Z$2:$Z$500, 0)), "yyyy-mm-dd")), "")</f>
        <v>2026-05-07</v>
      </c>
      <c r="BA61" s="44" t="str">
        <f>IFERROR(INDEX(입력!$B$2:$B$500, MATCH($BO61, 입력!$Z$2:$Z$500, 0)) &amp; "", "")</f>
        <v>정은진</v>
      </c>
      <c r="BB61" s="83" t="str">
        <f>IFERROR(INDEX(입력!$Y$2:$Y$500, MATCH($BO61, 입력!$Z$2:$Z$500, 0)) &amp; "", "")</f>
        <v/>
      </c>
      <c r="BC61" s="83" t="s">
        <v>3112</v>
      </c>
      <c r="BD61" s="83"/>
      <c r="BE61" s="101"/>
      <c r="BF61" s="101"/>
      <c r="BG61" s="101"/>
      <c r="BH61" s="101"/>
      <c r="BI61" s="101"/>
      <c r="BJ61" s="101"/>
      <c r="BK61" s="110"/>
      <c r="BL61" s="21"/>
      <c r="BM61" s="22"/>
      <c r="BN61" s="23"/>
      <c r="BO61" s="47" t="s">
        <v>244</v>
      </c>
    </row>
    <row r="62" spans="1:67" x14ac:dyDescent="0.45">
      <c r="A62" s="46">
        <v>61</v>
      </c>
      <c r="B62" s="1" t="s">
        <v>1175</v>
      </c>
      <c r="C62" s="17" t="str">
        <f t="shared" si="6"/>
        <v>이행완료</v>
      </c>
      <c r="D62" s="17" t="str">
        <f t="shared" si="0"/>
        <v>조사완료</v>
      </c>
      <c r="E62" s="3" t="s">
        <v>1287</v>
      </c>
      <c r="F62" s="3" t="s">
        <v>245</v>
      </c>
      <c r="G62" s="3" t="s">
        <v>1288</v>
      </c>
      <c r="H62" s="18" t="s">
        <v>1133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MATCH($BO62, 입력!$Z$2:$Z$500, 0)) &amp; "", "")</f>
        <v/>
      </c>
      <c r="S62" s="64" t="str">
        <f>IFERROR(INDEX(입력!$K$2:$K$500, MATCH($BO62,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 t="str">
        <f t="shared" si="3"/>
        <v/>
      </c>
      <c r="X62" s="1">
        <v>3</v>
      </c>
      <c r="Y62" s="64" t="str">
        <f>IFERROR(INDEX(입력!$M$2:$M$500, MATCH($BO62, 입력!$Z$2:$Z$500, 0)) &amp; "", "")</f>
        <v>1</v>
      </c>
      <c r="Z62" s="64" t="str">
        <f>IFERROR(INDEX(입력!$N$2:$N$500, MATCH($BO62, 입력!$Z$2:$Z$500, 0)) &amp; "", "")</f>
        <v>2</v>
      </c>
      <c r="AA62" s="64">
        <f>MAX(0, 표1[[#This Row],[의무_시설]]-표1[[#This Row],[시설합]])</f>
        <v>0</v>
      </c>
      <c r="AB62" s="17" t="str">
        <f t="shared" si="7"/>
        <v>이행완료</v>
      </c>
      <c r="AC62" s="64" t="str">
        <f>IFERROR(INDEX(입력!$P$2:$P$500, MATCH($BO62, 입력!$Z$2:$Z$500, 0)) &amp; "", "")</f>
        <v/>
      </c>
      <c r="AD62" s="64" t="str">
        <f>IFERROR(INDEX(입력!$Q$2:$Q$500, MATCH($BO62, 입력!$Z$2:$Z$500, 0)) &amp; "", "")</f>
        <v/>
      </c>
      <c r="AE62" s="64" t="str">
        <f>IFERROR(INDEX(입력!$R$2:$R$500, MATCH($BO62, 입력!$Z$2:$Z$500, 0)) &amp; "", "")</f>
        <v>여</v>
      </c>
      <c r="AF62" s="64" t="str">
        <f>IFERROR(INDEX(입력!$S$2:$S$500, MATCH($BO62, 입력!$Z$2:$Z$500, 0)) &amp; "", "")</f>
        <v>여</v>
      </c>
      <c r="AG62" s="64" t="str">
        <f>IFERROR(INDEX(입력!$T$2:$T$500, MATCH($BO62, 입력!$Z$2:$Z$500, 0)) &amp; "", "")</f>
        <v/>
      </c>
      <c r="AH62" s="64" t="str">
        <f>IFERROR(INDEX(입력!$U$2:$U$500, MATCH($BO62, 입력!$Z$2:$Z$500, 0)) &amp; "", "")</f>
        <v/>
      </c>
      <c r="AI62" s="64" t="str">
        <f>IFERROR(INDEX(입력!$V$2:$V$500, MATCH($BO62, 입력!$Z$2:$Z$500, 0)) &amp; "", "")</f>
        <v>여</v>
      </c>
      <c r="AJ62" s="44" t="str">
        <f>IFERROR(INDEX(입력!$W$2:$W$500, MATCH($BO62, 입력!$Z$2:$Z$500, 0)) &amp; "", "")</f>
        <v>한성남</v>
      </c>
      <c r="AK62" s="44" t="str">
        <f>IFERROR(INDEX(입력!$X$2:$X$500, MATCH($BO62, 입력!$Z$2:$Z$500, 0)) &amp; "", "")</f>
        <v>010-2420-5434</v>
      </c>
      <c r="AL62" s="2" t="s">
        <v>1289</v>
      </c>
      <c r="AM62" s="17" t="s">
        <v>1060</v>
      </c>
      <c r="AN62" s="83"/>
      <c r="AO62" s="17" t="s">
        <v>1059</v>
      </c>
      <c r="AP62" s="2" t="s">
        <v>3218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3137</v>
      </c>
      <c r="AZ62" s="71" t="str">
        <f>IFERROR(IF(INDEX(입력!$C$2:$C$500, MATCH($BO62, 입력!$Z$2:$Z$500, 0))="", "", TEXT(INDEX(입력!$C$2:$C$500, MATCH($BO62, 입력!$Z$2:$Z$500, 0)), "yyyy-mm-dd")), "")</f>
        <v>2026-05-07</v>
      </c>
      <c r="BA62" s="44" t="str">
        <f>IFERROR(INDEX(입력!$B$2:$B$500, MATCH($BO62, 입력!$Z$2:$Z$500, 0)) &amp; "", "")</f>
        <v>정은진</v>
      </c>
      <c r="BB62" s="83" t="str">
        <f>IFERROR(INDEX(입력!$Y$2:$Y$500, MATCH($BO62, 입력!$Z$2:$Z$500, 0)) &amp; "", "")</f>
        <v/>
      </c>
      <c r="BC62" s="83" t="s">
        <v>3112</v>
      </c>
      <c r="BD62" s="83"/>
      <c r="BE62" s="101"/>
      <c r="BF62" s="101"/>
      <c r="BG62" s="101"/>
      <c r="BH62" s="101"/>
      <c r="BI62" s="101"/>
      <c r="BJ62" s="101"/>
      <c r="BK62" s="110"/>
      <c r="BL62" s="21"/>
      <c r="BM62" s="22"/>
      <c r="BN62" s="23"/>
      <c r="BO62" s="47" t="s">
        <v>246</v>
      </c>
    </row>
    <row r="63" spans="1:67" x14ac:dyDescent="0.45">
      <c r="A63" s="19">
        <v>62</v>
      </c>
      <c r="B63" s="1" t="s">
        <v>1175</v>
      </c>
      <c r="C63" s="17" t="str">
        <f t="shared" si="6"/>
        <v>이행완료</v>
      </c>
      <c r="D63" s="17" t="str">
        <f t="shared" si="0"/>
        <v>조사완료</v>
      </c>
      <c r="E63" s="3" t="s">
        <v>1290</v>
      </c>
      <c r="F63" s="3" t="s">
        <v>247</v>
      </c>
      <c r="G63" s="3" t="s">
        <v>1291</v>
      </c>
      <c r="H63" s="18" t="s">
        <v>1172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MATCH($BO63, 입력!$Z$2:$Z$500, 0)) &amp; "", "")</f>
        <v>3</v>
      </c>
      <c r="S63" s="64" t="str">
        <f>IFERROR(INDEX(입력!$K$2:$K$500, MATCH($BO63,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 t="str">
        <f t="shared" si="3"/>
        <v/>
      </c>
      <c r="X63" s="1">
        <v>3</v>
      </c>
      <c r="Y63" s="64" t="str">
        <f>IFERROR(INDEX(입력!$M$2:$M$500, MATCH($BO63, 입력!$Z$2:$Z$500, 0)) &amp; "", "")</f>
        <v/>
      </c>
      <c r="Z63" s="64" t="str">
        <f>IFERROR(INDEX(입력!$N$2:$N$500, MATCH($BO63, 입력!$Z$2:$Z$500, 0)) &amp; "", "")</f>
        <v>3</v>
      </c>
      <c r="AA63" s="64">
        <f>MAX(0, 표1[[#This Row],[의무_시설]]-표1[[#This Row],[시설합]])</f>
        <v>0</v>
      </c>
      <c r="AB63" s="17" t="str">
        <f t="shared" si="7"/>
        <v>이행완료</v>
      </c>
      <c r="AC63" s="64" t="str">
        <f>IFERROR(INDEX(입력!$P$2:$P$500, MATCH($BO63, 입력!$Z$2:$Z$500, 0)) &amp; "", "")</f>
        <v/>
      </c>
      <c r="AD63" s="64" t="str">
        <f>IFERROR(INDEX(입력!$Q$2:$Q$500, MATCH($BO63, 입력!$Z$2:$Z$500, 0)) &amp; "", "")</f>
        <v/>
      </c>
      <c r="AE63" s="64" t="str">
        <f>IFERROR(INDEX(입력!$R$2:$R$500, MATCH($BO63, 입력!$Z$2:$Z$500, 0)) &amp; "", "")</f>
        <v>여</v>
      </c>
      <c r="AF63" s="64" t="str">
        <f>IFERROR(INDEX(입력!$S$2:$S$500, MATCH($BO63, 입력!$Z$2:$Z$500, 0)) &amp; "", "")</f>
        <v>여</v>
      </c>
      <c r="AG63" s="64" t="str">
        <f>IFERROR(INDEX(입력!$T$2:$T$500, MATCH($BO63, 입력!$Z$2:$Z$500, 0)) &amp; "", "")</f>
        <v>부</v>
      </c>
      <c r="AH63" s="64" t="str">
        <f>IFERROR(INDEX(입력!$U$2:$U$500, MATCH($BO63, 입력!$Z$2:$Z$500, 0)) &amp; "", "")</f>
        <v/>
      </c>
      <c r="AI63" s="64" t="str">
        <f>IFERROR(INDEX(입력!$V$2:$V$500, MATCH($BO63, 입력!$Z$2:$Z$500, 0)) &amp; "", "")</f>
        <v>여</v>
      </c>
      <c r="AJ63" s="44" t="str">
        <f>IFERROR(INDEX(입력!$W$2:$W$500, MATCH($BO63, 입력!$Z$2:$Z$500, 0)) &amp; "", "")</f>
        <v>이덕호</v>
      </c>
      <c r="AK63" s="44" t="str">
        <f>IFERROR(INDEX(입력!$X$2:$X$500, MATCH($BO63, 입력!$Z$2:$Z$500, 0)) &amp; "", "")</f>
        <v>010-9899-4553</v>
      </c>
      <c r="AL63" s="2"/>
      <c r="AM63" s="17" t="s">
        <v>1251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3131</v>
      </c>
      <c r="AZ63" s="71" t="str">
        <f>IFERROR(IF(INDEX(입력!$C$2:$C$500, MATCH($BO63, 입력!$Z$2:$Z$500, 0))="", "", TEXT(INDEX(입력!$C$2:$C$500, MATCH($BO63, 입력!$Z$2:$Z$500, 0)), "yyyy-mm-dd")), "")</f>
        <v>2026-05-06</v>
      </c>
      <c r="BA63" s="44" t="str">
        <f>IFERROR(INDEX(입력!$B$2:$B$500, MATCH($BO63, 입력!$Z$2:$Z$500, 0)) &amp; "", "")</f>
        <v>이승수</v>
      </c>
      <c r="BB63" s="83" t="str">
        <f>IFERROR(INDEX(입력!$Y$2:$Y$500, MATCH($BO63, 입력!$Z$2:$Z$500, 0)) &amp; "", "")</f>
        <v/>
      </c>
      <c r="BC63" s="83" t="s">
        <v>3112</v>
      </c>
      <c r="BD63" s="83"/>
      <c r="BE63" s="101"/>
      <c r="BF63" s="101"/>
      <c r="BG63" s="101"/>
      <c r="BH63" s="101"/>
      <c r="BI63" s="101"/>
      <c r="BJ63" s="101"/>
      <c r="BK63" s="110"/>
      <c r="BL63" s="21"/>
      <c r="BM63" s="22"/>
      <c r="BN63" s="23"/>
      <c r="BO63" s="47" t="s">
        <v>248</v>
      </c>
    </row>
    <row r="64" spans="1:67" x14ac:dyDescent="0.45">
      <c r="A64" s="46">
        <v>63</v>
      </c>
      <c r="B64" s="1" t="s">
        <v>1175</v>
      </c>
      <c r="C64" s="17" t="str">
        <f t="shared" si="6"/>
        <v>이행완료</v>
      </c>
      <c r="D64" s="17" t="str">
        <f t="shared" si="0"/>
        <v>조사완료</v>
      </c>
      <c r="E64" s="3" t="s">
        <v>1292</v>
      </c>
      <c r="F64" s="3" t="s">
        <v>249</v>
      </c>
      <c r="G64" s="3" t="s">
        <v>1293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MATCH($BO64, 입력!$Z$2:$Z$500, 0)) &amp; "", "")</f>
        <v>2</v>
      </c>
      <c r="S64" s="64" t="str">
        <f>IFERROR(INDEX(입력!$K$2:$K$500, MATCH($BO64,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 t="str">
        <f t="shared" si="3"/>
        <v/>
      </c>
      <c r="X64" s="1">
        <v>2</v>
      </c>
      <c r="Y64" s="64" t="str">
        <f>IFERROR(INDEX(입력!$M$2:$M$500, MATCH($BO64, 입력!$Z$2:$Z$500, 0)) &amp; "", "")</f>
        <v/>
      </c>
      <c r="Z64" s="64" t="str">
        <f>IFERROR(INDEX(입력!$N$2:$N$500, MATCH($BO64, 입력!$Z$2:$Z$500, 0)) &amp; "", "")</f>
        <v>2</v>
      </c>
      <c r="AA64" s="64">
        <f>MAX(0, 표1[[#This Row],[의무_시설]]-표1[[#This Row],[시설합]])</f>
        <v>0</v>
      </c>
      <c r="AB64" s="17" t="str">
        <f t="shared" si="7"/>
        <v>이행완료</v>
      </c>
      <c r="AC64" s="64" t="str">
        <f>IFERROR(INDEX(입력!$P$2:$P$500, MATCH($BO64, 입력!$Z$2:$Z$500, 0)) &amp; "", "")</f>
        <v/>
      </c>
      <c r="AD64" s="64" t="str">
        <f>IFERROR(INDEX(입력!$Q$2:$Q$500, MATCH($BO64, 입력!$Z$2:$Z$500, 0)) &amp; "", "")</f>
        <v/>
      </c>
      <c r="AE64" s="64" t="str">
        <f>IFERROR(INDEX(입력!$R$2:$R$500, MATCH($BO64, 입력!$Z$2:$Z$500, 0)) &amp; "", "")</f>
        <v/>
      </c>
      <c r="AF64" s="64" t="str">
        <f>IFERROR(INDEX(입력!$S$2:$S$500, MATCH($BO64, 입력!$Z$2:$Z$500, 0)) &amp; "", "")</f>
        <v/>
      </c>
      <c r="AG64" s="64" t="str">
        <f>IFERROR(INDEX(입력!$T$2:$T$500, MATCH($BO64, 입력!$Z$2:$Z$500, 0)) &amp; "", "")</f>
        <v/>
      </c>
      <c r="AH64" s="64" t="str">
        <f>IFERROR(INDEX(입력!$U$2:$U$500, MATCH($BO64, 입력!$Z$2:$Z$500, 0)) &amp; "", "")</f>
        <v/>
      </c>
      <c r="AI64" s="64" t="str">
        <f>IFERROR(INDEX(입력!$V$2:$V$500, MATCH($BO64, 입력!$Z$2:$Z$500, 0)) &amp; "", "")</f>
        <v>여</v>
      </c>
      <c r="AJ64" s="44" t="str">
        <f>IFERROR(INDEX(입력!$W$2:$W$500, MATCH($BO64, 입력!$Z$2:$Z$500, 0)) &amp; "", "")</f>
        <v>강명자</v>
      </c>
      <c r="AK64" s="44" t="str">
        <f>IFERROR(INDEX(입력!$X$2:$X$500, MATCH($BO64, 입력!$Z$2:$Z$500, 0)) &amp; "", "")</f>
        <v>010-2608-1359</v>
      </c>
      <c r="AL64" s="2" t="s">
        <v>1294</v>
      </c>
      <c r="AM64" s="17" t="s">
        <v>3220</v>
      </c>
      <c r="AN64" s="83"/>
      <c r="AO64" s="17" t="s">
        <v>1186</v>
      </c>
      <c r="AP64" s="2" t="s">
        <v>3221</v>
      </c>
      <c r="AQ64" s="21"/>
      <c r="AR64" s="22" t="s">
        <v>3222</v>
      </c>
      <c r="AS64" s="101"/>
      <c r="AT64" s="101"/>
      <c r="AU64" s="101"/>
      <c r="AV64" s="101"/>
      <c r="AW64" s="101"/>
      <c r="AX64" s="101"/>
      <c r="AY64" s="83" t="s">
        <v>3137</v>
      </c>
      <c r="AZ64" s="71" t="str">
        <f>IFERROR(IF(INDEX(입력!$C$2:$C$500, MATCH($BO64, 입력!$Z$2:$Z$500, 0))="", "", TEXT(INDEX(입력!$C$2:$C$500, MATCH($BO64, 입력!$Z$2:$Z$500, 0)), "yyyy-mm-dd")), "")</f>
        <v>2026-04-22</v>
      </c>
      <c r="BA64" s="44" t="str">
        <f>IFERROR(INDEX(입력!$B$2:$B$500, MATCH($BO64, 입력!$Z$2:$Z$500, 0)) &amp; "", "")</f>
        <v>정은진</v>
      </c>
      <c r="BB64" s="83" t="str">
        <f>IFERROR(INDEX(입력!$Y$2:$Y$500, MATCH($BO64, 입력!$Z$2:$Z$500, 0)) &amp; "", "")</f>
        <v/>
      </c>
      <c r="BC64" s="83" t="s">
        <v>3112</v>
      </c>
      <c r="BD64" s="83"/>
      <c r="BE64" s="101"/>
      <c r="BF64" s="101"/>
      <c r="BG64" s="101"/>
      <c r="BH64" s="101"/>
      <c r="BI64" s="101"/>
      <c r="BJ64" s="101"/>
      <c r="BK64" s="110"/>
      <c r="BL64" s="21"/>
      <c r="BM64" s="22"/>
      <c r="BN64" s="23"/>
      <c r="BO64" s="47" t="s">
        <v>250</v>
      </c>
    </row>
    <row r="65" spans="1:67" x14ac:dyDescent="0.45">
      <c r="A65" s="19">
        <v>64</v>
      </c>
      <c r="B65" s="1" t="s">
        <v>1175</v>
      </c>
      <c r="C65" s="17" t="str">
        <f t="shared" si="6"/>
        <v>미이행</v>
      </c>
      <c r="D65" s="17" t="str">
        <f t="shared" si="0"/>
        <v>조사완료</v>
      </c>
      <c r="E65" s="3" t="s">
        <v>1295</v>
      </c>
      <c r="F65" s="3" t="s">
        <v>251</v>
      </c>
      <c r="G65" s="3" t="s">
        <v>1296</v>
      </c>
      <c r="H65" s="18" t="s">
        <v>1202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MATCH($BO65, 입력!$Z$2:$Z$500, 0)) &amp; "", "")</f>
        <v/>
      </c>
      <c r="S65" s="64" t="str">
        <f>IFERROR(INDEX(입력!$K$2:$K$500, MATCH($BO65,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 t="str">
        <f t="shared" ref="W65:W128" si="10">IF(OR(M65="", V65&lt;5), "", IF(OR(M65="신축", B65&lt;&gt;"공동주택"), 1, ""))</f>
        <v/>
      </c>
      <c r="X65" s="1">
        <v>0</v>
      </c>
      <c r="Y65" s="64" t="str">
        <f>IFERROR(INDEX(입력!$M$2:$M$500, MATCH($BO65, 입력!$Z$2:$Z$500, 0)) &amp; "", "")</f>
        <v/>
      </c>
      <c r="Z65" s="64" t="str">
        <f>IFERROR(INDEX(입력!$N$2:$N$500, MATCH($BO65, 입력!$Z$2:$Z$500, 0)) &amp; "", "")</f>
        <v/>
      </c>
      <c r="AA65" s="64">
        <f>MAX(0, 표1[[#This Row],[의무_시설]]-표1[[#This Row],[시설합]])</f>
        <v>2</v>
      </c>
      <c r="AB65" s="17" t="str">
        <f t="shared" si="7"/>
        <v>미이행</v>
      </c>
      <c r="AC65" s="64" t="str">
        <f>IFERROR(INDEX(입력!$P$2:$P$500, MATCH($BO65, 입력!$Z$2:$Z$500, 0)) &amp; "", "")</f>
        <v/>
      </c>
      <c r="AD65" s="64" t="str">
        <f>IFERROR(INDEX(입력!$Q$2:$Q$500, MATCH($BO65, 입력!$Z$2:$Z$500, 0)) &amp; "", "")</f>
        <v/>
      </c>
      <c r="AE65" s="64" t="str">
        <f>IFERROR(INDEX(입력!$R$2:$R$500, MATCH($BO65, 입력!$Z$2:$Z$500, 0)) &amp; "", "")</f>
        <v/>
      </c>
      <c r="AF65" s="64" t="str">
        <f>IFERROR(INDEX(입력!$S$2:$S$500, MATCH($BO65, 입력!$Z$2:$Z$500, 0)) &amp; "", "")</f>
        <v/>
      </c>
      <c r="AG65" s="64" t="str">
        <f>IFERROR(INDEX(입력!$T$2:$T$500, MATCH($BO65, 입력!$Z$2:$Z$500, 0)) &amp; "", "")</f>
        <v/>
      </c>
      <c r="AH65" s="64" t="str">
        <f>IFERROR(INDEX(입력!$U$2:$U$500, MATCH($BO65, 입력!$Z$2:$Z$500, 0)) &amp; "", "")</f>
        <v/>
      </c>
      <c r="AI65" s="64" t="str">
        <f>IFERROR(INDEX(입력!$V$2:$V$500, MATCH($BO65, 입력!$Z$2:$Z$500, 0)) &amp; "", "")</f>
        <v>여</v>
      </c>
      <c r="AJ65" s="44" t="str">
        <f>IFERROR(INDEX(입력!$W$2:$W$500, MATCH($BO65, 입력!$Z$2:$Z$500, 0)) &amp; "", "")</f>
        <v>전의종</v>
      </c>
      <c r="AK65" s="44" t="str">
        <f>IFERROR(INDEX(입력!$X$2:$X$500, MATCH($BO65, 입력!$Z$2:$Z$500, 0)) &amp; "", "")</f>
        <v>010-3350-4900</v>
      </c>
      <c r="AL65" s="2" t="s">
        <v>1297</v>
      </c>
      <c r="AM65" s="17" t="s">
        <v>1060</v>
      </c>
      <c r="AN65" s="83"/>
      <c r="AO65" s="17" t="s">
        <v>1059</v>
      </c>
      <c r="AP65" s="101" t="s">
        <v>1298</v>
      </c>
      <c r="AQ65" s="108"/>
      <c r="AR65" s="22"/>
      <c r="AS65" s="114" t="s">
        <v>3163</v>
      </c>
      <c r="AT65" s="109">
        <v>46104</v>
      </c>
      <c r="AU65" s="101" t="s">
        <v>3126</v>
      </c>
      <c r="AV65" s="114" t="s">
        <v>3186</v>
      </c>
      <c r="AW65" s="101"/>
      <c r="AX65" s="101"/>
      <c r="AY65" s="83" t="s">
        <v>3132</v>
      </c>
      <c r="AZ65" s="71" t="str">
        <f>IFERROR(IF(INDEX(입력!$C$2:$C$500, MATCH($BO65, 입력!$Z$2:$Z$500, 0))="", "", TEXT(INDEX(입력!$C$2:$C$500, MATCH($BO65, 입력!$Z$2:$Z$500, 0)), "yyyy-mm-dd")), "")</f>
        <v>2026-04-17</v>
      </c>
      <c r="BA65" s="44" t="str">
        <f>IFERROR(INDEX(입력!$B$2:$B$500, MATCH($BO65, 입력!$Z$2:$Z$500, 0)) &amp; "", "")</f>
        <v>정은진</v>
      </c>
      <c r="BB65" s="83" t="str">
        <f>IFERROR(INDEX(입력!$Y$2:$Y$500, MATCH($BO65, 입력!$Z$2:$Z$500, 0)) &amp; "", "")</f>
        <v>하반기 설치예정.</v>
      </c>
      <c r="BC65" s="83" t="s">
        <v>3159</v>
      </c>
      <c r="BD65" s="83"/>
      <c r="BE65" s="101" t="s">
        <v>1060</v>
      </c>
      <c r="BF65" s="109">
        <v>46164</v>
      </c>
      <c r="BG65" s="101" t="s">
        <v>1059</v>
      </c>
      <c r="BH65" s="101" t="s">
        <v>3955</v>
      </c>
      <c r="BI65" s="101" t="s">
        <v>3958</v>
      </c>
      <c r="BJ65" s="101"/>
      <c r="BK65" s="110" t="s">
        <v>3983</v>
      </c>
      <c r="BL65" s="21"/>
      <c r="BM65" s="22"/>
      <c r="BN65" s="23"/>
      <c r="BO65" s="47" t="s">
        <v>252</v>
      </c>
    </row>
    <row r="66" spans="1:67" x14ac:dyDescent="0.45">
      <c r="A66" s="46">
        <v>65</v>
      </c>
      <c r="B66" s="1" t="s">
        <v>1175</v>
      </c>
      <c r="C66" s="17" t="str">
        <f t="shared" ref="C66:C128" si="11">IF(OR(U66="", AB66=""), "", IF(AND(U66="이행완료", AB66="이행완료"), "이행완료", "미이행"))</f>
        <v>이행완료</v>
      </c>
      <c r="D66" s="17" t="str">
        <f t="shared" ref="D66:D129" si="12">IF(AZ66&lt;&gt;"", "조사완료", "")</f>
        <v>조사완료</v>
      </c>
      <c r="E66" s="3" t="s">
        <v>1299</v>
      </c>
      <c r="F66" s="3" t="s">
        <v>253</v>
      </c>
      <c r="G66" s="3" t="s">
        <v>1300</v>
      </c>
      <c r="H66" s="18" t="s">
        <v>1202</v>
      </c>
      <c r="I66" s="19">
        <v>54</v>
      </c>
      <c r="J66" s="2"/>
      <c r="K66" s="20">
        <v>43754</v>
      </c>
      <c r="L66" s="20"/>
      <c r="M66" s="17" t="str">
        <f t="shared" ref="M66:M128" si="13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MATCH($BO66, 입력!$Z$2:$Z$500, 0)) &amp; "", "")</f>
        <v>1</v>
      </c>
      <c r="S66" s="64" t="str">
        <f>IFERROR(INDEX(입력!$K$2:$K$500, MATCH($BO66,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4">IF(OR(IF(I66="", J66, I66)="", IF(I66="", J66, I66)=0), 0, IF(M66="신축", ROUND(IF(I66="", J66, I66)*0.05, 0), ROUND(IF(I66="", J66, I66)*0.02, 0)))</f>
        <v>1</v>
      </c>
      <c r="W66" s="1" t="str">
        <f t="shared" si="10"/>
        <v/>
      </c>
      <c r="X66" s="1">
        <v>1</v>
      </c>
      <c r="Y66" s="64" t="str">
        <f>IFERROR(INDEX(입력!$M$2:$M$500, MATCH($BO66, 입력!$Z$2:$Z$500, 0)) &amp; "", "")</f>
        <v/>
      </c>
      <c r="Z66" s="64" t="str">
        <f>IFERROR(INDEX(입력!$N$2:$N$500, MATCH($BO66, 입력!$Z$2:$Z$500, 0)) &amp; "", "")</f>
        <v>1</v>
      </c>
      <c r="AA66" s="64">
        <f>MAX(0, 표1[[#This Row],[의무_시설]]-표1[[#This Row],[시설합]])</f>
        <v>0</v>
      </c>
      <c r="AB66" s="17" t="str">
        <f t="shared" si="7"/>
        <v>이행완료</v>
      </c>
      <c r="AC66" s="64" t="str">
        <f>IFERROR(INDEX(입력!$P$2:$P$500, MATCH($BO66, 입력!$Z$2:$Z$500, 0)) &amp; "", "")</f>
        <v/>
      </c>
      <c r="AD66" s="64" t="str">
        <f>IFERROR(INDEX(입력!$Q$2:$Q$500, MATCH($BO66, 입력!$Z$2:$Z$500, 0)) &amp; "", "")</f>
        <v/>
      </c>
      <c r="AE66" s="64" t="str">
        <f>IFERROR(INDEX(입력!$R$2:$R$500, MATCH($BO66, 입력!$Z$2:$Z$500, 0)) &amp; "", "")</f>
        <v>부</v>
      </c>
      <c r="AF66" s="64" t="str">
        <f>IFERROR(INDEX(입력!$S$2:$S$500, MATCH($BO66, 입력!$Z$2:$Z$500, 0)) &amp; "", "")</f>
        <v>부</v>
      </c>
      <c r="AG66" s="64" t="str">
        <f>IFERROR(INDEX(입력!$T$2:$T$500, MATCH($BO66, 입력!$Z$2:$Z$500, 0)) &amp; "", "")</f>
        <v/>
      </c>
      <c r="AH66" s="64" t="str">
        <f>IFERROR(INDEX(입력!$U$2:$U$500, MATCH($BO66, 입력!$Z$2:$Z$500, 0)) &amp; "", "")</f>
        <v/>
      </c>
      <c r="AI66" s="64" t="str">
        <f>IFERROR(INDEX(입력!$V$2:$V$500, MATCH($BO66, 입력!$Z$2:$Z$500, 0)) &amp; "", "")</f>
        <v>여</v>
      </c>
      <c r="AJ66" s="44" t="str">
        <f>IFERROR(INDEX(입력!$W$2:$W$500, MATCH($BO66, 입력!$Z$2:$Z$500, 0)) &amp; "", "")</f>
        <v>조아라</v>
      </c>
      <c r="AK66" s="44" t="str">
        <f>IFERROR(INDEX(입력!$X$2:$X$500, MATCH($BO66, 입력!$Z$2:$Z$500, 0)) &amp; "", "")</f>
        <v>010-4326-5060</v>
      </c>
      <c r="AL66" s="2"/>
      <c r="AM66" s="17" t="s">
        <v>1302</v>
      </c>
      <c r="AN66" s="83"/>
      <c r="AO66" s="17" t="s">
        <v>1186</v>
      </c>
      <c r="AP66" s="2" t="s">
        <v>1301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3137</v>
      </c>
      <c r="AZ66" s="71" t="str">
        <f>IFERROR(IF(INDEX(입력!$C$2:$C$500, MATCH($BO66, 입력!$Z$2:$Z$500, 0))="", "", TEXT(INDEX(입력!$C$2:$C$500, MATCH($BO66, 입력!$Z$2:$Z$500, 0)), "yyyy-mm-dd")), "")</f>
        <v>2026-05-07</v>
      </c>
      <c r="BA66" s="44" t="str">
        <f>IFERROR(INDEX(입력!$B$2:$B$500, MATCH($BO66, 입력!$Z$2:$Z$500, 0)) &amp; "", "")</f>
        <v>정은진</v>
      </c>
      <c r="BB66" s="83" t="str">
        <f>IFERROR(INDEX(입력!$Y$2:$Y$500, MATCH($BO66, 입력!$Z$2:$Z$500, 0)) &amp; "", "")</f>
        <v/>
      </c>
      <c r="BC66" s="83" t="s">
        <v>3112</v>
      </c>
      <c r="BD66" s="83"/>
      <c r="BE66" s="101"/>
      <c r="BF66" s="101"/>
      <c r="BG66" s="101"/>
      <c r="BH66" s="101"/>
      <c r="BI66" s="101"/>
      <c r="BJ66" s="101"/>
      <c r="BK66" s="110"/>
      <c r="BL66" s="21"/>
      <c r="BM66" s="22"/>
      <c r="BN66" s="23"/>
      <c r="BO66" s="47" t="s">
        <v>254</v>
      </c>
    </row>
    <row r="67" spans="1:67" x14ac:dyDescent="0.45">
      <c r="A67" s="19">
        <v>66</v>
      </c>
      <c r="B67" s="1" t="s">
        <v>1175</v>
      </c>
      <c r="C67" s="17" t="str">
        <f t="shared" si="11"/>
        <v>미이행</v>
      </c>
      <c r="D67" s="17" t="str">
        <f t="shared" si="12"/>
        <v>조사완료</v>
      </c>
      <c r="E67" s="3" t="s">
        <v>1303</v>
      </c>
      <c r="F67" s="3" t="s">
        <v>255</v>
      </c>
      <c r="G67" s="3" t="s">
        <v>1304</v>
      </c>
      <c r="H67" s="18" t="s">
        <v>1133</v>
      </c>
      <c r="I67" s="19">
        <v>188</v>
      </c>
      <c r="J67" s="2"/>
      <c r="K67" s="20">
        <v>43035</v>
      </c>
      <c r="L67" s="20"/>
      <c r="M67" s="17" t="str">
        <f t="shared" si="13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MATCH($BO67, 입력!$Z$2:$Z$500, 0)) &amp; "", "")</f>
        <v/>
      </c>
      <c r="S67" s="64" t="str">
        <f>IFERROR(INDEX(입력!$K$2:$K$500, MATCH($BO67,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4"/>
        <v>4</v>
      </c>
      <c r="W67" s="1" t="str">
        <f t="shared" si="10"/>
        <v/>
      </c>
      <c r="X67" s="1">
        <v>0</v>
      </c>
      <c r="Y67" s="64" t="str">
        <f>IFERROR(INDEX(입력!$M$2:$M$500, MATCH($BO67, 입력!$Z$2:$Z$500, 0)) &amp; "", "")</f>
        <v/>
      </c>
      <c r="Z67" s="64" t="str">
        <f>IFERROR(INDEX(입력!$N$2:$N$500, MATCH($BO67, 입력!$Z$2:$Z$500, 0)) &amp; "", "")</f>
        <v/>
      </c>
      <c r="AA67" s="64">
        <f>MAX(0, 표1[[#This Row],[의무_시설]]-표1[[#This Row],[시설합]])</f>
        <v>4</v>
      </c>
      <c r="AB67" s="17" t="str">
        <f t="shared" ref="AB67:AB129" si="15">IF(OR(V67="", X67=""), "", IF(X67 &gt;= V67, "이행완료", "미이행"))</f>
        <v>미이행</v>
      </c>
      <c r="AC67" s="64" t="str">
        <f>IFERROR(INDEX(입력!$P$2:$P$500, MATCH($BO67, 입력!$Z$2:$Z$500, 0)) &amp; "", "")</f>
        <v/>
      </c>
      <c r="AD67" s="64" t="str">
        <f>IFERROR(INDEX(입력!$Q$2:$Q$500, MATCH($BO67, 입력!$Z$2:$Z$500, 0)) &amp; "", "")</f>
        <v/>
      </c>
      <c r="AE67" s="64" t="str">
        <f>IFERROR(INDEX(입력!$R$2:$R$500, MATCH($BO67, 입력!$Z$2:$Z$500, 0)) &amp; "", "")</f>
        <v>부</v>
      </c>
      <c r="AF67" s="64" t="str">
        <f>IFERROR(INDEX(입력!$S$2:$S$500, MATCH($BO67, 입력!$Z$2:$Z$500, 0)) &amp; "", "")</f>
        <v>부</v>
      </c>
      <c r="AG67" s="64" t="str">
        <f>IFERROR(INDEX(입력!$T$2:$T$500, MATCH($BO67, 입력!$Z$2:$Z$500, 0)) &amp; "", "")</f>
        <v/>
      </c>
      <c r="AH67" s="64" t="str">
        <f>IFERROR(INDEX(입력!$U$2:$U$500, MATCH($BO67, 입력!$Z$2:$Z$500, 0)) &amp; "", "")</f>
        <v/>
      </c>
      <c r="AI67" s="64" t="str">
        <f>IFERROR(INDEX(입력!$V$2:$V$500, MATCH($BO67, 입력!$Z$2:$Z$500, 0)) &amp; "", "")</f>
        <v>여</v>
      </c>
      <c r="AJ67" s="44" t="str">
        <f>IFERROR(INDEX(입력!$W$2:$W$500, MATCH($BO67, 입력!$Z$2:$Z$500, 0)) &amp; "", "")</f>
        <v>윤재복</v>
      </c>
      <c r="AK67" s="44" t="str">
        <f>IFERROR(INDEX(입력!$X$2:$X$500, MATCH($BO67, 입력!$Z$2:$Z$500, 0)) &amp; "", "")</f>
        <v>010-7175-1868</v>
      </c>
      <c r="AL67" s="2" t="s">
        <v>3788</v>
      </c>
      <c r="AM67" s="17" t="s">
        <v>1060</v>
      </c>
      <c r="AN67" s="83"/>
      <c r="AO67" s="17" t="s">
        <v>1059</v>
      </c>
      <c r="AP67" s="101" t="s">
        <v>1305</v>
      </c>
      <c r="AQ67" s="108"/>
      <c r="AR67" s="22"/>
      <c r="AS67" s="114" t="s">
        <v>3163</v>
      </c>
      <c r="AT67" s="109">
        <v>46104</v>
      </c>
      <c r="AU67" s="101" t="s">
        <v>3127</v>
      </c>
      <c r="AV67" s="114" t="s">
        <v>3189</v>
      </c>
      <c r="AW67" s="101"/>
      <c r="AX67" s="101"/>
      <c r="AY67" s="83" t="s">
        <v>3137</v>
      </c>
      <c r="AZ67" s="71" t="str">
        <f>IFERROR(IF(INDEX(입력!$C$2:$C$500, MATCH($BO67, 입력!$Z$2:$Z$500, 0))="", "", TEXT(INDEX(입력!$C$2:$C$500, MATCH($BO67, 입력!$Z$2:$Z$500, 0)), "yyyy-mm-dd")), "")</f>
        <v>2026-04-17</v>
      </c>
      <c r="BA67" s="44" t="str">
        <f>IFERROR(INDEX(입력!$B$2:$B$500, MATCH($BO67, 입력!$Z$2:$Z$500, 0)) &amp; "", "")</f>
        <v>이승수</v>
      </c>
      <c r="BB67" s="83" t="str">
        <f>IFERROR(INDEX(입력!$Y$2:$Y$500, MATCH($BO67, 입력!$Z$2:$Z$500, 0)) &amp; "", "")</f>
        <v>상가 미분양 입주로 인하여 관리비 부과에 어려움 있음. '26년 말까지 설치예정.</v>
      </c>
      <c r="BC67" s="83" t="s">
        <v>3159</v>
      </c>
      <c r="BD67" s="83"/>
      <c r="BE67" s="101" t="s">
        <v>3959</v>
      </c>
      <c r="BF67" s="109">
        <v>46164</v>
      </c>
      <c r="BG67" s="101" t="s">
        <v>1059</v>
      </c>
      <c r="BH67" s="101" t="s">
        <v>3955</v>
      </c>
      <c r="BI67" s="101" t="s">
        <v>3960</v>
      </c>
      <c r="BJ67" s="101"/>
      <c r="BK67" s="110" t="s">
        <v>3975</v>
      </c>
      <c r="BL67" s="21"/>
      <c r="BM67" s="22"/>
      <c r="BN67" s="23"/>
      <c r="BO67" s="47" t="s">
        <v>256</v>
      </c>
    </row>
    <row r="68" spans="1:67" x14ac:dyDescent="0.45">
      <c r="A68" s="46">
        <v>67</v>
      </c>
      <c r="B68" s="1" t="s">
        <v>1175</v>
      </c>
      <c r="C68" s="17" t="str">
        <f t="shared" si="11"/>
        <v>미이행</v>
      </c>
      <c r="D68" s="17" t="str">
        <f t="shared" si="12"/>
        <v>조사완료</v>
      </c>
      <c r="E68" s="3" t="s">
        <v>3859</v>
      </c>
      <c r="F68" s="3" t="s">
        <v>257</v>
      </c>
      <c r="G68" s="3" t="s">
        <v>1306</v>
      </c>
      <c r="H68" s="18" t="s">
        <v>1172</v>
      </c>
      <c r="I68" s="19">
        <v>51</v>
      </c>
      <c r="J68" s="2"/>
      <c r="K68" s="20">
        <v>37606</v>
      </c>
      <c r="L68" s="20"/>
      <c r="M68" s="17" t="str">
        <f t="shared" si="13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MATCH($BO68, 입력!$Z$2:$Z$500, 0)) &amp; "", "")</f>
        <v/>
      </c>
      <c r="S68" s="64" t="str">
        <f>IFERROR(INDEX(입력!$K$2:$K$500, MATCH($BO68,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4"/>
        <v>1</v>
      </c>
      <c r="W68" s="1" t="str">
        <f t="shared" si="10"/>
        <v/>
      </c>
      <c r="X68" s="1">
        <v>0</v>
      </c>
      <c r="Y68" s="64" t="str">
        <f>IFERROR(INDEX(입력!$M$2:$M$500, MATCH($BO68, 입력!$Z$2:$Z$500, 0)) &amp; "", "")</f>
        <v/>
      </c>
      <c r="Z68" s="64" t="str">
        <f>IFERROR(INDEX(입력!$N$2:$N$500, MATCH($BO68, 입력!$Z$2:$Z$500, 0)) &amp; "", "")</f>
        <v/>
      </c>
      <c r="AA68" s="64">
        <f>MAX(0, 표1[[#This Row],[의무_시설]]-표1[[#This Row],[시설합]])</f>
        <v>1</v>
      </c>
      <c r="AB68" s="17" t="str">
        <f t="shared" si="15"/>
        <v>미이행</v>
      </c>
      <c r="AC68" s="64" t="str">
        <f>IFERROR(INDEX(입력!$P$2:$P$500, MATCH($BO68, 입력!$Z$2:$Z$500, 0)) &amp; "", "")</f>
        <v/>
      </c>
      <c r="AD68" s="64" t="str">
        <f>IFERROR(INDEX(입력!$Q$2:$Q$500, MATCH($BO68, 입력!$Z$2:$Z$500, 0)) &amp; "", "")</f>
        <v/>
      </c>
      <c r="AE68" s="64" t="str">
        <f>IFERROR(INDEX(입력!$R$2:$R$500, MATCH($BO68, 입력!$Z$2:$Z$500, 0)) &amp; "", "")</f>
        <v/>
      </c>
      <c r="AF68" s="64" t="str">
        <f>IFERROR(INDEX(입력!$S$2:$S$500, MATCH($BO68, 입력!$Z$2:$Z$500, 0)) &amp; "", "")</f>
        <v/>
      </c>
      <c r="AG68" s="64" t="str">
        <f>IFERROR(INDEX(입력!$T$2:$T$500, MATCH($BO68, 입력!$Z$2:$Z$500, 0)) &amp; "", "")</f>
        <v/>
      </c>
      <c r="AH68" s="64" t="str">
        <f>IFERROR(INDEX(입력!$U$2:$U$500, MATCH($BO68, 입력!$Z$2:$Z$500, 0)) &amp; "", "")</f>
        <v/>
      </c>
      <c r="AI68" s="64" t="str">
        <f>IFERROR(INDEX(입력!$V$2:$V$500, MATCH($BO68, 입력!$Z$2:$Z$500, 0)) &amp; "", "")</f>
        <v>여</v>
      </c>
      <c r="AJ68" s="44" t="str">
        <f>IFERROR(INDEX(입력!$W$2:$W$500, MATCH($BO68, 입력!$Z$2:$Z$500, 0)) &amp; "", "")</f>
        <v>김진영</v>
      </c>
      <c r="AK68" s="44" t="str">
        <f>IFERROR(INDEX(입력!$X$2:$X$500, MATCH($BO68, 입력!$Z$2:$Z$500, 0)) &amp; "", "")</f>
        <v>010-9298-4321</v>
      </c>
      <c r="AL68" s="2" t="s">
        <v>1307</v>
      </c>
      <c r="AM68" s="17" t="s">
        <v>3199</v>
      </c>
      <c r="AN68" s="83"/>
      <c r="AO68" s="17" t="s">
        <v>1059</v>
      </c>
      <c r="AP68" s="101" t="s">
        <v>1308</v>
      </c>
      <c r="AQ68" s="108"/>
      <c r="AR68" s="22" t="s">
        <v>1196</v>
      </c>
      <c r="AS68" s="114" t="s">
        <v>3163</v>
      </c>
      <c r="AT68" s="109">
        <v>46104</v>
      </c>
      <c r="AU68" s="101" t="s">
        <v>3126</v>
      </c>
      <c r="AV68" s="114" t="s">
        <v>3188</v>
      </c>
      <c r="AW68" s="101"/>
      <c r="AX68" s="101"/>
      <c r="AY68" s="83" t="s">
        <v>3131</v>
      </c>
      <c r="AZ68" s="71" t="str">
        <f>IFERROR(IF(INDEX(입력!$C$2:$C$500, MATCH($BO68, 입력!$Z$2:$Z$500, 0))="", "", TEXT(INDEX(입력!$C$2:$C$500, MATCH($BO68, 입력!$Z$2:$Z$500, 0)), "yyyy-mm-dd")), "")</f>
        <v>2026-04-23</v>
      </c>
      <c r="BA68" s="44" t="str">
        <f>IFERROR(INDEX(입력!$B$2:$B$500, MATCH($BO68, 입력!$Z$2:$Z$500, 0)) &amp; "", "")</f>
        <v>이승수</v>
      </c>
      <c r="BB68" s="83" t="str">
        <f>IFERROR(INDEX(입력!$Y$2:$Y$500, MATCH($BO68, 입력!$Z$2:$Z$500, 0)) &amp; "", "")</f>
        <v>재건축예정. 재건축이후</v>
      </c>
      <c r="BC68" s="83" t="s">
        <v>3145</v>
      </c>
      <c r="BD68" s="83"/>
      <c r="BE68" s="101"/>
      <c r="BF68" s="101"/>
      <c r="BG68" s="101"/>
      <c r="BH68" s="101"/>
      <c r="BI68" s="101"/>
      <c r="BJ68" s="101"/>
      <c r="BK68" s="110"/>
      <c r="BL68" s="21"/>
      <c r="BM68" s="22"/>
      <c r="BN68" s="27" t="s">
        <v>3858</v>
      </c>
      <c r="BO68" s="47" t="s">
        <v>258</v>
      </c>
    </row>
    <row r="69" spans="1:67" x14ac:dyDescent="0.45">
      <c r="A69" s="19">
        <v>68</v>
      </c>
      <c r="B69" s="1" t="s">
        <v>1175</v>
      </c>
      <c r="C69" s="17" t="str">
        <f t="shared" si="11"/>
        <v>이행완료</v>
      </c>
      <c r="D69" s="17" t="str">
        <f t="shared" si="12"/>
        <v>조사완료</v>
      </c>
      <c r="E69" s="3" t="s">
        <v>1309</v>
      </c>
      <c r="F69" s="3" t="s">
        <v>259</v>
      </c>
      <c r="G69" s="3" t="s">
        <v>1310</v>
      </c>
      <c r="H69" s="18" t="s">
        <v>1172</v>
      </c>
      <c r="I69" s="19">
        <v>81</v>
      </c>
      <c r="J69" s="2"/>
      <c r="K69" s="20">
        <v>37917</v>
      </c>
      <c r="L69" s="20"/>
      <c r="M69" s="17" t="str">
        <f t="shared" si="13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MATCH($BO69, 입력!$Z$2:$Z$500, 0)) &amp; "", "")</f>
        <v>2</v>
      </c>
      <c r="S69" s="64" t="str">
        <f>IFERROR(INDEX(입력!$K$2:$K$500, MATCH($BO69,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4"/>
        <v>2</v>
      </c>
      <c r="W69" s="1" t="str">
        <f t="shared" si="10"/>
        <v/>
      </c>
      <c r="X69" s="1">
        <v>2</v>
      </c>
      <c r="Y69" s="64" t="str">
        <f>IFERROR(INDEX(입력!$M$2:$M$500, MATCH($BO69, 입력!$Z$2:$Z$500, 0)) &amp; "", "")</f>
        <v/>
      </c>
      <c r="Z69" s="64" t="str">
        <f>IFERROR(INDEX(입력!$N$2:$N$500, MATCH($BO69, 입력!$Z$2:$Z$500, 0)) &amp; "", "")</f>
        <v>2</v>
      </c>
      <c r="AA69" s="64">
        <f>MAX(0, 표1[[#This Row],[의무_시설]]-표1[[#This Row],[시설합]])</f>
        <v>0</v>
      </c>
      <c r="AB69" s="17" t="str">
        <f t="shared" si="15"/>
        <v>이행완료</v>
      </c>
      <c r="AC69" s="64" t="str">
        <f>IFERROR(INDEX(입력!$P$2:$P$500, MATCH($BO69, 입력!$Z$2:$Z$500, 0)) &amp; "", "")</f>
        <v/>
      </c>
      <c r="AD69" s="64" t="str">
        <f>IFERROR(INDEX(입력!$Q$2:$Q$500, MATCH($BO69, 입력!$Z$2:$Z$500, 0)) &amp; "", "")</f>
        <v/>
      </c>
      <c r="AE69" s="64" t="str">
        <f>IFERROR(INDEX(입력!$R$2:$R$500, MATCH($BO69, 입력!$Z$2:$Z$500, 0)) &amp; "", "")</f>
        <v>여</v>
      </c>
      <c r="AF69" s="64" t="str">
        <f>IFERROR(INDEX(입력!$S$2:$S$500, MATCH($BO69, 입력!$Z$2:$Z$500, 0)) &amp; "", "")</f>
        <v/>
      </c>
      <c r="AG69" s="64" t="str">
        <f>IFERROR(INDEX(입력!$T$2:$T$500, MATCH($BO69, 입력!$Z$2:$Z$500, 0)) &amp; "", "")</f>
        <v/>
      </c>
      <c r="AH69" s="64" t="str">
        <f>IFERROR(INDEX(입력!$U$2:$U$500, MATCH($BO69, 입력!$Z$2:$Z$500, 0)) &amp; "", "")</f>
        <v/>
      </c>
      <c r="AI69" s="64" t="str">
        <f>IFERROR(INDEX(입력!$V$2:$V$500, MATCH($BO69, 입력!$Z$2:$Z$500, 0)) &amp; "", "")</f>
        <v>여</v>
      </c>
      <c r="AJ69" s="44" t="str">
        <f>IFERROR(INDEX(입력!$W$2:$W$500, MATCH($BO69, 입력!$Z$2:$Z$500, 0)) &amp; "", "")</f>
        <v/>
      </c>
      <c r="AK69" s="44" t="str">
        <f>IFERROR(INDEX(입력!$X$2:$X$500, MATCH($BO69, 입력!$Z$2:$Z$500, 0)) &amp; "", "")</f>
        <v>010-5678-0027</v>
      </c>
      <c r="AL69" s="2"/>
      <c r="AM69" s="17" t="s">
        <v>1251</v>
      </c>
      <c r="AN69" s="83"/>
      <c r="AO69" s="17" t="s">
        <v>1059</v>
      </c>
      <c r="AP69" s="2"/>
      <c r="AQ69" s="21"/>
      <c r="AR69" s="22" t="s">
        <v>1196</v>
      </c>
      <c r="AS69" s="101"/>
      <c r="AT69" s="101"/>
      <c r="AU69" s="101"/>
      <c r="AV69" s="101"/>
      <c r="AW69" s="101"/>
      <c r="AX69" s="101"/>
      <c r="AY69" s="83" t="s">
        <v>3131</v>
      </c>
      <c r="AZ69" s="71" t="str">
        <f>IFERROR(IF(INDEX(입력!$C$2:$C$500, MATCH($BO69, 입력!$Z$2:$Z$500, 0))="", "", TEXT(INDEX(입력!$C$2:$C$500, MATCH($BO69, 입력!$Z$2:$Z$500, 0)), "yyyy-mm-dd")), "")</f>
        <v>2026-05-04</v>
      </c>
      <c r="BA69" s="44" t="str">
        <f>IFERROR(INDEX(입력!$B$2:$B$500, MATCH($BO69, 입력!$Z$2:$Z$500, 0)) &amp; "", "")</f>
        <v>이승수</v>
      </c>
      <c r="BB69" s="83" t="str">
        <f>IFERROR(INDEX(입력!$Y$2:$Y$500, MATCH($BO69, 입력!$Z$2:$Z$500, 0)) &amp; "", "")</f>
        <v>통화</v>
      </c>
      <c r="BC69" s="83" t="s">
        <v>3112</v>
      </c>
      <c r="BD69" s="83"/>
      <c r="BE69" s="101"/>
      <c r="BF69" s="101"/>
      <c r="BG69" s="101"/>
      <c r="BH69" s="101"/>
      <c r="BI69" s="101"/>
      <c r="BJ69" s="101"/>
      <c r="BK69" s="110"/>
      <c r="BL69" s="21"/>
      <c r="BM69" s="22"/>
      <c r="BN69" s="23"/>
      <c r="BO69" s="47" t="s">
        <v>260</v>
      </c>
    </row>
    <row r="70" spans="1:67" x14ac:dyDescent="0.45">
      <c r="A70" s="46">
        <v>69</v>
      </c>
      <c r="B70" s="1" t="s">
        <v>1175</v>
      </c>
      <c r="C70" s="17" t="str">
        <f t="shared" si="11"/>
        <v>미이행</v>
      </c>
      <c r="D70" s="17" t="str">
        <f t="shared" si="12"/>
        <v/>
      </c>
      <c r="E70" s="3" t="s">
        <v>3857</v>
      </c>
      <c r="F70" s="3" t="s">
        <v>261</v>
      </c>
      <c r="G70" s="3" t="s">
        <v>1311</v>
      </c>
      <c r="H70" s="18" t="s">
        <v>1172</v>
      </c>
      <c r="I70" s="19">
        <v>254</v>
      </c>
      <c r="J70" s="2"/>
      <c r="K70" s="20">
        <v>37698</v>
      </c>
      <c r="L70" s="20"/>
      <c r="M70" s="17" t="str">
        <f t="shared" si="13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MATCH($BO70, 입력!$Z$2:$Z$500, 0)) &amp; "", "")</f>
        <v/>
      </c>
      <c r="S70" s="64" t="str">
        <f>IFERROR(INDEX(입력!$K$2:$K$500, MATCH($BO70,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4"/>
        <v>5</v>
      </c>
      <c r="W70" s="1">
        <f t="shared" si="10"/>
        <v>1</v>
      </c>
      <c r="X70" s="1">
        <v>0</v>
      </c>
      <c r="Y70" s="64" t="str">
        <f>IFERROR(INDEX(입력!$M$2:$M$500, MATCH($BO70, 입력!$Z$2:$Z$500, 0)) &amp; "", "")</f>
        <v/>
      </c>
      <c r="Z70" s="64" t="str">
        <f>IFERROR(INDEX(입력!$N$2:$N$500, MATCH($BO70, 입력!$Z$2:$Z$500, 0)) &amp; "", "")</f>
        <v/>
      </c>
      <c r="AA70" s="64">
        <f>MAX(0, 표1[[#This Row],[의무_시설]]-표1[[#This Row],[시설합]])</f>
        <v>5</v>
      </c>
      <c r="AB70" s="17" t="str">
        <f t="shared" si="15"/>
        <v>미이행</v>
      </c>
      <c r="AC70" s="64" t="str">
        <f>IFERROR(INDEX(입력!$P$2:$P$500, MATCH($BO70, 입력!$Z$2:$Z$500, 0)) &amp; "", "")</f>
        <v/>
      </c>
      <c r="AD70" s="64" t="str">
        <f>IFERROR(INDEX(입력!$Q$2:$Q$500, MATCH($BO70, 입력!$Z$2:$Z$500, 0)) &amp; "", "")</f>
        <v/>
      </c>
      <c r="AE70" s="64" t="str">
        <f>IFERROR(INDEX(입력!$R$2:$R$500, MATCH($BO70, 입력!$Z$2:$Z$500, 0)) &amp; "", "")</f>
        <v/>
      </c>
      <c r="AF70" s="64" t="str">
        <f>IFERROR(INDEX(입력!$S$2:$S$500, MATCH($BO70, 입력!$Z$2:$Z$500, 0)) &amp; "", "")</f>
        <v/>
      </c>
      <c r="AG70" s="64" t="str">
        <f>IFERROR(INDEX(입력!$T$2:$T$500, MATCH($BO70, 입력!$Z$2:$Z$500, 0)) &amp; "", "")</f>
        <v/>
      </c>
      <c r="AH70" s="64" t="str">
        <f>IFERROR(INDEX(입력!$U$2:$U$500, MATCH($BO70, 입력!$Z$2:$Z$500, 0)) &amp; "", "")</f>
        <v/>
      </c>
      <c r="AI70" s="64" t="str">
        <f>IFERROR(INDEX(입력!$V$2:$V$500, MATCH($BO70, 입력!$Z$2:$Z$500, 0)) &amp; "", "")</f>
        <v/>
      </c>
      <c r="AJ70" s="44" t="str">
        <f>IFERROR(INDEX(입력!$W$2:$W$500, MATCH($BO70, 입력!$Z$2:$Z$500, 0)) &amp; "", "")</f>
        <v/>
      </c>
      <c r="AK70" s="44" t="str">
        <f>IFERROR(INDEX(입력!$X$2:$X$500, MATCH($BO70, 입력!$Z$2:$Z$500, 0)) &amp; "", "")</f>
        <v/>
      </c>
      <c r="AL70" s="2" t="s">
        <v>1312</v>
      </c>
      <c r="AM70" s="17" t="s">
        <v>3199</v>
      </c>
      <c r="AN70" s="113">
        <v>46057</v>
      </c>
      <c r="AO70" s="17" t="s">
        <v>1059</v>
      </c>
      <c r="AP70" s="101" t="s">
        <v>3223</v>
      </c>
      <c r="AQ70" s="108"/>
      <c r="AR70" s="22" t="s">
        <v>1196</v>
      </c>
      <c r="AS70" s="114" t="s">
        <v>3163</v>
      </c>
      <c r="AT70" s="109">
        <v>46104</v>
      </c>
      <c r="AU70" s="101" t="s">
        <v>3141</v>
      </c>
      <c r="AV70" s="114" t="s">
        <v>3205</v>
      </c>
      <c r="AW70" s="101"/>
      <c r="AX70" s="101"/>
      <c r="AY70" s="83" t="s">
        <v>3137</v>
      </c>
      <c r="AZ70" s="71" t="str">
        <f>IFERROR(IF(INDEX(입력!$C$2:$C$500, MATCH($BO70, 입력!$Z$2:$Z$500, 0))="", "", TEXT(INDEX(입력!$C$2:$C$500, MATCH($BO70, 입력!$Z$2:$Z$500, 0)), "yyyy-mm-dd")), "")</f>
        <v/>
      </c>
      <c r="BA70" s="44" t="str">
        <f>IFERROR(INDEX(입력!$B$2:$B$500, MATCH($BO70, 입력!$Z$2:$Z$500, 0)) &amp; "", "")</f>
        <v/>
      </c>
      <c r="BB70" s="83" t="str">
        <f>IFERROR(INDEX(입력!$Y$2:$Y$500, MATCH($BO70, 입력!$Z$2:$Z$500, 0)) &amp; "", "")</f>
        <v/>
      </c>
      <c r="BC70" s="83" t="s">
        <v>3145</v>
      </c>
      <c r="BD70" s="83"/>
      <c r="BE70" s="101"/>
      <c r="BF70" s="101"/>
      <c r="BG70" s="101"/>
      <c r="BH70" s="101"/>
      <c r="BI70" s="101"/>
      <c r="BJ70" s="101"/>
      <c r="BK70" s="110"/>
      <c r="BL70" s="21"/>
      <c r="BM70" s="22"/>
      <c r="BN70" s="27" t="s">
        <v>3858</v>
      </c>
      <c r="BO70" s="47" t="s">
        <v>262</v>
      </c>
    </row>
    <row r="71" spans="1:67" x14ac:dyDescent="0.45">
      <c r="A71" s="19">
        <v>70</v>
      </c>
      <c r="B71" s="1" t="s">
        <v>1175</v>
      </c>
      <c r="C71" s="17" t="str">
        <f t="shared" si="11"/>
        <v>이행완료</v>
      </c>
      <c r="D71" s="17" t="str">
        <f t="shared" si="12"/>
        <v>조사완료</v>
      </c>
      <c r="E71" s="3" t="s">
        <v>1313</v>
      </c>
      <c r="F71" s="3" t="s">
        <v>263</v>
      </c>
      <c r="G71" s="3" t="s">
        <v>1314</v>
      </c>
      <c r="H71" s="18" t="s">
        <v>1133</v>
      </c>
      <c r="I71" s="19">
        <v>282</v>
      </c>
      <c r="J71" s="2"/>
      <c r="K71" s="20">
        <v>43826</v>
      </c>
      <c r="L71" s="20"/>
      <c r="M71" s="17" t="str">
        <f t="shared" si="13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MATCH($BO71, 입력!$Z$2:$Z$500, 0)) &amp; "", "")</f>
        <v/>
      </c>
      <c r="S71" s="64" t="str">
        <f>IFERROR(INDEX(입력!$K$2:$K$500, MATCH($BO71,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4"/>
        <v>6</v>
      </c>
      <c r="W71" s="1">
        <f t="shared" si="10"/>
        <v>1</v>
      </c>
      <c r="X71" s="1">
        <v>6</v>
      </c>
      <c r="Y71" s="64" t="str">
        <f>IFERROR(INDEX(입력!$M$2:$M$500, MATCH($BO71, 입력!$Z$2:$Z$500, 0)) &amp; "", "")</f>
        <v>1</v>
      </c>
      <c r="Z71" s="64" t="str">
        <f>IFERROR(INDEX(입력!$N$2:$N$500, MATCH($BO71, 입력!$Z$2:$Z$500, 0)) &amp; "", "")</f>
        <v>5</v>
      </c>
      <c r="AA71" s="64">
        <f>MAX(0, 표1[[#This Row],[의무_시설]]-표1[[#This Row],[시설합]])</f>
        <v>0</v>
      </c>
      <c r="AB71" s="17" t="str">
        <f t="shared" si="15"/>
        <v>이행완료</v>
      </c>
      <c r="AC71" s="64" t="str">
        <f>IFERROR(INDEX(입력!$P$2:$P$500, MATCH($BO71, 입력!$Z$2:$Z$500, 0)) &amp; "", "")</f>
        <v/>
      </c>
      <c r="AD71" s="64" t="str">
        <f>IFERROR(INDEX(입력!$Q$2:$Q$500, MATCH($BO71, 입력!$Z$2:$Z$500, 0)) &amp; "", "")</f>
        <v/>
      </c>
      <c r="AE71" s="64" t="str">
        <f>IFERROR(INDEX(입력!$R$2:$R$500, MATCH($BO71, 입력!$Z$2:$Z$500, 0)) &amp; "", "")</f>
        <v>여</v>
      </c>
      <c r="AF71" s="64" t="str">
        <f>IFERROR(INDEX(입력!$S$2:$S$500, MATCH($BO71, 입력!$Z$2:$Z$500, 0)) &amp; "", "")</f>
        <v>여</v>
      </c>
      <c r="AG71" s="64" t="str">
        <f>IFERROR(INDEX(입력!$T$2:$T$500, MATCH($BO71, 입력!$Z$2:$Z$500, 0)) &amp; "", "")</f>
        <v/>
      </c>
      <c r="AH71" s="64" t="str">
        <f>IFERROR(INDEX(입력!$U$2:$U$500, MATCH($BO71, 입력!$Z$2:$Z$500, 0)) &amp; "", "")</f>
        <v/>
      </c>
      <c r="AI71" s="64" t="str">
        <f>IFERROR(INDEX(입력!$V$2:$V$500, MATCH($BO71, 입력!$Z$2:$Z$500, 0)) &amp; "", "")</f>
        <v>여</v>
      </c>
      <c r="AJ71" s="44" t="str">
        <f>IFERROR(INDEX(입력!$W$2:$W$500, MATCH($BO71, 입력!$Z$2:$Z$500, 0)) &amp; "", "")</f>
        <v>김수현</v>
      </c>
      <c r="AK71" s="44" t="str">
        <f>IFERROR(INDEX(입력!$X$2:$X$500, MATCH($BO71, 입력!$Z$2:$Z$500, 0)) &amp; "", "")</f>
        <v>973-6505</v>
      </c>
      <c r="AL71" s="2" t="s">
        <v>1315</v>
      </c>
      <c r="AM71" s="17" t="s">
        <v>1060</v>
      </c>
      <c r="AN71" s="83"/>
      <c r="AO71" s="17" t="s">
        <v>1059</v>
      </c>
      <c r="AP71" s="2" t="s">
        <v>3219</v>
      </c>
      <c r="AQ71" s="21"/>
      <c r="AR71" s="22" t="s">
        <v>1316</v>
      </c>
      <c r="AS71" s="101"/>
      <c r="AT71" s="101"/>
      <c r="AU71" s="101"/>
      <c r="AV71" s="101"/>
      <c r="AW71" s="101"/>
      <c r="AX71" s="101"/>
      <c r="AY71" s="83" t="s">
        <v>3131</v>
      </c>
      <c r="AZ71" s="71" t="str">
        <f>IFERROR(IF(INDEX(입력!$C$2:$C$500, MATCH($BO71, 입력!$Z$2:$Z$500, 0))="", "", TEXT(INDEX(입력!$C$2:$C$500, MATCH($BO71, 입력!$Z$2:$Z$500, 0)), "yyyy-mm-dd")), "")</f>
        <v>2026-04-29</v>
      </c>
      <c r="BA71" s="44" t="str">
        <f>IFERROR(INDEX(입력!$B$2:$B$500, MATCH($BO71, 입력!$Z$2:$Z$500, 0)) &amp; "", "")</f>
        <v>이승수</v>
      </c>
      <c r="BB71" s="83" t="str">
        <f>IFERROR(INDEX(입력!$Y$2:$Y$500, MATCH($BO71, 입력!$Z$2:$Z$500, 0)) &amp; "", "")</f>
        <v/>
      </c>
      <c r="BC71" s="83" t="s">
        <v>3112</v>
      </c>
      <c r="BD71" s="83"/>
      <c r="BE71" s="101"/>
      <c r="BF71" s="101"/>
      <c r="BG71" s="101"/>
      <c r="BH71" s="101"/>
      <c r="BI71" s="101"/>
      <c r="BJ71" s="101"/>
      <c r="BK71" s="110"/>
      <c r="BL71" s="21"/>
      <c r="BM71" s="22"/>
      <c r="BN71" s="23"/>
      <c r="BO71" s="47" t="s">
        <v>264</v>
      </c>
    </row>
    <row r="72" spans="1:67" x14ac:dyDescent="0.45">
      <c r="A72" s="46">
        <v>71</v>
      </c>
      <c r="B72" s="1" t="s">
        <v>1175</v>
      </c>
      <c r="C72" s="17" t="str">
        <f t="shared" si="11"/>
        <v>미이행</v>
      </c>
      <c r="D72" s="17" t="str">
        <f t="shared" si="12"/>
        <v>조사완료</v>
      </c>
      <c r="E72" s="3" t="s">
        <v>1317</v>
      </c>
      <c r="F72" s="3" t="s">
        <v>265</v>
      </c>
      <c r="G72" s="3" t="s">
        <v>1318</v>
      </c>
      <c r="H72" s="18" t="s">
        <v>1202</v>
      </c>
      <c r="I72" s="19">
        <v>78</v>
      </c>
      <c r="J72" s="2"/>
      <c r="K72" s="20">
        <v>39674</v>
      </c>
      <c r="L72" s="20"/>
      <c r="M72" s="17" t="str">
        <f t="shared" si="13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MATCH($BO72, 입력!$Z$2:$Z$500, 0)) &amp; "", "")</f>
        <v/>
      </c>
      <c r="S72" s="64" t="str">
        <f>IFERROR(INDEX(입력!$K$2:$K$500, MATCH($BO72,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4"/>
        <v>2</v>
      </c>
      <c r="W72" s="1" t="str">
        <f t="shared" si="10"/>
        <v/>
      </c>
      <c r="X72" s="1">
        <v>0</v>
      </c>
      <c r="Y72" s="64" t="str">
        <f>IFERROR(INDEX(입력!$M$2:$M$500, MATCH($BO72, 입력!$Z$2:$Z$500, 0)) &amp; "", "")</f>
        <v/>
      </c>
      <c r="Z72" s="64" t="str">
        <f>IFERROR(INDEX(입력!$N$2:$N$500, MATCH($BO72, 입력!$Z$2:$Z$500, 0)) &amp; "", "")</f>
        <v/>
      </c>
      <c r="AA72" s="64">
        <f>MAX(0, 표1[[#This Row],[의무_시설]]-표1[[#This Row],[시설합]])</f>
        <v>2</v>
      </c>
      <c r="AB72" s="17" t="str">
        <f t="shared" si="15"/>
        <v>미이행</v>
      </c>
      <c r="AC72" s="64" t="str">
        <f>IFERROR(INDEX(입력!$P$2:$P$500, MATCH($BO72, 입력!$Z$2:$Z$500, 0)) &amp; "", "")</f>
        <v/>
      </c>
      <c r="AD72" s="64" t="str">
        <f>IFERROR(INDEX(입력!$Q$2:$Q$500, MATCH($BO72, 입력!$Z$2:$Z$500, 0)) &amp; "", "")</f>
        <v/>
      </c>
      <c r="AE72" s="64" t="str">
        <f>IFERROR(INDEX(입력!$R$2:$R$500, MATCH($BO72, 입력!$Z$2:$Z$500, 0)) &amp; "", "")</f>
        <v/>
      </c>
      <c r="AF72" s="64" t="str">
        <f>IFERROR(INDEX(입력!$S$2:$S$500, MATCH($BO72, 입력!$Z$2:$Z$500, 0)) &amp; "", "")</f>
        <v/>
      </c>
      <c r="AG72" s="64" t="str">
        <f>IFERROR(INDEX(입력!$T$2:$T$500, MATCH($BO72, 입력!$Z$2:$Z$500, 0)) &amp; "", "")</f>
        <v/>
      </c>
      <c r="AH72" s="64" t="str">
        <f>IFERROR(INDEX(입력!$U$2:$U$500, MATCH($BO72, 입력!$Z$2:$Z$500, 0)) &amp; "", "")</f>
        <v/>
      </c>
      <c r="AI72" s="64" t="str">
        <f>IFERROR(INDEX(입력!$V$2:$V$500, MATCH($BO72, 입력!$Z$2:$Z$500, 0)) &amp; "", "")</f>
        <v>여</v>
      </c>
      <c r="AJ72" s="44" t="str">
        <f>IFERROR(INDEX(입력!$W$2:$W$500, MATCH($BO72, 입력!$Z$2:$Z$500, 0)) &amp; "", "")</f>
        <v>오서연</v>
      </c>
      <c r="AK72" s="44" t="str">
        <f>IFERROR(INDEX(입력!$X$2:$X$500, MATCH($BO72, 입력!$Z$2:$Z$500, 0)) &amp; "", "")</f>
        <v>956-0099</v>
      </c>
      <c r="AL72" s="2" t="s">
        <v>3817</v>
      </c>
      <c r="AM72" s="17" t="s">
        <v>1068</v>
      </c>
      <c r="AN72" s="113">
        <v>46072</v>
      </c>
      <c r="AO72" s="17" t="s">
        <v>1186</v>
      </c>
      <c r="AP72" s="101" t="s">
        <v>3224</v>
      </c>
      <c r="AQ72" s="108" t="s">
        <v>3133</v>
      </c>
      <c r="AR72" s="22"/>
      <c r="AS72" s="101" t="s">
        <v>3124</v>
      </c>
      <c r="AT72" s="109">
        <v>46104</v>
      </c>
      <c r="AU72" s="101" t="s">
        <v>3141</v>
      </c>
      <c r="AV72" s="101" t="s">
        <v>3191</v>
      </c>
      <c r="AW72" s="101" t="s">
        <v>3166</v>
      </c>
      <c r="AX72" s="101" t="s">
        <v>3225</v>
      </c>
      <c r="AY72" s="83" t="s">
        <v>3131</v>
      </c>
      <c r="AZ72" s="71" t="str">
        <f>IFERROR(IF(INDEX(입력!$C$2:$C$500, MATCH($BO72, 입력!$Z$2:$Z$500, 0))="", "", TEXT(INDEX(입력!$C$2:$C$500, MATCH($BO72, 입력!$Z$2:$Z$500, 0)), "yyyy-mm-dd")), "")</f>
        <v>2026-04-20</v>
      </c>
      <c r="BA72" s="44" t="str">
        <f>IFERROR(INDEX(입력!$B$2:$B$500, MATCH($BO72, 입력!$Z$2:$Z$500, 0)) &amp; "", "")</f>
        <v>정은진</v>
      </c>
      <c r="BB72" s="83" t="str">
        <f>IFERROR(INDEX(입력!$Y$2:$Y$500, MATCH($BO72, 입력!$Z$2:$Z$500, 0)) &amp; "", "")</f>
        <v>업체 사정상 5월말 설치예정.</v>
      </c>
      <c r="BC72" s="83" t="s">
        <v>3133</v>
      </c>
      <c r="BD72" s="83"/>
      <c r="BE72" s="101" t="s">
        <v>1060</v>
      </c>
      <c r="BF72" s="109">
        <v>46156</v>
      </c>
      <c r="BG72" s="101" t="s">
        <v>1059</v>
      </c>
      <c r="BH72" s="101" t="s">
        <v>3818</v>
      </c>
      <c r="BI72" s="101" t="s">
        <v>3819</v>
      </c>
      <c r="BJ72" s="101" t="s">
        <v>3820</v>
      </c>
      <c r="BK72" s="110"/>
      <c r="BL72" s="21"/>
      <c r="BM72" s="22"/>
      <c r="BN72" s="23"/>
      <c r="BO72" s="47" t="s">
        <v>266</v>
      </c>
    </row>
    <row r="73" spans="1:67" x14ac:dyDescent="0.45">
      <c r="A73" s="19">
        <v>72</v>
      </c>
      <c r="B73" s="1" t="s">
        <v>1175</v>
      </c>
      <c r="C73" s="17" t="str">
        <f t="shared" si="11"/>
        <v>이행완료</v>
      </c>
      <c r="D73" s="17" t="str">
        <f t="shared" si="12"/>
        <v>조사완료</v>
      </c>
      <c r="E73" s="3" t="s">
        <v>1319</v>
      </c>
      <c r="F73" s="3" t="s">
        <v>267</v>
      </c>
      <c r="G73" s="3" t="s">
        <v>1320</v>
      </c>
      <c r="H73" s="18" t="s">
        <v>1172</v>
      </c>
      <c r="I73" s="19">
        <v>124</v>
      </c>
      <c r="J73" s="2"/>
      <c r="K73" s="20">
        <v>37571</v>
      </c>
      <c r="L73" s="20"/>
      <c r="M73" s="17" t="str">
        <f t="shared" si="13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MATCH($BO73, 입력!$Z$2:$Z$500, 0)) &amp; "", "")</f>
        <v/>
      </c>
      <c r="S73" s="64" t="str">
        <f>IFERROR(INDEX(입력!$K$2:$K$500, MATCH($BO73,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4"/>
        <v>2</v>
      </c>
      <c r="W73" s="1" t="str">
        <f t="shared" si="10"/>
        <v/>
      </c>
      <c r="X73" s="1">
        <v>3</v>
      </c>
      <c r="Y73" s="64" t="str">
        <f>IFERROR(INDEX(입력!$M$2:$M$500, MATCH($BO73, 입력!$Z$2:$Z$500, 0)) &amp; "", "")</f>
        <v/>
      </c>
      <c r="Z73" s="64" t="str">
        <f>IFERROR(INDEX(입력!$N$2:$N$500, MATCH($BO73, 입력!$Z$2:$Z$500, 0)) &amp; "", "")</f>
        <v>3</v>
      </c>
      <c r="AA73" s="64">
        <f>MAX(0, 표1[[#This Row],[의무_시설]]-표1[[#This Row],[시설합]])</f>
        <v>0</v>
      </c>
      <c r="AB73" s="17" t="str">
        <f t="shared" si="15"/>
        <v>이행완료</v>
      </c>
      <c r="AC73" s="64" t="str">
        <f>IFERROR(INDEX(입력!$P$2:$P$500, MATCH($BO73, 입력!$Z$2:$Z$500, 0)) &amp; "", "")</f>
        <v/>
      </c>
      <c r="AD73" s="64" t="str">
        <f>IFERROR(INDEX(입력!$Q$2:$Q$500, MATCH($BO73, 입력!$Z$2:$Z$500, 0)) &amp; "", "")</f>
        <v/>
      </c>
      <c r="AE73" s="64" t="str">
        <f>IFERROR(INDEX(입력!$R$2:$R$500, MATCH($BO73, 입력!$Z$2:$Z$500, 0)) &amp; "", "")</f>
        <v>여</v>
      </c>
      <c r="AF73" s="64" t="str">
        <f>IFERROR(INDEX(입력!$S$2:$S$500, MATCH($BO73, 입력!$Z$2:$Z$500, 0)) &amp; "", "")</f>
        <v>부</v>
      </c>
      <c r="AG73" s="64" t="str">
        <f>IFERROR(INDEX(입력!$T$2:$T$500, MATCH($BO73, 입력!$Z$2:$Z$500, 0)) &amp; "", "")</f>
        <v/>
      </c>
      <c r="AH73" s="64" t="str">
        <f>IFERROR(INDEX(입력!$U$2:$U$500, MATCH($BO73, 입력!$Z$2:$Z$500, 0)) &amp; "", "")</f>
        <v/>
      </c>
      <c r="AI73" s="64" t="str">
        <f>IFERROR(INDEX(입력!$V$2:$V$500, MATCH($BO73, 입력!$Z$2:$Z$500, 0)) &amp; "", "")</f>
        <v>여</v>
      </c>
      <c r="AJ73" s="44" t="str">
        <f>IFERROR(INDEX(입력!$W$2:$W$500, MATCH($BO73, 입력!$Z$2:$Z$500, 0)) &amp; "", "")</f>
        <v>정기찬</v>
      </c>
      <c r="AK73" s="44" t="str">
        <f>IFERROR(INDEX(입력!$X$2:$X$500, MATCH($BO73, 입력!$Z$2:$Z$500, 0)) &amp; "", "")</f>
        <v>010-4600-6200</v>
      </c>
      <c r="AL73" s="2"/>
      <c r="AM73" s="17" t="s">
        <v>1251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3137</v>
      </c>
      <c r="AZ73" s="71" t="str">
        <f>IFERROR(IF(INDEX(입력!$C$2:$C$500, MATCH($BO73, 입력!$Z$2:$Z$500, 0))="", "", TEXT(INDEX(입력!$C$2:$C$500, MATCH($BO73, 입력!$Z$2:$Z$500, 0)), "yyyy-mm-dd")), "")</f>
        <v>2026-04-27</v>
      </c>
      <c r="BA73" s="44" t="str">
        <f>IFERROR(INDEX(입력!$B$2:$B$500, MATCH($BO73, 입력!$Z$2:$Z$500, 0)) &amp; "", "")</f>
        <v>이승수</v>
      </c>
      <c r="BB73" s="83" t="str">
        <f>IFERROR(INDEX(입력!$Y$2:$Y$500, MATCH($BO73, 입력!$Z$2:$Z$500, 0)) &amp; "", "")</f>
        <v/>
      </c>
      <c r="BC73" s="83" t="s">
        <v>3112</v>
      </c>
      <c r="BD73" s="83"/>
      <c r="BE73" s="101"/>
      <c r="BF73" s="101"/>
      <c r="BG73" s="101"/>
      <c r="BH73" s="101"/>
      <c r="BI73" s="101"/>
      <c r="BJ73" s="101"/>
      <c r="BK73" s="110"/>
      <c r="BL73" s="21"/>
      <c r="BM73" s="22"/>
      <c r="BN73" s="23"/>
      <c r="BO73" s="47" t="s">
        <v>268</v>
      </c>
    </row>
    <row r="74" spans="1:67" x14ac:dyDescent="0.45">
      <c r="A74" s="46">
        <v>73</v>
      </c>
      <c r="B74" s="1" t="s">
        <v>1175</v>
      </c>
      <c r="C74" s="17" t="str">
        <f t="shared" si="11"/>
        <v>이행완료</v>
      </c>
      <c r="D74" s="17" t="str">
        <f t="shared" si="12"/>
        <v>조사완료</v>
      </c>
      <c r="E74" s="3" t="s">
        <v>1321</v>
      </c>
      <c r="F74" s="3" t="s">
        <v>269</v>
      </c>
      <c r="G74" s="3" t="s">
        <v>1322</v>
      </c>
      <c r="H74" s="18" t="s">
        <v>1172</v>
      </c>
      <c r="I74" s="19">
        <v>198</v>
      </c>
      <c r="J74" s="2"/>
      <c r="K74" s="20">
        <v>37762</v>
      </c>
      <c r="L74" s="20"/>
      <c r="M74" s="17" t="str">
        <f t="shared" si="13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MATCH($BO74, 입력!$Z$2:$Z$500, 0)) &amp; "", "")</f>
        <v/>
      </c>
      <c r="S74" s="64" t="str">
        <f>IFERROR(INDEX(입력!$K$2:$K$500, MATCH($BO74,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4"/>
        <v>4</v>
      </c>
      <c r="W74" s="1" t="str">
        <f t="shared" si="10"/>
        <v/>
      </c>
      <c r="X74" s="1">
        <v>4</v>
      </c>
      <c r="Y74" s="64" t="str">
        <f>IFERROR(INDEX(입력!$M$2:$M$500, MATCH($BO74, 입력!$Z$2:$Z$500, 0)) &amp; "", "")</f>
        <v/>
      </c>
      <c r="Z74" s="64" t="str">
        <f>IFERROR(INDEX(입력!$N$2:$N$500, MATCH($BO74, 입력!$Z$2:$Z$500, 0)) &amp; "", "")</f>
        <v>4</v>
      </c>
      <c r="AA74" s="64">
        <f>MAX(0, 표1[[#This Row],[의무_시설]]-표1[[#This Row],[시설합]])</f>
        <v>0</v>
      </c>
      <c r="AB74" s="17" t="str">
        <f t="shared" si="15"/>
        <v>이행완료</v>
      </c>
      <c r="AC74" s="64" t="str">
        <f>IFERROR(INDEX(입력!$P$2:$P$500, MATCH($BO74, 입력!$Z$2:$Z$500, 0)) &amp; "", "")</f>
        <v/>
      </c>
      <c r="AD74" s="64" t="str">
        <f>IFERROR(INDEX(입력!$Q$2:$Q$500, MATCH($BO74, 입력!$Z$2:$Z$500, 0)) &amp; "", "")</f>
        <v/>
      </c>
      <c r="AE74" s="64" t="str">
        <f>IFERROR(INDEX(입력!$R$2:$R$500, MATCH($BO74, 입력!$Z$2:$Z$500, 0)) &amp; "", "")</f>
        <v>여</v>
      </c>
      <c r="AF74" s="64" t="str">
        <f>IFERROR(INDEX(입력!$S$2:$S$500, MATCH($BO74, 입력!$Z$2:$Z$500, 0)) &amp; "", "")</f>
        <v>여</v>
      </c>
      <c r="AG74" s="64" t="str">
        <f>IFERROR(INDEX(입력!$T$2:$T$500, MATCH($BO74, 입력!$Z$2:$Z$500, 0)) &amp; "", "")</f>
        <v/>
      </c>
      <c r="AH74" s="64" t="str">
        <f>IFERROR(INDEX(입력!$U$2:$U$500, MATCH($BO74, 입력!$Z$2:$Z$500, 0)) &amp; "", "")</f>
        <v/>
      </c>
      <c r="AI74" s="64" t="str">
        <f>IFERROR(INDEX(입력!$V$2:$V$500, MATCH($BO74, 입력!$Z$2:$Z$500, 0)) &amp; "", "")</f>
        <v>여</v>
      </c>
      <c r="AJ74" s="44" t="str">
        <f>IFERROR(INDEX(입력!$W$2:$W$500, MATCH($BO74, 입력!$Z$2:$Z$500, 0)) &amp; "", "")</f>
        <v>최재영</v>
      </c>
      <c r="AK74" s="44" t="str">
        <f>IFERROR(INDEX(입력!$X$2:$X$500, MATCH($BO74, 입력!$Z$2:$Z$500, 0)) &amp; "", "")</f>
        <v>010-5542-4000</v>
      </c>
      <c r="AL74" s="2"/>
      <c r="AM74" s="17" t="s">
        <v>1251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3131</v>
      </c>
      <c r="AZ74" s="71" t="str">
        <f>IFERROR(IF(INDEX(입력!$C$2:$C$500, MATCH($BO74, 입력!$Z$2:$Z$500, 0))="", "", TEXT(INDEX(입력!$C$2:$C$500, MATCH($BO74, 입력!$Z$2:$Z$500, 0)), "yyyy-mm-dd")), "")</f>
        <v>2026-04-29</v>
      </c>
      <c r="BA74" s="44" t="str">
        <f>IFERROR(INDEX(입력!$B$2:$B$500, MATCH($BO74, 입력!$Z$2:$Z$500, 0)) &amp; "", "")</f>
        <v>이승수</v>
      </c>
      <c r="BB74" s="83" t="str">
        <f>IFERROR(INDEX(입력!$Y$2:$Y$500, MATCH($BO74, 입력!$Z$2:$Z$500, 0)) &amp; "", "")</f>
        <v/>
      </c>
      <c r="BC74" s="83" t="s">
        <v>3112</v>
      </c>
      <c r="BD74" s="83"/>
      <c r="BE74" s="101"/>
      <c r="BF74" s="101"/>
      <c r="BG74" s="101"/>
      <c r="BH74" s="101"/>
      <c r="BI74" s="101"/>
      <c r="BJ74" s="101"/>
      <c r="BK74" s="110"/>
      <c r="BL74" s="21"/>
      <c r="BM74" s="22"/>
      <c r="BN74" s="23"/>
      <c r="BO74" s="47" t="s">
        <v>270</v>
      </c>
    </row>
    <row r="75" spans="1:67" x14ac:dyDescent="0.45">
      <c r="A75" s="19">
        <v>74</v>
      </c>
      <c r="B75" s="1" t="s">
        <v>1175</v>
      </c>
      <c r="C75" s="17" t="str">
        <f t="shared" si="11"/>
        <v>미이행</v>
      </c>
      <c r="D75" s="17" t="str">
        <f t="shared" si="12"/>
        <v>조사완료</v>
      </c>
      <c r="E75" s="3" t="s">
        <v>1323</v>
      </c>
      <c r="F75" s="3" t="s">
        <v>271</v>
      </c>
      <c r="G75" s="3" t="s">
        <v>3987</v>
      </c>
      <c r="H75" s="18" t="s">
        <v>1133</v>
      </c>
      <c r="I75" s="19">
        <v>421</v>
      </c>
      <c r="J75" s="2"/>
      <c r="K75" s="20">
        <v>38128</v>
      </c>
      <c r="L75" s="20"/>
      <c r="M75" s="17" t="str">
        <f t="shared" si="13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MATCH($BO75, 입력!$Z$2:$Z$500, 0)) &amp; "", "")</f>
        <v/>
      </c>
      <c r="S75" s="64" t="str">
        <f>IFERROR(INDEX(입력!$K$2:$K$500, MATCH($BO75,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4"/>
        <v>8</v>
      </c>
      <c r="W75" s="1">
        <f t="shared" si="10"/>
        <v>1</v>
      </c>
      <c r="X75" s="1">
        <v>0</v>
      </c>
      <c r="Y75" s="64" t="str">
        <f>IFERROR(INDEX(입력!$M$2:$M$500, MATCH($BO75, 입력!$Z$2:$Z$500, 0)) &amp; "", "")</f>
        <v/>
      </c>
      <c r="Z75" s="64" t="str">
        <f>IFERROR(INDEX(입력!$N$2:$N$500, MATCH($BO75, 입력!$Z$2:$Z$500, 0)) &amp; "", "")</f>
        <v/>
      </c>
      <c r="AA75" s="64">
        <f>MAX(0, 표1[[#This Row],[의무_시설]]-표1[[#This Row],[시설합]])</f>
        <v>8</v>
      </c>
      <c r="AB75" s="17" t="str">
        <f t="shared" si="15"/>
        <v>미이행</v>
      </c>
      <c r="AC75" s="64" t="str">
        <f>IFERROR(INDEX(입력!$P$2:$P$500, MATCH($BO75, 입력!$Z$2:$Z$500, 0)) &amp; "", "")</f>
        <v/>
      </c>
      <c r="AD75" s="64" t="str">
        <f>IFERROR(INDEX(입력!$Q$2:$Q$500, MATCH($BO75, 입력!$Z$2:$Z$500, 0)) &amp; "", "")</f>
        <v/>
      </c>
      <c r="AE75" s="64" t="str">
        <f>IFERROR(INDEX(입력!$R$2:$R$500, MATCH($BO75, 입력!$Z$2:$Z$500, 0)) &amp; "", "")</f>
        <v/>
      </c>
      <c r="AF75" s="64" t="str">
        <f>IFERROR(INDEX(입력!$S$2:$S$500, MATCH($BO75, 입력!$Z$2:$Z$500, 0)) &amp; "", "")</f>
        <v/>
      </c>
      <c r="AG75" s="64" t="str">
        <f>IFERROR(INDEX(입력!$T$2:$T$500, MATCH($BO75, 입력!$Z$2:$Z$500, 0)) &amp; "", "")</f>
        <v/>
      </c>
      <c r="AH75" s="64" t="str">
        <f>IFERROR(INDEX(입력!$U$2:$U$500, MATCH($BO75, 입력!$Z$2:$Z$500, 0)) &amp; "", "")</f>
        <v/>
      </c>
      <c r="AI75" s="64" t="str">
        <f>IFERROR(INDEX(입력!$V$2:$V$500, MATCH($BO75, 입력!$Z$2:$Z$500, 0)) &amp; "", "")</f>
        <v>여</v>
      </c>
      <c r="AJ75" s="44" t="str">
        <f>IFERROR(INDEX(입력!$W$2:$W$500, MATCH($BO75, 입력!$Z$2:$Z$500, 0)) &amp; "", "")</f>
        <v>김수환</v>
      </c>
      <c r="AK75" s="44" t="str">
        <f>IFERROR(INDEX(입력!$X$2:$X$500, MATCH($BO75, 입력!$Z$2:$Z$500, 0)) &amp; "", "")</f>
        <v>010-3698-4255</v>
      </c>
      <c r="AL75" s="2"/>
      <c r="AM75" s="17" t="s">
        <v>1179</v>
      </c>
      <c r="AN75" s="113">
        <v>46062</v>
      </c>
      <c r="AO75" s="17" t="s">
        <v>1059</v>
      </c>
      <c r="AP75" s="101" t="s">
        <v>1324</v>
      </c>
      <c r="AQ75" s="108"/>
      <c r="AR75" s="22"/>
      <c r="AS75" s="114" t="s">
        <v>3163</v>
      </c>
      <c r="AT75" s="109">
        <v>46104</v>
      </c>
      <c r="AU75" s="101" t="s">
        <v>3141</v>
      </c>
      <c r="AV75" s="114" t="s">
        <v>3201</v>
      </c>
      <c r="AW75" s="101"/>
      <c r="AX75" s="101"/>
      <c r="AY75" s="83" t="s">
        <v>3132</v>
      </c>
      <c r="AZ75" s="71" t="str">
        <f>IFERROR(IF(INDEX(입력!$C$2:$C$500, MATCH($BO75, 입력!$Z$2:$Z$500, 0))="", "", TEXT(INDEX(입력!$C$2:$C$500, MATCH($BO75, 입력!$Z$2:$Z$500, 0)), "yyyy-mm-dd")), "")</f>
        <v>2026-04-17</v>
      </c>
      <c r="BA75" s="44" t="str">
        <f>IFERROR(INDEX(입력!$B$2:$B$500, MATCH($BO75, 입력!$Z$2:$Z$500, 0)) &amp; "", "")</f>
        <v>이승수</v>
      </c>
      <c r="BB75" s="83" t="str">
        <f>IFERROR(INDEX(입력!$Y$2:$Y$500, MATCH($BO75, 입력!$Z$2:$Z$500, 0)) &amp; "", "")</f>
        <v>화재예방 및 지상공간 없음.</v>
      </c>
      <c r="BC75" s="83" t="s">
        <v>3149</v>
      </c>
      <c r="BD75" s="83"/>
      <c r="BE75" s="101" t="s">
        <v>1179</v>
      </c>
      <c r="BF75" s="109">
        <v>46164</v>
      </c>
      <c r="BG75" s="101" t="s">
        <v>1059</v>
      </c>
      <c r="BH75" s="101" t="s">
        <v>3955</v>
      </c>
      <c r="BI75" s="101" t="s">
        <v>3961</v>
      </c>
      <c r="BJ75" s="101"/>
      <c r="BK75" s="110" t="s">
        <v>3975</v>
      </c>
      <c r="BL75" s="21"/>
      <c r="BM75" s="22"/>
      <c r="BN75" s="23"/>
      <c r="BO75" s="47" t="s">
        <v>272</v>
      </c>
    </row>
    <row r="76" spans="1:67" x14ac:dyDescent="0.45">
      <c r="A76" s="46">
        <v>75</v>
      </c>
      <c r="B76" s="1" t="s">
        <v>1175</v>
      </c>
      <c r="C76" s="17" t="str">
        <f t="shared" si="11"/>
        <v>이행완료</v>
      </c>
      <c r="D76" s="17" t="str">
        <f t="shared" si="12"/>
        <v>조사완료</v>
      </c>
      <c r="E76" s="141" t="s">
        <v>1325</v>
      </c>
      <c r="F76" s="3" t="s">
        <v>273</v>
      </c>
      <c r="G76" s="8" t="s">
        <v>1326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3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MATCH($BO76, 입력!$Z$2:$Z$500, 0)) &amp; "", "")</f>
        <v/>
      </c>
      <c r="S76" s="64" t="str">
        <f>IFERROR(INDEX(입력!$K$2:$K$500, MATCH($BO76,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4"/>
        <v>9</v>
      </c>
      <c r="W76" s="1">
        <f t="shared" si="10"/>
        <v>1</v>
      </c>
      <c r="X76" s="1">
        <v>21</v>
      </c>
      <c r="Y76" s="64" t="str">
        <f>IFERROR(INDEX(입력!$M$2:$M$500, MATCH($BO76, 입력!$Z$2:$Z$500, 0)) &amp; "", "")</f>
        <v/>
      </c>
      <c r="Z76" s="64" t="str">
        <f>IFERROR(INDEX(입력!$N$2:$N$500, MATCH($BO76, 입력!$Z$2:$Z$500, 0)) &amp; "", "")</f>
        <v>21</v>
      </c>
      <c r="AA76" s="64">
        <f>MAX(0, 표1[[#This Row],[의무_시설]]-표1[[#This Row],[시설합]])</f>
        <v>0</v>
      </c>
      <c r="AB76" s="17" t="str">
        <f t="shared" si="15"/>
        <v>이행완료</v>
      </c>
      <c r="AC76" s="64" t="str">
        <f>IFERROR(INDEX(입력!$P$2:$P$500, MATCH($BO76, 입력!$Z$2:$Z$500, 0)) &amp; "", "")</f>
        <v/>
      </c>
      <c r="AD76" s="64" t="str">
        <f>IFERROR(INDEX(입력!$Q$2:$Q$500, MATCH($BO76, 입력!$Z$2:$Z$500, 0)) &amp; "", "")</f>
        <v/>
      </c>
      <c r="AE76" s="64" t="str">
        <f>IFERROR(INDEX(입력!$R$2:$R$500, MATCH($BO76, 입력!$Z$2:$Z$500, 0)) &amp; "", "")</f>
        <v>여</v>
      </c>
      <c r="AF76" s="64" t="str">
        <f>IFERROR(INDEX(입력!$S$2:$S$500, MATCH($BO76, 입력!$Z$2:$Z$500, 0)) &amp; "", "")</f>
        <v>여</v>
      </c>
      <c r="AG76" s="64" t="str">
        <f>IFERROR(INDEX(입력!$T$2:$T$500, MATCH($BO76, 입력!$Z$2:$Z$500, 0)) &amp; "", "")</f>
        <v/>
      </c>
      <c r="AH76" s="64" t="str">
        <f>IFERROR(INDEX(입력!$U$2:$U$500, MATCH($BO76, 입력!$Z$2:$Z$500, 0)) &amp; "", "")</f>
        <v/>
      </c>
      <c r="AI76" s="64" t="str">
        <f>IFERROR(INDEX(입력!$V$2:$V$500, MATCH($BO76, 입력!$Z$2:$Z$500, 0)) &amp; "", "")</f>
        <v>여</v>
      </c>
      <c r="AJ76" s="44" t="str">
        <f>IFERROR(INDEX(입력!$W$2:$W$500, MATCH($BO76, 입력!$Z$2:$Z$500, 0)) &amp; "", "")</f>
        <v>김원록</v>
      </c>
      <c r="AK76" s="44" t="str">
        <f>IFERROR(INDEX(입력!$X$2:$X$500, MATCH($BO76, 입력!$Z$2:$Z$500, 0)) &amp; "", "")</f>
        <v>010-9019-4223</v>
      </c>
      <c r="AL76" s="2"/>
      <c r="AM76" s="17" t="s">
        <v>1251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3137</v>
      </c>
      <c r="AZ76" s="71" t="str">
        <f>IFERROR(IF(INDEX(입력!$C$2:$C$500, MATCH($BO76, 입력!$Z$2:$Z$500, 0))="", "", TEXT(INDEX(입력!$C$2:$C$500, MATCH($BO76, 입력!$Z$2:$Z$500, 0)), "yyyy-mm-dd")), "")</f>
        <v>2026-04-29</v>
      </c>
      <c r="BA76" s="44" t="str">
        <f>IFERROR(INDEX(입력!$B$2:$B$500, MATCH($BO76, 입력!$Z$2:$Z$500, 0)) &amp; "", "")</f>
        <v>노기섭</v>
      </c>
      <c r="BB76" s="83" t="str">
        <f>IFERROR(INDEX(입력!$Y$2:$Y$500, MATCH($BO76, 입력!$Z$2:$Z$500, 0)) &amp; "", "")</f>
        <v>의무설치수량보다 과다설치</v>
      </c>
      <c r="BC76" s="83" t="s">
        <v>3112</v>
      </c>
      <c r="BD76" s="83"/>
      <c r="BE76" s="101"/>
      <c r="BF76" s="101"/>
      <c r="BG76" s="101"/>
      <c r="BH76" s="101"/>
      <c r="BI76" s="101"/>
      <c r="BJ76" s="101"/>
      <c r="BK76" s="110"/>
      <c r="BL76" s="21"/>
      <c r="BM76" s="22"/>
      <c r="BN76" s="23"/>
      <c r="BO76" s="47" t="s">
        <v>274</v>
      </c>
    </row>
    <row r="77" spans="1:67" x14ac:dyDescent="0.45">
      <c r="A77" s="19">
        <v>76</v>
      </c>
      <c r="B77" s="1" t="s">
        <v>1175</v>
      </c>
      <c r="C77" s="17" t="str">
        <f t="shared" si="11"/>
        <v>이행완료</v>
      </c>
      <c r="D77" s="17" t="str">
        <f t="shared" si="12"/>
        <v>조사완료</v>
      </c>
      <c r="E77" s="3" t="s">
        <v>1327</v>
      </c>
      <c r="F77" s="3" t="s">
        <v>275</v>
      </c>
      <c r="G77" s="3" t="s">
        <v>1328</v>
      </c>
      <c r="H77" s="18" t="s">
        <v>1202</v>
      </c>
      <c r="I77" s="19">
        <v>54</v>
      </c>
      <c r="J77" s="2"/>
      <c r="K77" s="20">
        <v>40007</v>
      </c>
      <c r="L77" s="20"/>
      <c r="M77" s="17" t="str">
        <f t="shared" si="13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MATCH($BO77, 입력!$Z$2:$Z$500, 0)) &amp; "", "")</f>
        <v>1</v>
      </c>
      <c r="S77" s="64" t="str">
        <f>IFERROR(INDEX(입력!$K$2:$K$500, MATCH($BO77,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4"/>
        <v>1</v>
      </c>
      <c r="W77" s="1" t="str">
        <f t="shared" si="10"/>
        <v/>
      </c>
      <c r="X77" s="1">
        <v>1</v>
      </c>
      <c r="Y77" s="64" t="str">
        <f>IFERROR(INDEX(입력!$M$2:$M$500, MATCH($BO77, 입력!$Z$2:$Z$500, 0)) &amp; "", "")</f>
        <v/>
      </c>
      <c r="Z77" s="64" t="str">
        <f>IFERROR(INDEX(입력!$N$2:$N$500, MATCH($BO77, 입력!$Z$2:$Z$500, 0)) &amp; "", "")</f>
        <v>1</v>
      </c>
      <c r="AA77" s="64">
        <f>MAX(0, 표1[[#This Row],[의무_시설]]-표1[[#This Row],[시설합]])</f>
        <v>0</v>
      </c>
      <c r="AB77" s="17" t="str">
        <f t="shared" si="15"/>
        <v>이행완료</v>
      </c>
      <c r="AC77" s="64" t="str">
        <f>IFERROR(INDEX(입력!$P$2:$P$500, MATCH($BO77, 입력!$Z$2:$Z$500, 0)) &amp; "", "")</f>
        <v/>
      </c>
      <c r="AD77" s="64" t="str">
        <f>IFERROR(INDEX(입력!$Q$2:$Q$500, MATCH($BO77, 입력!$Z$2:$Z$500, 0)) &amp; "", "")</f>
        <v/>
      </c>
      <c r="AE77" s="64" t="str">
        <f>IFERROR(INDEX(입력!$R$2:$R$500, MATCH($BO77, 입력!$Z$2:$Z$500, 0)) &amp; "", "")</f>
        <v>여</v>
      </c>
      <c r="AF77" s="64" t="str">
        <f>IFERROR(INDEX(입력!$S$2:$S$500, MATCH($BO77, 입력!$Z$2:$Z$500, 0)) &amp; "", "")</f>
        <v>여</v>
      </c>
      <c r="AG77" s="64" t="str">
        <f>IFERROR(INDEX(입력!$T$2:$T$500, MATCH($BO77, 입력!$Z$2:$Z$500, 0)) &amp; "", "")</f>
        <v/>
      </c>
      <c r="AH77" s="64" t="str">
        <f>IFERROR(INDEX(입력!$U$2:$U$500, MATCH($BO77, 입력!$Z$2:$Z$500, 0)) &amp; "", "")</f>
        <v/>
      </c>
      <c r="AI77" s="64" t="str">
        <f>IFERROR(INDEX(입력!$V$2:$V$500, MATCH($BO77, 입력!$Z$2:$Z$500, 0)) &amp; "", "")</f>
        <v>여</v>
      </c>
      <c r="AJ77" s="44" t="str">
        <f>IFERROR(INDEX(입력!$W$2:$W$500, MATCH($BO77, 입력!$Z$2:$Z$500, 0)) &amp; "", "")</f>
        <v>진성욱</v>
      </c>
      <c r="AK77" s="44" t="str">
        <f>IFERROR(INDEX(입력!$X$2:$X$500, MATCH($BO77, 입력!$Z$2:$Z$500, 0)) &amp; "", "")</f>
        <v>010-5294-6796</v>
      </c>
      <c r="AL77" s="2" t="s">
        <v>1329</v>
      </c>
      <c r="AM77" s="17" t="s">
        <v>1251</v>
      </c>
      <c r="AN77" s="83"/>
      <c r="AO77" s="17" t="s">
        <v>1059</v>
      </c>
      <c r="AP77" s="2" t="s">
        <v>1330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3137</v>
      </c>
      <c r="AZ77" s="71" t="str">
        <f>IFERROR(IF(INDEX(입력!$C$2:$C$500, MATCH($BO77, 입력!$Z$2:$Z$500, 0))="", "", TEXT(INDEX(입력!$C$2:$C$500, MATCH($BO77, 입력!$Z$2:$Z$500, 0)), "yyyy-mm-dd")), "")</f>
        <v>2026-04-29</v>
      </c>
      <c r="BA77" s="44" t="str">
        <f>IFERROR(INDEX(입력!$B$2:$B$500, MATCH($BO77, 입력!$Z$2:$Z$500, 0)) &amp; "", "")</f>
        <v>정은진</v>
      </c>
      <c r="BB77" s="83" t="str">
        <f>IFERROR(INDEX(입력!$Y$2:$Y$500, MATCH($BO77, 입력!$Z$2:$Z$500, 0)) &amp; "", "")</f>
        <v/>
      </c>
      <c r="BC77" s="83" t="s">
        <v>3112</v>
      </c>
      <c r="BD77" s="83"/>
      <c r="BE77" s="101"/>
      <c r="BF77" s="101"/>
      <c r="BG77" s="101"/>
      <c r="BH77" s="101"/>
      <c r="BI77" s="101"/>
      <c r="BJ77" s="101"/>
      <c r="BK77" s="110"/>
      <c r="BL77" s="21"/>
      <c r="BM77" s="22"/>
      <c r="BN77" s="23"/>
      <c r="BO77" s="47" t="s">
        <v>276</v>
      </c>
    </row>
    <row r="78" spans="1:67" x14ac:dyDescent="0.45">
      <c r="A78" s="46">
        <v>77</v>
      </c>
      <c r="B78" s="1" t="s">
        <v>1175</v>
      </c>
      <c r="C78" s="17" t="str">
        <f t="shared" si="11"/>
        <v>이행완료</v>
      </c>
      <c r="D78" s="17" t="str">
        <f t="shared" si="12"/>
        <v>조사완료</v>
      </c>
      <c r="E78" s="3" t="s">
        <v>1331</v>
      </c>
      <c r="F78" s="3" t="s">
        <v>277</v>
      </c>
      <c r="G78" s="8" t="s">
        <v>1332</v>
      </c>
      <c r="H78" s="18" t="s">
        <v>1172</v>
      </c>
      <c r="I78" s="19">
        <v>153</v>
      </c>
      <c r="J78" s="2"/>
      <c r="K78" s="20">
        <v>37796</v>
      </c>
      <c r="L78" s="20"/>
      <c r="M78" s="17" t="str">
        <f t="shared" si="13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MATCH($BO78, 입력!$Z$2:$Z$500, 0)) &amp; "", "")</f>
        <v/>
      </c>
      <c r="S78" s="64" t="str">
        <f>IFERROR(INDEX(입력!$K$2:$K$500, MATCH($BO78,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4"/>
        <v>3</v>
      </c>
      <c r="W78" s="1" t="str">
        <f t="shared" si="10"/>
        <v/>
      </c>
      <c r="X78" s="1">
        <v>3</v>
      </c>
      <c r="Y78" s="64" t="str">
        <f>IFERROR(INDEX(입력!$M$2:$M$500, MATCH($BO78, 입력!$Z$2:$Z$500, 0)) &amp; "", "")</f>
        <v/>
      </c>
      <c r="Z78" s="64" t="str">
        <f>IFERROR(INDEX(입력!$N$2:$N$500, MATCH($BO78, 입력!$Z$2:$Z$500, 0)) &amp; "", "")</f>
        <v>3</v>
      </c>
      <c r="AA78" s="64">
        <f>MAX(0, 표1[[#This Row],[의무_시설]]-표1[[#This Row],[시설합]])</f>
        <v>0</v>
      </c>
      <c r="AB78" s="17" t="str">
        <f t="shared" si="15"/>
        <v>이행완료</v>
      </c>
      <c r="AC78" s="64" t="str">
        <f>IFERROR(INDEX(입력!$P$2:$P$500, MATCH($BO78, 입력!$Z$2:$Z$500, 0)) &amp; "", "")</f>
        <v/>
      </c>
      <c r="AD78" s="64" t="str">
        <f>IFERROR(INDEX(입력!$Q$2:$Q$500, MATCH($BO78, 입력!$Z$2:$Z$500, 0)) &amp; "", "")</f>
        <v/>
      </c>
      <c r="AE78" s="64" t="str">
        <f>IFERROR(INDEX(입력!$R$2:$R$500, MATCH($BO78, 입력!$Z$2:$Z$500, 0)) &amp; "", "")</f>
        <v>여</v>
      </c>
      <c r="AF78" s="64" t="str">
        <f>IFERROR(INDEX(입력!$S$2:$S$500, MATCH($BO78, 입력!$Z$2:$Z$500, 0)) &amp; "", "")</f>
        <v>여</v>
      </c>
      <c r="AG78" s="64" t="str">
        <f>IFERROR(INDEX(입력!$T$2:$T$500, MATCH($BO78, 입력!$Z$2:$Z$500, 0)) &amp; "", "")</f>
        <v/>
      </c>
      <c r="AH78" s="64" t="str">
        <f>IFERROR(INDEX(입력!$U$2:$U$500, MATCH($BO78, 입력!$Z$2:$Z$500, 0)) &amp; "", "")</f>
        <v/>
      </c>
      <c r="AI78" s="64" t="str">
        <f>IFERROR(INDEX(입력!$V$2:$V$500, MATCH($BO78, 입력!$Z$2:$Z$500, 0)) &amp; "", "")</f>
        <v>여</v>
      </c>
      <c r="AJ78" s="44" t="str">
        <f>IFERROR(INDEX(입력!$W$2:$W$500, MATCH($BO78, 입력!$Z$2:$Z$500, 0)) &amp; "", "")</f>
        <v>신현용</v>
      </c>
      <c r="AK78" s="44" t="str">
        <f>IFERROR(INDEX(입력!$X$2:$X$500, MATCH($BO78, 입력!$Z$2:$Z$500, 0)) &amp; "", "")</f>
        <v>010-2629-6900</v>
      </c>
      <c r="AL78" s="2"/>
      <c r="AM78" s="17" t="s">
        <v>1251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3132</v>
      </c>
      <c r="AZ78" s="71" t="str">
        <f>IFERROR(IF(INDEX(입력!$C$2:$C$500, MATCH($BO78, 입력!$Z$2:$Z$500, 0))="", "", TEXT(INDEX(입력!$C$2:$C$500, MATCH($BO78, 입력!$Z$2:$Z$500, 0)), "yyyy-mm-dd")), "")</f>
        <v>2026-04-29</v>
      </c>
      <c r="BA78" s="44" t="str">
        <f>IFERROR(INDEX(입력!$B$2:$B$500, MATCH($BO78, 입력!$Z$2:$Z$500, 0)) &amp; "", "")</f>
        <v>이승수</v>
      </c>
      <c r="BB78" s="83" t="str">
        <f>IFERROR(INDEX(입력!$Y$2:$Y$500, MATCH($BO78, 입력!$Z$2:$Z$500, 0)) &amp; "", "")</f>
        <v/>
      </c>
      <c r="BC78" s="83" t="s">
        <v>3112</v>
      </c>
      <c r="BD78" s="83"/>
      <c r="BE78" s="101"/>
      <c r="BF78" s="101"/>
      <c r="BG78" s="101"/>
      <c r="BH78" s="101"/>
      <c r="BI78" s="101"/>
      <c r="BJ78" s="101"/>
      <c r="BK78" s="110"/>
      <c r="BL78" s="21"/>
      <c r="BM78" s="22"/>
      <c r="BN78" s="23"/>
      <c r="BO78" s="47" t="s">
        <v>278</v>
      </c>
    </row>
    <row r="79" spans="1:67" x14ac:dyDescent="0.45">
      <c r="A79" s="19">
        <v>78</v>
      </c>
      <c r="B79" s="1" t="s">
        <v>1175</v>
      </c>
      <c r="C79" s="17" t="str">
        <f t="shared" si="11"/>
        <v>이행완료</v>
      </c>
      <c r="D79" s="17" t="str">
        <f t="shared" si="12"/>
        <v>조사완료</v>
      </c>
      <c r="E79" s="3" t="s">
        <v>1333</v>
      </c>
      <c r="F79" s="3" t="s">
        <v>279</v>
      </c>
      <c r="G79" s="3" t="s">
        <v>1334</v>
      </c>
      <c r="H79" s="18" t="s">
        <v>1335</v>
      </c>
      <c r="I79" s="19">
        <v>55</v>
      </c>
      <c r="J79" s="2"/>
      <c r="K79" s="20">
        <v>40063</v>
      </c>
      <c r="L79" s="20"/>
      <c r="M79" s="17" t="str">
        <f t="shared" si="13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MATCH($BO79, 입력!$Z$2:$Z$500, 0)) &amp; "", "")</f>
        <v/>
      </c>
      <c r="S79" s="64" t="str">
        <f>IFERROR(INDEX(입력!$K$2:$K$500, MATCH($BO79,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4"/>
        <v>1</v>
      </c>
      <c r="W79" s="1" t="str">
        <f t="shared" si="10"/>
        <v/>
      </c>
      <c r="X79" s="1">
        <v>3</v>
      </c>
      <c r="Y79" s="64" t="str">
        <f>IFERROR(INDEX(입력!$M$2:$M$500, MATCH($BO79, 입력!$Z$2:$Z$500, 0)) &amp; "", "")</f>
        <v/>
      </c>
      <c r="Z79" s="64" t="str">
        <f>IFERROR(INDEX(입력!$N$2:$N$500, MATCH($BO79, 입력!$Z$2:$Z$500, 0)) &amp; "", "")</f>
        <v>3</v>
      </c>
      <c r="AA79" s="64">
        <f>MAX(0, 표1[[#This Row],[의무_시설]]-표1[[#This Row],[시설합]])</f>
        <v>0</v>
      </c>
      <c r="AB79" s="17" t="str">
        <f t="shared" si="15"/>
        <v>이행완료</v>
      </c>
      <c r="AC79" s="64" t="str">
        <f>IFERROR(INDEX(입력!$P$2:$P$500, MATCH($BO79, 입력!$Z$2:$Z$500, 0)) &amp; "", "")</f>
        <v/>
      </c>
      <c r="AD79" s="64" t="str">
        <f>IFERROR(INDEX(입력!$Q$2:$Q$500, MATCH($BO79, 입력!$Z$2:$Z$500, 0)) &amp; "", "")</f>
        <v/>
      </c>
      <c r="AE79" s="64" t="str">
        <f>IFERROR(INDEX(입력!$R$2:$R$500, MATCH($BO79, 입력!$Z$2:$Z$500, 0)) &amp; "", "")</f>
        <v>여</v>
      </c>
      <c r="AF79" s="64" t="str">
        <f>IFERROR(INDEX(입력!$S$2:$S$500, MATCH($BO79, 입력!$Z$2:$Z$500, 0)) &amp; "", "")</f>
        <v>여</v>
      </c>
      <c r="AG79" s="64" t="str">
        <f>IFERROR(INDEX(입력!$T$2:$T$500, MATCH($BO79, 입력!$Z$2:$Z$500, 0)) &amp; "", "")</f>
        <v/>
      </c>
      <c r="AH79" s="64" t="str">
        <f>IFERROR(INDEX(입력!$U$2:$U$500, MATCH($BO79, 입력!$Z$2:$Z$500, 0)) &amp; "", "")</f>
        <v/>
      </c>
      <c r="AI79" s="64" t="str">
        <f>IFERROR(INDEX(입력!$V$2:$V$500, MATCH($BO79, 입력!$Z$2:$Z$500, 0)) &amp; "", "")</f>
        <v>여</v>
      </c>
      <c r="AJ79" s="44" t="str">
        <f>IFERROR(INDEX(입력!$W$2:$W$500, MATCH($BO79, 입력!$Z$2:$Z$500, 0)) &amp; "", "")</f>
        <v>박영선</v>
      </c>
      <c r="AK79" s="44" t="str">
        <f>IFERROR(INDEX(입력!$X$2:$X$500, MATCH($BO79, 입력!$Z$2:$Z$500, 0)) &amp; "", "")</f>
        <v>010-3179-3268</v>
      </c>
      <c r="AL79" s="2"/>
      <c r="AM79" s="17" t="s">
        <v>1251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3131</v>
      </c>
      <c r="AZ79" s="71" t="str">
        <f>IFERROR(IF(INDEX(입력!$C$2:$C$500, MATCH($BO79, 입력!$Z$2:$Z$500, 0))="", "", TEXT(INDEX(입력!$C$2:$C$500, MATCH($BO79, 입력!$Z$2:$Z$500, 0)), "yyyy-mm-dd")), "")</f>
        <v>2026-05-08</v>
      </c>
      <c r="BA79" s="44" t="str">
        <f>IFERROR(INDEX(입력!$B$2:$B$500, MATCH($BO79, 입력!$Z$2:$Z$500, 0)) &amp; "", "")</f>
        <v>정은진</v>
      </c>
      <c r="BB79" s="83" t="str">
        <f>IFERROR(INDEX(입력!$Y$2:$Y$500, MATCH($BO79, 입력!$Z$2:$Z$500, 0)) &amp; "", "")</f>
        <v/>
      </c>
      <c r="BC79" s="83" t="s">
        <v>3112</v>
      </c>
      <c r="BD79" s="83"/>
      <c r="BE79" s="101"/>
      <c r="BF79" s="101"/>
      <c r="BG79" s="101"/>
      <c r="BH79" s="101"/>
      <c r="BI79" s="101"/>
      <c r="BJ79" s="101"/>
      <c r="BK79" s="110"/>
      <c r="BL79" s="21"/>
      <c r="BM79" s="22"/>
      <c r="BN79" s="23"/>
      <c r="BO79" s="47" t="s">
        <v>280</v>
      </c>
    </row>
    <row r="80" spans="1:67" x14ac:dyDescent="0.45">
      <c r="A80" s="46">
        <v>79</v>
      </c>
      <c r="B80" s="1" t="s">
        <v>1175</v>
      </c>
      <c r="C80" s="17" t="str">
        <f t="shared" si="11"/>
        <v>미이행</v>
      </c>
      <c r="D80" s="17" t="str">
        <f t="shared" si="12"/>
        <v>조사완료</v>
      </c>
      <c r="E80" s="3" t="s">
        <v>1336</v>
      </c>
      <c r="F80" s="3" t="s">
        <v>281</v>
      </c>
      <c r="G80" s="8" t="s">
        <v>1337</v>
      </c>
      <c r="H80" s="18" t="s">
        <v>1202</v>
      </c>
      <c r="I80" s="19">
        <v>56</v>
      </c>
      <c r="J80" s="2"/>
      <c r="K80" s="20">
        <v>40483</v>
      </c>
      <c r="L80" s="20"/>
      <c r="M80" s="17" t="str">
        <f t="shared" si="13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MATCH($BO80, 입력!$Z$2:$Z$500, 0)) &amp; "", "")</f>
        <v/>
      </c>
      <c r="S80" s="64" t="str">
        <f>IFERROR(INDEX(입력!$K$2:$K$500, MATCH($BO80,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4"/>
        <v>1</v>
      </c>
      <c r="W80" s="1" t="str">
        <f t="shared" si="10"/>
        <v/>
      </c>
      <c r="X80" s="1">
        <v>0</v>
      </c>
      <c r="Y80" s="64" t="str">
        <f>IFERROR(INDEX(입력!$M$2:$M$500, MATCH($BO80, 입력!$Z$2:$Z$500, 0)) &amp; "", "")</f>
        <v/>
      </c>
      <c r="Z80" s="64" t="str">
        <f>IFERROR(INDEX(입력!$N$2:$N$500, MATCH($BO80, 입력!$Z$2:$Z$500, 0)) &amp; "", "")</f>
        <v/>
      </c>
      <c r="AA80" s="64">
        <f>MAX(0, 표1[[#This Row],[의무_시설]]-표1[[#This Row],[시설합]])</f>
        <v>1</v>
      </c>
      <c r="AB80" s="17" t="str">
        <f t="shared" si="15"/>
        <v>미이행</v>
      </c>
      <c r="AC80" s="64" t="str">
        <f>IFERROR(INDEX(입력!$P$2:$P$500, MATCH($BO80, 입력!$Z$2:$Z$500, 0)) &amp; "", "")</f>
        <v/>
      </c>
      <c r="AD80" s="64" t="str">
        <f>IFERROR(INDEX(입력!$Q$2:$Q$500, MATCH($BO80, 입력!$Z$2:$Z$500, 0)) &amp; "", "")</f>
        <v/>
      </c>
      <c r="AE80" s="64" t="str">
        <f>IFERROR(INDEX(입력!$R$2:$R$500, MATCH($BO80, 입력!$Z$2:$Z$500, 0)) &amp; "", "")</f>
        <v/>
      </c>
      <c r="AF80" s="64" t="str">
        <f>IFERROR(INDEX(입력!$S$2:$S$500, MATCH($BO80, 입력!$Z$2:$Z$500, 0)) &amp; "", "")</f>
        <v/>
      </c>
      <c r="AG80" s="64" t="str">
        <f>IFERROR(INDEX(입력!$T$2:$T$500, MATCH($BO80, 입력!$Z$2:$Z$500, 0)) &amp; "", "")</f>
        <v/>
      </c>
      <c r="AH80" s="64" t="str">
        <f>IFERROR(INDEX(입력!$U$2:$U$500, MATCH($BO80, 입력!$Z$2:$Z$500, 0)) &amp; "", "")</f>
        <v/>
      </c>
      <c r="AI80" s="64" t="str">
        <f>IFERROR(INDEX(입력!$V$2:$V$500, MATCH($BO80, 입력!$Z$2:$Z$500, 0)) &amp; "", "")</f>
        <v>여</v>
      </c>
      <c r="AJ80" s="44" t="str">
        <f>IFERROR(INDEX(입력!$W$2:$W$500, MATCH($BO80, 입력!$Z$2:$Z$500, 0)) &amp; "", "")</f>
        <v>조현종</v>
      </c>
      <c r="AK80" s="44" t="str">
        <f>IFERROR(INDEX(입력!$X$2:$X$500, MATCH($BO80, 입력!$Z$2:$Z$500, 0)) &amp; "", "")</f>
        <v>010-9474-1553</v>
      </c>
      <c r="AL80" s="2" t="s">
        <v>1338</v>
      </c>
      <c r="AM80" s="17" t="s">
        <v>1060</v>
      </c>
      <c r="AN80" s="83"/>
      <c r="AO80" s="17" t="s">
        <v>1059</v>
      </c>
      <c r="AP80" s="101" t="s">
        <v>1339</v>
      </c>
      <c r="AQ80" s="108"/>
      <c r="AR80" s="22" t="s">
        <v>1340</v>
      </c>
      <c r="AS80" s="114" t="s">
        <v>3163</v>
      </c>
      <c r="AT80" s="109">
        <v>46104</v>
      </c>
      <c r="AU80" s="101" t="s">
        <v>3141</v>
      </c>
      <c r="AV80" s="114" t="s">
        <v>3186</v>
      </c>
      <c r="AW80" s="101"/>
      <c r="AX80" s="101"/>
      <c r="AY80" s="83" t="s">
        <v>3132</v>
      </c>
      <c r="AZ80" s="71" t="str">
        <f>IFERROR(IF(INDEX(입력!$C$2:$C$500, MATCH($BO80, 입력!$Z$2:$Z$500, 0))="", "", TEXT(INDEX(입력!$C$2:$C$500, MATCH($BO80, 입력!$Z$2:$Z$500, 0)), "yyyy-mm-dd")), "")</f>
        <v>2026-04-17</v>
      </c>
      <c r="BA80" s="44" t="str">
        <f>IFERROR(INDEX(입력!$B$2:$B$500, MATCH($BO80, 입력!$Z$2:$Z$500, 0)) &amp; "", "")</f>
        <v>정은진</v>
      </c>
      <c r="BB80" s="83" t="str">
        <f>IFERROR(INDEX(입력!$Y$2:$Y$500, MATCH($BO80, 입력!$Z$2:$Z$500, 0)) &amp; "", "")</f>
        <v>업체 선정 어려움. 올해안 계획중.</v>
      </c>
      <c r="BC80" s="83" t="s">
        <v>3169</v>
      </c>
      <c r="BD80" s="83"/>
      <c r="BE80" s="101" t="s">
        <v>1179</v>
      </c>
      <c r="BF80" s="109">
        <v>46164</v>
      </c>
      <c r="BG80" s="101" t="s">
        <v>1059</v>
      </c>
      <c r="BH80" s="101" t="s">
        <v>3955</v>
      </c>
      <c r="BI80" s="101" t="s">
        <v>3962</v>
      </c>
      <c r="BJ80" s="101"/>
      <c r="BK80" s="110" t="s">
        <v>3985</v>
      </c>
      <c r="BL80" s="21"/>
      <c r="BM80" s="22"/>
      <c r="BN80" s="23"/>
      <c r="BO80" s="47" t="s">
        <v>282</v>
      </c>
    </row>
    <row r="81" spans="1:67" x14ac:dyDescent="0.45">
      <c r="A81" s="19">
        <v>80</v>
      </c>
      <c r="B81" s="1" t="s">
        <v>1175</v>
      </c>
      <c r="C81" s="17" t="str">
        <f t="shared" si="11"/>
        <v>미이행</v>
      </c>
      <c r="D81" s="17" t="str">
        <f t="shared" si="12"/>
        <v>조사완료</v>
      </c>
      <c r="E81" s="3" t="s">
        <v>1341</v>
      </c>
      <c r="F81" s="3" t="s">
        <v>283</v>
      </c>
      <c r="G81" s="3" t="s">
        <v>3988</v>
      </c>
      <c r="H81" s="18" t="s">
        <v>1202</v>
      </c>
      <c r="I81" s="19">
        <v>63</v>
      </c>
      <c r="J81" s="2"/>
      <c r="K81" s="20">
        <v>39527</v>
      </c>
      <c r="L81" s="20"/>
      <c r="M81" s="17" t="str">
        <f t="shared" si="13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MATCH($BO81, 입력!$Z$2:$Z$500, 0)) &amp; "", "")</f>
        <v/>
      </c>
      <c r="S81" s="64" t="str">
        <f>IFERROR(INDEX(입력!$K$2:$K$500, MATCH($BO81,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4"/>
        <v>1</v>
      </c>
      <c r="W81" s="1" t="str">
        <f t="shared" si="10"/>
        <v/>
      </c>
      <c r="X81" s="1">
        <v>0</v>
      </c>
      <c r="Y81" s="64" t="str">
        <f>IFERROR(INDEX(입력!$M$2:$M$500, MATCH($BO81, 입력!$Z$2:$Z$500, 0)) &amp; "", "")</f>
        <v/>
      </c>
      <c r="Z81" s="64" t="str">
        <f>IFERROR(INDEX(입력!$N$2:$N$500, MATCH($BO81, 입력!$Z$2:$Z$500, 0)) &amp; "", "")</f>
        <v/>
      </c>
      <c r="AA81" s="64">
        <f>MAX(0, 표1[[#This Row],[의무_시설]]-표1[[#This Row],[시설합]])</f>
        <v>1</v>
      </c>
      <c r="AB81" s="17" t="str">
        <f t="shared" si="15"/>
        <v>미이행</v>
      </c>
      <c r="AC81" s="64" t="str">
        <f>IFERROR(INDEX(입력!$P$2:$P$500, MATCH($BO81, 입력!$Z$2:$Z$500, 0)) &amp; "", "")</f>
        <v/>
      </c>
      <c r="AD81" s="64" t="str">
        <f>IFERROR(INDEX(입력!$Q$2:$Q$500, MATCH($BO81, 입력!$Z$2:$Z$500, 0)) &amp; "", "")</f>
        <v/>
      </c>
      <c r="AE81" s="64" t="str">
        <f>IFERROR(INDEX(입력!$R$2:$R$500, MATCH($BO81, 입력!$Z$2:$Z$500, 0)) &amp; "", "")</f>
        <v/>
      </c>
      <c r="AF81" s="64" t="str">
        <f>IFERROR(INDEX(입력!$S$2:$S$500, MATCH($BO81, 입력!$Z$2:$Z$500, 0)) &amp; "", "")</f>
        <v/>
      </c>
      <c r="AG81" s="64" t="str">
        <f>IFERROR(INDEX(입력!$T$2:$T$500, MATCH($BO81, 입력!$Z$2:$Z$500, 0)) &amp; "", "")</f>
        <v/>
      </c>
      <c r="AH81" s="64" t="str">
        <f>IFERROR(INDEX(입력!$U$2:$U$500, MATCH($BO81, 입력!$Z$2:$Z$500, 0)) &amp; "", "")</f>
        <v/>
      </c>
      <c r="AI81" s="64" t="str">
        <f>IFERROR(INDEX(입력!$V$2:$V$500, MATCH($BO81, 입력!$Z$2:$Z$500, 0)) &amp; "", "")</f>
        <v>여</v>
      </c>
      <c r="AJ81" s="44" t="str">
        <f>IFERROR(INDEX(입력!$W$2:$W$500, MATCH($BO81, 입력!$Z$2:$Z$500, 0)) &amp; "", "")</f>
        <v>김민규</v>
      </c>
      <c r="AK81" s="44" t="str">
        <f>IFERROR(INDEX(입력!$X$2:$X$500, MATCH($BO81, 입력!$Z$2:$Z$500, 0)) &amp; "", "")</f>
        <v>010-5236-2962</v>
      </c>
      <c r="AL81" s="2" t="s">
        <v>1342</v>
      </c>
      <c r="AM81" s="17" t="s">
        <v>1060</v>
      </c>
      <c r="AN81" s="113">
        <v>46073</v>
      </c>
      <c r="AO81" s="17" t="s">
        <v>1059</v>
      </c>
      <c r="AP81" s="101" t="s">
        <v>3226</v>
      </c>
      <c r="AQ81" s="108"/>
      <c r="AR81" s="22"/>
      <c r="AS81" s="114" t="s">
        <v>3163</v>
      </c>
      <c r="AT81" s="109">
        <v>46104</v>
      </c>
      <c r="AU81" s="101" t="s">
        <v>3141</v>
      </c>
      <c r="AV81" s="114" t="s">
        <v>3189</v>
      </c>
      <c r="AW81" s="101"/>
      <c r="AX81" s="101"/>
      <c r="AY81" s="83" t="s">
        <v>3137</v>
      </c>
      <c r="AZ81" s="71" t="str">
        <f>IFERROR(IF(INDEX(입력!$C$2:$C$500, MATCH($BO81, 입력!$Z$2:$Z$500, 0))="", "", TEXT(INDEX(입력!$C$2:$C$500, MATCH($BO81, 입력!$Z$2:$Z$500, 0)), "yyyy-mm-dd")), "")</f>
        <v>2026-04-20</v>
      </c>
      <c r="BA81" s="44" t="str">
        <f>IFERROR(INDEX(입력!$B$2:$B$500, MATCH($BO81, 입력!$Z$2:$Z$500, 0)) &amp; "", "")</f>
        <v>정은진</v>
      </c>
      <c r="BB81" s="83" t="str">
        <f>IFERROR(INDEX(입력!$Y$2:$Y$500, MATCH($BO81, 입력!$Z$2:$Z$500, 0)) &amp; "", "")</f>
        <v>올해 안으로 계획중.</v>
      </c>
      <c r="BC81" s="83" t="s">
        <v>3159</v>
      </c>
      <c r="BD81" s="83"/>
      <c r="BE81" s="101" t="s">
        <v>1060</v>
      </c>
      <c r="BF81" s="109">
        <v>46168</v>
      </c>
      <c r="BG81" s="101" t="s">
        <v>1059</v>
      </c>
      <c r="BH81" s="101" t="s">
        <v>3955</v>
      </c>
      <c r="BI81" s="101" t="s">
        <v>3963</v>
      </c>
      <c r="BJ81" s="101"/>
      <c r="BK81" s="110" t="s">
        <v>3975</v>
      </c>
      <c r="BL81" s="21"/>
      <c r="BM81" s="22"/>
      <c r="BN81" s="23"/>
      <c r="BO81" s="47" t="s">
        <v>284</v>
      </c>
    </row>
    <row r="82" spans="1:67" x14ac:dyDescent="0.45">
      <c r="A82" s="46">
        <v>81</v>
      </c>
      <c r="B82" s="1" t="s">
        <v>1175</v>
      </c>
      <c r="C82" s="17" t="str">
        <f t="shared" si="11"/>
        <v>미이행</v>
      </c>
      <c r="D82" s="17" t="str">
        <f t="shared" si="12"/>
        <v>조사완료</v>
      </c>
      <c r="E82" s="3" t="s">
        <v>1343</v>
      </c>
      <c r="F82" s="3" t="s">
        <v>285</v>
      </c>
      <c r="G82" s="3" t="s">
        <v>1344</v>
      </c>
      <c r="H82" s="18" t="s">
        <v>1202</v>
      </c>
      <c r="I82" s="19">
        <v>58</v>
      </c>
      <c r="J82" s="2"/>
      <c r="K82" s="20">
        <v>39527</v>
      </c>
      <c r="L82" s="20"/>
      <c r="M82" s="17" t="str">
        <f t="shared" si="13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MATCH($BO82, 입력!$Z$2:$Z$500, 0)) &amp; "", "")</f>
        <v/>
      </c>
      <c r="S82" s="64" t="str">
        <f>IFERROR(INDEX(입력!$K$2:$K$500, MATCH($BO82,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4"/>
        <v>1</v>
      </c>
      <c r="W82" s="1" t="str">
        <f t="shared" si="10"/>
        <v/>
      </c>
      <c r="X82" s="1">
        <v>0</v>
      </c>
      <c r="Y82" s="64" t="str">
        <f>IFERROR(INDEX(입력!$M$2:$M$500, MATCH($BO82, 입력!$Z$2:$Z$500, 0)) &amp; "", "")</f>
        <v/>
      </c>
      <c r="Z82" s="64" t="str">
        <f>IFERROR(INDEX(입력!$N$2:$N$500, MATCH($BO82, 입력!$Z$2:$Z$500, 0)) &amp; "", "")</f>
        <v/>
      </c>
      <c r="AA82" s="64">
        <f>MAX(0, 표1[[#This Row],[의무_시설]]-표1[[#This Row],[시설합]])</f>
        <v>1</v>
      </c>
      <c r="AB82" s="17" t="str">
        <f t="shared" si="15"/>
        <v>미이행</v>
      </c>
      <c r="AC82" s="64" t="str">
        <f>IFERROR(INDEX(입력!$P$2:$P$500, MATCH($BO82, 입력!$Z$2:$Z$500, 0)) &amp; "", "")</f>
        <v/>
      </c>
      <c r="AD82" s="64" t="str">
        <f>IFERROR(INDEX(입력!$Q$2:$Q$500, MATCH($BO82, 입력!$Z$2:$Z$500, 0)) &amp; "", "")</f>
        <v/>
      </c>
      <c r="AE82" s="64" t="str">
        <f>IFERROR(INDEX(입력!$R$2:$R$500, MATCH($BO82, 입력!$Z$2:$Z$500, 0)) &amp; "", "")</f>
        <v/>
      </c>
      <c r="AF82" s="64" t="str">
        <f>IFERROR(INDEX(입력!$S$2:$S$500, MATCH($BO82, 입력!$Z$2:$Z$500, 0)) &amp; "", "")</f>
        <v/>
      </c>
      <c r="AG82" s="64" t="str">
        <f>IFERROR(INDEX(입력!$T$2:$T$500, MATCH($BO82, 입력!$Z$2:$Z$500, 0)) &amp; "", "")</f>
        <v/>
      </c>
      <c r="AH82" s="64" t="str">
        <f>IFERROR(INDEX(입력!$U$2:$U$500, MATCH($BO82, 입력!$Z$2:$Z$500, 0)) &amp; "", "")</f>
        <v/>
      </c>
      <c r="AI82" s="64" t="str">
        <f>IFERROR(INDEX(입력!$V$2:$V$500, MATCH($BO82, 입력!$Z$2:$Z$500, 0)) &amp; "", "")</f>
        <v>여</v>
      </c>
      <c r="AJ82" s="44" t="str">
        <f>IFERROR(INDEX(입력!$W$2:$W$500, MATCH($BO82, 입력!$Z$2:$Z$500, 0)) &amp; "", "")</f>
        <v>김민규</v>
      </c>
      <c r="AK82" s="44" t="str">
        <f>IFERROR(INDEX(입력!$X$2:$X$500, MATCH($BO82, 입력!$Z$2:$Z$500, 0)) &amp; "", "")</f>
        <v>010-5236-2962</v>
      </c>
      <c r="AL82" s="2" t="s">
        <v>1342</v>
      </c>
      <c r="AM82" s="17" t="s">
        <v>3227</v>
      </c>
      <c r="AN82" s="113">
        <v>46072</v>
      </c>
      <c r="AO82" s="17" t="s">
        <v>1186</v>
      </c>
      <c r="AP82" s="101" t="s">
        <v>3228</v>
      </c>
      <c r="AQ82" s="108"/>
      <c r="AR82" s="22"/>
      <c r="AS82" s="114" t="s">
        <v>3163</v>
      </c>
      <c r="AT82" s="109">
        <v>46104</v>
      </c>
      <c r="AU82" s="101" t="s">
        <v>3126</v>
      </c>
      <c r="AV82" s="114" t="s">
        <v>3189</v>
      </c>
      <c r="AW82" s="101"/>
      <c r="AX82" s="101"/>
      <c r="AY82" s="83" t="s">
        <v>3131</v>
      </c>
      <c r="AZ82" s="71" t="str">
        <f>IFERROR(IF(INDEX(입력!$C$2:$C$500, MATCH($BO82, 입력!$Z$2:$Z$500, 0))="", "", TEXT(INDEX(입력!$C$2:$C$500, MATCH($BO82, 입력!$Z$2:$Z$500, 0)), "yyyy-mm-dd")), "")</f>
        <v>2026-04-20</v>
      </c>
      <c r="BA82" s="44" t="str">
        <f>IFERROR(INDEX(입력!$B$2:$B$500, MATCH($BO82, 입력!$Z$2:$Z$500, 0)) &amp; "", "")</f>
        <v>정은진</v>
      </c>
      <c r="BB82" s="83" t="str">
        <f>IFERROR(INDEX(입력!$Y$2:$Y$500, MATCH($BO82, 입력!$Z$2:$Z$500, 0)) &amp; "", "")</f>
        <v>올해계획. 방향을 잡지 못해 문의 후 시행예정.</v>
      </c>
      <c r="BC82" s="83" t="s">
        <v>3169</v>
      </c>
      <c r="BD82" s="83"/>
      <c r="BE82" s="101" t="s">
        <v>1060</v>
      </c>
      <c r="BF82" s="109">
        <v>46168</v>
      </c>
      <c r="BG82" s="101" t="s">
        <v>1059</v>
      </c>
      <c r="BH82" s="101" t="s">
        <v>3955</v>
      </c>
      <c r="BI82" s="101" t="s">
        <v>3963</v>
      </c>
      <c r="BJ82" s="101"/>
      <c r="BK82" s="110" t="s">
        <v>3975</v>
      </c>
      <c r="BL82" s="21"/>
      <c r="BM82" s="22"/>
      <c r="BN82" s="23"/>
      <c r="BO82" s="47" t="s">
        <v>286</v>
      </c>
    </row>
    <row r="83" spans="1:67" x14ac:dyDescent="0.45">
      <c r="A83" s="19">
        <v>82</v>
      </c>
      <c r="B83" s="1" t="s">
        <v>1175</v>
      </c>
      <c r="C83" s="17" t="str">
        <f t="shared" si="11"/>
        <v>이행완료</v>
      </c>
      <c r="D83" s="17" t="str">
        <f t="shared" si="12"/>
        <v>조사완료</v>
      </c>
      <c r="E83" s="141" t="s">
        <v>1345</v>
      </c>
      <c r="F83" s="3" t="s">
        <v>287</v>
      </c>
      <c r="G83" s="3" t="s">
        <v>1346</v>
      </c>
      <c r="H83" s="18" t="s">
        <v>1202</v>
      </c>
      <c r="I83" s="19">
        <v>396</v>
      </c>
      <c r="J83" s="2"/>
      <c r="K83" s="20">
        <v>42950</v>
      </c>
      <c r="L83" s="20"/>
      <c r="M83" s="17" t="str">
        <f t="shared" si="13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MATCH($BO83, 입력!$Z$2:$Z$500, 0)) &amp; "", "")</f>
        <v>12</v>
      </c>
      <c r="S83" s="64" t="str">
        <f>IFERROR(INDEX(입력!$K$2:$K$500, MATCH($BO83,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4"/>
        <v>8</v>
      </c>
      <c r="W83" s="1">
        <f t="shared" si="10"/>
        <v>1</v>
      </c>
      <c r="X83" s="1">
        <v>9</v>
      </c>
      <c r="Y83" s="64" t="str">
        <f>IFERROR(INDEX(입력!$M$2:$M$500, MATCH($BO83, 입력!$Z$2:$Z$500, 0)) &amp; "", "")</f>
        <v/>
      </c>
      <c r="Z83" s="64" t="str">
        <f>IFERROR(INDEX(입력!$N$2:$N$500, MATCH($BO83, 입력!$Z$2:$Z$500, 0)) &amp; "", "")</f>
        <v>9</v>
      </c>
      <c r="AA83" s="64">
        <f>MAX(0, 표1[[#This Row],[의무_시설]]-표1[[#This Row],[시설합]])</f>
        <v>0</v>
      </c>
      <c r="AB83" s="17" t="str">
        <f t="shared" si="15"/>
        <v>이행완료</v>
      </c>
      <c r="AC83" s="64" t="str">
        <f>IFERROR(INDEX(입력!$P$2:$P$500, MATCH($BO83, 입력!$Z$2:$Z$500, 0)) &amp; "", "")</f>
        <v/>
      </c>
      <c r="AD83" s="64" t="str">
        <f>IFERROR(INDEX(입력!$Q$2:$Q$500, MATCH($BO83, 입력!$Z$2:$Z$500, 0)) &amp; "", "")</f>
        <v/>
      </c>
      <c r="AE83" s="64" t="str">
        <f>IFERROR(INDEX(입력!$R$2:$R$500, MATCH($BO83, 입력!$Z$2:$Z$500, 0)) &amp; "", "")</f>
        <v>여</v>
      </c>
      <c r="AF83" s="64" t="str">
        <f>IFERROR(INDEX(입력!$S$2:$S$500, MATCH($BO83, 입력!$Z$2:$Z$500, 0)) &amp; "", "")</f>
        <v>여</v>
      </c>
      <c r="AG83" s="64" t="str">
        <f>IFERROR(INDEX(입력!$T$2:$T$500, MATCH($BO83, 입력!$Z$2:$Z$500, 0)) &amp; "", "")</f>
        <v/>
      </c>
      <c r="AH83" s="64" t="str">
        <f>IFERROR(INDEX(입력!$U$2:$U$500, MATCH($BO83, 입력!$Z$2:$Z$500, 0)) &amp; "", "")</f>
        <v/>
      </c>
      <c r="AI83" s="64" t="str">
        <f>IFERROR(INDEX(입력!$V$2:$V$500, MATCH($BO83, 입력!$Z$2:$Z$500, 0)) &amp; "", "")</f>
        <v>여</v>
      </c>
      <c r="AJ83" s="44" t="str">
        <f>IFERROR(INDEX(입력!$W$2:$W$500, MATCH($BO83, 입력!$Z$2:$Z$500, 0)) &amp; "", "")</f>
        <v>김문성</v>
      </c>
      <c r="AK83" s="44" t="str">
        <f>IFERROR(INDEX(입력!$X$2:$X$500, MATCH($BO83, 입력!$Z$2:$Z$500, 0)) &amp; "", "")</f>
        <v>907-4431</v>
      </c>
      <c r="AL83" s="2" t="s">
        <v>1347</v>
      </c>
      <c r="AM83" s="17" t="s">
        <v>1179</v>
      </c>
      <c r="AN83" s="83"/>
      <c r="AO83" s="17" t="s">
        <v>1059</v>
      </c>
      <c r="AP83" s="2" t="s">
        <v>3229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3137</v>
      </c>
      <c r="AZ83" s="71" t="str">
        <f>IFERROR(IF(INDEX(입력!$C$2:$C$500, MATCH($BO83, 입력!$Z$2:$Z$500, 0))="", "", TEXT(INDEX(입력!$C$2:$C$500, MATCH($BO83, 입력!$Z$2:$Z$500, 0)), "yyyy-mm-dd")), "")</f>
        <v>2026-05-07</v>
      </c>
      <c r="BA83" s="44" t="str">
        <f>IFERROR(INDEX(입력!$B$2:$B$500, MATCH($BO83, 입력!$Z$2:$Z$500, 0)) &amp; "", "")</f>
        <v>정은진</v>
      </c>
      <c r="BB83" s="83" t="str">
        <f>IFERROR(INDEX(입력!$Y$2:$Y$500, MATCH($BO83, 입력!$Z$2:$Z$500, 0)) &amp; "", "")</f>
        <v/>
      </c>
      <c r="BC83" s="83" t="s">
        <v>3112</v>
      </c>
      <c r="BD83" s="83"/>
      <c r="BE83" s="101"/>
      <c r="BF83" s="101"/>
      <c r="BG83" s="101"/>
      <c r="BH83" s="101"/>
      <c r="BI83" s="101"/>
      <c r="BJ83" s="101"/>
      <c r="BK83" s="110"/>
      <c r="BL83" s="21"/>
      <c r="BM83" s="22"/>
      <c r="BN83" s="23"/>
      <c r="BO83" s="47" t="s">
        <v>288</v>
      </c>
    </row>
    <row r="84" spans="1:67" x14ac:dyDescent="0.45">
      <c r="A84" s="46">
        <v>83</v>
      </c>
      <c r="B84" s="1" t="s">
        <v>1175</v>
      </c>
      <c r="C84" s="17" t="str">
        <f t="shared" si="11"/>
        <v>미이행</v>
      </c>
      <c r="D84" s="17" t="str">
        <f t="shared" si="12"/>
        <v>조사완료</v>
      </c>
      <c r="E84" s="3" t="s">
        <v>1348</v>
      </c>
      <c r="F84" s="3" t="s">
        <v>289</v>
      </c>
      <c r="G84" s="3" t="s">
        <v>1349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3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MATCH($BO84, 입력!$Z$2:$Z$500, 0)) &amp; "", "")</f>
        <v/>
      </c>
      <c r="S84" s="64" t="str">
        <f>IFERROR(INDEX(입력!$K$2:$K$500, MATCH($BO84,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4"/>
        <v>3</v>
      </c>
      <c r="W84" s="1" t="str">
        <f t="shared" si="10"/>
        <v/>
      </c>
      <c r="X84" s="1">
        <v>0</v>
      </c>
      <c r="Y84" s="64" t="str">
        <f>IFERROR(INDEX(입력!$M$2:$M$500, MATCH($BO84, 입력!$Z$2:$Z$500, 0)) &amp; "", "")</f>
        <v/>
      </c>
      <c r="Z84" s="64" t="str">
        <f>IFERROR(INDEX(입력!$N$2:$N$500, MATCH($BO84, 입력!$Z$2:$Z$500, 0)) &amp; "", "")</f>
        <v/>
      </c>
      <c r="AA84" s="64">
        <f>MAX(0, 표1[[#This Row],[의무_시설]]-표1[[#This Row],[시설합]])</f>
        <v>3</v>
      </c>
      <c r="AB84" s="17" t="str">
        <f t="shared" si="15"/>
        <v>미이행</v>
      </c>
      <c r="AC84" s="64" t="str">
        <f>IFERROR(INDEX(입력!$P$2:$P$500, MATCH($BO84, 입력!$Z$2:$Z$500, 0)) &amp; "", "")</f>
        <v/>
      </c>
      <c r="AD84" s="64" t="str">
        <f>IFERROR(INDEX(입력!$Q$2:$Q$500, MATCH($BO84, 입력!$Z$2:$Z$500, 0)) &amp; "", "")</f>
        <v/>
      </c>
      <c r="AE84" s="64" t="str">
        <f>IFERROR(INDEX(입력!$R$2:$R$500, MATCH($BO84, 입력!$Z$2:$Z$500, 0)) &amp; "", "")</f>
        <v/>
      </c>
      <c r="AF84" s="64" t="str">
        <f>IFERROR(INDEX(입력!$S$2:$S$500, MATCH($BO84, 입력!$Z$2:$Z$500, 0)) &amp; "", "")</f>
        <v/>
      </c>
      <c r="AG84" s="64" t="str">
        <f>IFERROR(INDEX(입력!$T$2:$T$500, MATCH($BO84, 입력!$Z$2:$Z$500, 0)) &amp; "", "")</f>
        <v/>
      </c>
      <c r="AH84" s="64" t="str">
        <f>IFERROR(INDEX(입력!$U$2:$U$500, MATCH($BO84, 입력!$Z$2:$Z$500, 0)) &amp; "", "")</f>
        <v/>
      </c>
      <c r="AI84" s="64" t="str">
        <f>IFERROR(INDEX(입력!$V$2:$V$500, MATCH($BO84, 입력!$Z$2:$Z$500, 0)) &amp; "", "")</f>
        <v>여</v>
      </c>
      <c r="AJ84" s="44" t="str">
        <f>IFERROR(INDEX(입력!$W$2:$W$500, MATCH($BO84, 입력!$Z$2:$Z$500, 0)) &amp; "", "")</f>
        <v>이명남</v>
      </c>
      <c r="AK84" s="44" t="str">
        <f>IFERROR(INDEX(입력!$X$2:$X$500, MATCH($BO84, 입력!$Z$2:$Z$500, 0)) &amp; "", "")</f>
        <v>010-9095-3019</v>
      </c>
      <c r="AL84" s="2" t="s">
        <v>1351</v>
      </c>
      <c r="AM84" s="17" t="s">
        <v>3220</v>
      </c>
      <c r="AN84" s="113">
        <v>46042</v>
      </c>
      <c r="AO84" s="17" t="s">
        <v>1059</v>
      </c>
      <c r="AP84" s="101" t="s">
        <v>3230</v>
      </c>
      <c r="AQ84" s="108"/>
      <c r="AR84" s="22"/>
      <c r="AS84" s="101" t="s">
        <v>3124</v>
      </c>
      <c r="AT84" s="109">
        <v>46104</v>
      </c>
      <c r="AU84" s="101" t="s">
        <v>3141</v>
      </c>
      <c r="AV84" s="101" t="s">
        <v>3128</v>
      </c>
      <c r="AW84" s="101" t="s">
        <v>3145</v>
      </c>
      <c r="AX84" s="101" t="s">
        <v>3231</v>
      </c>
      <c r="AY84" s="83" t="s">
        <v>3137</v>
      </c>
      <c r="AZ84" s="71" t="str">
        <f>IFERROR(IF(INDEX(입력!$C$2:$C$500, MATCH($BO84, 입력!$Z$2:$Z$500, 0))="", "", TEXT(INDEX(입력!$C$2:$C$500, MATCH($BO84, 입력!$Z$2:$Z$500, 0)), "yyyy-mm-dd")), "")</f>
        <v>2026-04-16</v>
      </c>
      <c r="BA84" s="44" t="str">
        <f>IFERROR(INDEX(입력!$B$2:$B$500, MATCH($BO84, 입력!$Z$2:$Z$500, 0)) &amp; "", "")</f>
        <v>노기섭</v>
      </c>
      <c r="BB84" s="83" t="str">
        <f>IFERROR(INDEX(입력!$Y$2:$Y$500, MATCH($BO84, 입력!$Z$2:$Z$500, 0)) &amp; "", "")</f>
        <v>건물특성상 병원이 있어 환자 측 고려. 미정.</v>
      </c>
      <c r="BC84" s="83" t="s">
        <v>3145</v>
      </c>
      <c r="BD84" s="83"/>
      <c r="BE84" s="101" t="s">
        <v>1179</v>
      </c>
      <c r="BF84" s="109">
        <v>46155</v>
      </c>
      <c r="BG84" s="101" t="s">
        <v>1059</v>
      </c>
      <c r="BH84" s="101" t="s">
        <v>3847</v>
      </c>
      <c r="BI84" s="101" t="s">
        <v>3848</v>
      </c>
      <c r="BJ84" s="101"/>
      <c r="BK84" s="110" t="s">
        <v>3849</v>
      </c>
      <c r="BL84" s="21"/>
      <c r="BM84" s="22"/>
      <c r="BN84" s="23"/>
      <c r="BO84" s="47" t="s">
        <v>290</v>
      </c>
    </row>
    <row r="85" spans="1:67" x14ac:dyDescent="0.45">
      <c r="A85" s="19">
        <v>84</v>
      </c>
      <c r="B85" s="1" t="s">
        <v>1175</v>
      </c>
      <c r="C85" s="17" t="str">
        <f t="shared" si="11"/>
        <v>이행완료</v>
      </c>
      <c r="D85" s="17" t="str">
        <f t="shared" si="12"/>
        <v>조사완료</v>
      </c>
      <c r="E85" s="3" t="s">
        <v>1352</v>
      </c>
      <c r="F85" s="3" t="s">
        <v>291</v>
      </c>
      <c r="G85" s="3" t="s">
        <v>1353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3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MATCH($BO85, 입력!$Z$2:$Z$500, 0)) &amp; "", "")</f>
        <v>1</v>
      </c>
      <c r="S85" s="64" t="str">
        <f>IFERROR(INDEX(입력!$K$2:$K$500, MATCH($BO85,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4"/>
        <v>1</v>
      </c>
      <c r="W85" s="1" t="str">
        <f t="shared" si="10"/>
        <v/>
      </c>
      <c r="X85" s="1">
        <v>1</v>
      </c>
      <c r="Y85" s="64" t="str">
        <f>IFERROR(INDEX(입력!$M$2:$M$500, MATCH($BO85, 입력!$Z$2:$Z$500, 0)) &amp; "", "")</f>
        <v/>
      </c>
      <c r="Z85" s="64" t="str">
        <f>IFERROR(INDEX(입력!$N$2:$N$500, MATCH($BO85, 입력!$Z$2:$Z$500, 0)) &amp; "", "")</f>
        <v>1</v>
      </c>
      <c r="AA85" s="64">
        <f>MAX(0, 표1[[#This Row],[의무_시설]]-표1[[#This Row],[시설합]])</f>
        <v>0</v>
      </c>
      <c r="AB85" s="17" t="str">
        <f t="shared" si="15"/>
        <v>이행완료</v>
      </c>
      <c r="AC85" s="64" t="str">
        <f>IFERROR(INDEX(입력!$P$2:$P$500, MATCH($BO85, 입력!$Z$2:$Z$500, 0)) &amp; "", "")</f>
        <v/>
      </c>
      <c r="AD85" s="64" t="str">
        <f>IFERROR(INDEX(입력!$Q$2:$Q$500, MATCH($BO85, 입력!$Z$2:$Z$500, 0)) &amp; "", "")</f>
        <v/>
      </c>
      <c r="AE85" s="64" t="str">
        <f>IFERROR(INDEX(입력!$R$2:$R$500, MATCH($BO85, 입력!$Z$2:$Z$500, 0)) &amp; "", "")</f>
        <v/>
      </c>
      <c r="AF85" s="64" t="str">
        <f>IFERROR(INDEX(입력!$S$2:$S$500, MATCH($BO85, 입력!$Z$2:$Z$500, 0)) &amp; "", "")</f>
        <v/>
      </c>
      <c r="AG85" s="64" t="str">
        <f>IFERROR(INDEX(입력!$T$2:$T$500, MATCH($BO85, 입력!$Z$2:$Z$500, 0)) &amp; "", "")</f>
        <v/>
      </c>
      <c r="AH85" s="64" t="str">
        <f>IFERROR(INDEX(입력!$U$2:$U$500, MATCH($BO85, 입력!$Z$2:$Z$500, 0)) &amp; "", "")</f>
        <v/>
      </c>
      <c r="AI85" s="64" t="str">
        <f>IFERROR(INDEX(입력!$V$2:$V$500, MATCH($BO85, 입력!$Z$2:$Z$500, 0)) &amp; "", "")</f>
        <v>부</v>
      </c>
      <c r="AJ85" s="44" t="str">
        <f>IFERROR(INDEX(입력!$W$2:$W$500, MATCH($BO85, 입력!$Z$2:$Z$500, 0)) &amp; "", "")</f>
        <v/>
      </c>
      <c r="AK85" s="44" t="str">
        <f>IFERROR(INDEX(입력!$X$2:$X$500, MATCH($BO85, 입력!$Z$2:$Z$500, 0)) &amp; "", "")</f>
        <v/>
      </c>
      <c r="AL85" s="2"/>
      <c r="AM85" s="17" t="s">
        <v>1251</v>
      </c>
      <c r="AN85" s="83"/>
      <c r="AO85" s="17" t="s">
        <v>1067</v>
      </c>
      <c r="AP85" s="2"/>
      <c r="AQ85" s="21"/>
      <c r="AR85" s="22" t="s">
        <v>1196</v>
      </c>
      <c r="AS85" s="101"/>
      <c r="AT85" s="101"/>
      <c r="AU85" s="101"/>
      <c r="AV85" s="101"/>
      <c r="AW85" s="101"/>
      <c r="AX85" s="101"/>
      <c r="AY85" s="83" t="s">
        <v>3137</v>
      </c>
      <c r="AZ85" s="71" t="str">
        <f>IFERROR(IF(INDEX(입력!$C$2:$C$500, MATCH($BO85, 입력!$Z$2:$Z$500, 0))="", "", TEXT(INDEX(입력!$C$2:$C$500, MATCH($BO85, 입력!$Z$2:$Z$500, 0)), "yyyy-mm-dd")), "")</f>
        <v>2026-05-06</v>
      </c>
      <c r="BA85" s="44" t="str">
        <f>IFERROR(INDEX(입력!$B$2:$B$500, MATCH($BO85, 입력!$Z$2:$Z$500, 0)) &amp; "", "")</f>
        <v>노기섭</v>
      </c>
      <c r="BB85" s="83" t="str">
        <f>IFERROR(INDEX(입력!$Y$2:$Y$500, MATCH($BO85, 입력!$Z$2:$Z$500, 0)) &amp; "", "")</f>
        <v>관리인 부재로 홍보물 미배부</v>
      </c>
      <c r="BC85" s="83" t="s">
        <v>3112</v>
      </c>
      <c r="BD85" s="83"/>
      <c r="BE85" s="101"/>
      <c r="BF85" s="101"/>
      <c r="BG85" s="101"/>
      <c r="BH85" s="101"/>
      <c r="BI85" s="101"/>
      <c r="BJ85" s="101"/>
      <c r="BK85" s="110"/>
      <c r="BL85" s="21"/>
      <c r="BM85" s="22"/>
      <c r="BN85" s="23"/>
      <c r="BO85" s="47" t="s">
        <v>292</v>
      </c>
    </row>
    <row r="86" spans="1:67" x14ac:dyDescent="0.45">
      <c r="A86" s="46">
        <v>85</v>
      </c>
      <c r="B86" s="1" t="s">
        <v>1175</v>
      </c>
      <c r="C86" s="17" t="str">
        <f t="shared" si="11"/>
        <v>이행완료</v>
      </c>
      <c r="D86" s="17" t="str">
        <f t="shared" si="12"/>
        <v>조사완료</v>
      </c>
      <c r="E86" s="3" t="s">
        <v>1354</v>
      </c>
      <c r="F86" s="3" t="s">
        <v>293</v>
      </c>
      <c r="G86" s="3" t="s">
        <v>1355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3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MATCH($BO86, 입력!$Z$2:$Z$500, 0)) &amp; "", "")</f>
        <v>2</v>
      </c>
      <c r="S86" s="64" t="str">
        <f>IFERROR(INDEX(입력!$K$2:$K$500, MATCH($BO86,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4"/>
        <v>2</v>
      </c>
      <c r="W86" s="1" t="str">
        <f t="shared" si="10"/>
        <v/>
      </c>
      <c r="X86" s="1">
        <v>2</v>
      </c>
      <c r="Y86" s="64" t="str">
        <f>IFERROR(INDEX(입력!$M$2:$M$500, MATCH($BO86, 입력!$Z$2:$Z$500, 0)) &amp; "", "")</f>
        <v/>
      </c>
      <c r="Z86" s="64" t="str">
        <f>IFERROR(INDEX(입력!$N$2:$N$500, MATCH($BO86, 입력!$Z$2:$Z$500, 0)) &amp; "", "")</f>
        <v>2</v>
      </c>
      <c r="AA86" s="64">
        <f>MAX(0, 표1[[#This Row],[의무_시설]]-표1[[#This Row],[시설합]])</f>
        <v>0</v>
      </c>
      <c r="AB86" s="17" t="str">
        <f t="shared" si="15"/>
        <v>이행완료</v>
      </c>
      <c r="AC86" s="64" t="str">
        <f>IFERROR(INDEX(입력!$P$2:$P$500, MATCH($BO86, 입력!$Z$2:$Z$500, 0)) &amp; "", "")</f>
        <v/>
      </c>
      <c r="AD86" s="64" t="str">
        <f>IFERROR(INDEX(입력!$Q$2:$Q$500, MATCH($BO86, 입력!$Z$2:$Z$500, 0)) &amp; "", "")</f>
        <v/>
      </c>
      <c r="AE86" s="64" t="str">
        <f>IFERROR(INDEX(입력!$R$2:$R$500, MATCH($BO86, 입력!$Z$2:$Z$500, 0)) &amp; "", "")</f>
        <v>여</v>
      </c>
      <c r="AF86" s="64" t="str">
        <f>IFERROR(INDEX(입력!$S$2:$S$500, MATCH($BO86, 입력!$Z$2:$Z$500, 0)) &amp; "", "")</f>
        <v>여</v>
      </c>
      <c r="AG86" s="64" t="str">
        <f>IFERROR(INDEX(입력!$T$2:$T$500, MATCH($BO86, 입력!$Z$2:$Z$500, 0)) &amp; "", "")</f>
        <v/>
      </c>
      <c r="AH86" s="64" t="str">
        <f>IFERROR(INDEX(입력!$U$2:$U$500, MATCH($BO86, 입력!$Z$2:$Z$500, 0)) &amp; "", "")</f>
        <v/>
      </c>
      <c r="AI86" s="64" t="str">
        <f>IFERROR(INDEX(입력!$V$2:$V$500, MATCH($BO86, 입력!$Z$2:$Z$500, 0)) &amp; "", "")</f>
        <v>여</v>
      </c>
      <c r="AJ86" s="44" t="str">
        <f>IFERROR(INDEX(입력!$W$2:$W$500, MATCH($BO86, 입력!$Z$2:$Z$500, 0)) &amp; "", "")</f>
        <v>변경희</v>
      </c>
      <c r="AK86" s="44" t="str">
        <f>IFERROR(INDEX(입력!$X$2:$X$500, MATCH($BO86, 입력!$Z$2:$Z$500, 0)) &amp; "", "")</f>
        <v>010-6547-0757</v>
      </c>
      <c r="AL86" s="2"/>
      <c r="AM86" s="17" t="s">
        <v>1251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3131</v>
      </c>
      <c r="AZ86" s="71" t="str">
        <f>IFERROR(IF(INDEX(입력!$C$2:$C$500, MATCH($BO86, 입력!$Z$2:$Z$500, 0))="", "", TEXT(INDEX(입력!$C$2:$C$500, MATCH($BO86, 입력!$Z$2:$Z$500, 0)), "yyyy-mm-dd")), "")</f>
        <v>2026-05-04</v>
      </c>
      <c r="BA86" s="44" t="str">
        <f>IFERROR(INDEX(입력!$B$2:$B$500, MATCH($BO86, 입력!$Z$2:$Z$500, 0)) &amp; "", "")</f>
        <v>노기섭</v>
      </c>
      <c r="BB86" s="83" t="str">
        <f>IFERROR(INDEX(입력!$Y$2:$Y$500, MATCH($BO86, 입력!$Z$2:$Z$500, 0)) &amp; "", "")</f>
        <v/>
      </c>
      <c r="BC86" s="83" t="s">
        <v>3112</v>
      </c>
      <c r="BD86" s="83"/>
      <c r="BE86" s="101"/>
      <c r="BF86" s="101"/>
      <c r="BG86" s="101"/>
      <c r="BH86" s="101"/>
      <c r="BI86" s="101"/>
      <c r="BJ86" s="101"/>
      <c r="BK86" s="110"/>
      <c r="BL86" s="21"/>
      <c r="BM86" s="22"/>
      <c r="BN86" s="23"/>
      <c r="BO86" s="47" t="s">
        <v>294</v>
      </c>
    </row>
    <row r="87" spans="1:67" x14ac:dyDescent="0.45">
      <c r="A87" s="19">
        <v>86</v>
      </c>
      <c r="B87" s="1" t="s">
        <v>1175</v>
      </c>
      <c r="C87" s="17" t="str">
        <f t="shared" si="11"/>
        <v>미이행</v>
      </c>
      <c r="D87" s="17" t="str">
        <f t="shared" si="12"/>
        <v>조사완료</v>
      </c>
      <c r="E87" s="3" t="s">
        <v>1356</v>
      </c>
      <c r="F87" s="3" t="s">
        <v>295</v>
      </c>
      <c r="G87" s="3" t="s">
        <v>1357</v>
      </c>
      <c r="H87" s="18" t="s">
        <v>1172</v>
      </c>
      <c r="I87" s="19">
        <v>253</v>
      </c>
      <c r="J87" s="2"/>
      <c r="K87" s="20">
        <v>41430</v>
      </c>
      <c r="L87" s="20"/>
      <c r="M87" s="17" t="str">
        <f t="shared" si="13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MATCH($BO87, 입력!$Z$2:$Z$500, 0)) &amp; "", "")</f>
        <v/>
      </c>
      <c r="S87" s="64" t="str">
        <f>IFERROR(INDEX(입력!$K$2:$K$500, MATCH($BO87,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4"/>
        <v>5</v>
      </c>
      <c r="W87" s="1">
        <f t="shared" si="10"/>
        <v>1</v>
      </c>
      <c r="X87" s="1">
        <v>0</v>
      </c>
      <c r="Y87" s="64" t="str">
        <f>IFERROR(INDEX(입력!$M$2:$M$500, MATCH($BO87, 입력!$Z$2:$Z$500, 0)) &amp; "", "")</f>
        <v/>
      </c>
      <c r="Z87" s="64" t="str">
        <f>IFERROR(INDEX(입력!$N$2:$N$500, MATCH($BO87, 입력!$Z$2:$Z$500, 0)) &amp; "", "")</f>
        <v/>
      </c>
      <c r="AA87" s="64">
        <f>MAX(0, 표1[[#This Row],[의무_시설]]-표1[[#This Row],[시설합]])</f>
        <v>5</v>
      </c>
      <c r="AB87" s="17" t="str">
        <f t="shared" si="15"/>
        <v>미이행</v>
      </c>
      <c r="AC87" s="64" t="str">
        <f>IFERROR(INDEX(입력!$P$2:$P$500, MATCH($BO87, 입력!$Z$2:$Z$500, 0)) &amp; "", "")</f>
        <v/>
      </c>
      <c r="AD87" s="64" t="str">
        <f>IFERROR(INDEX(입력!$Q$2:$Q$500, MATCH($BO87, 입력!$Z$2:$Z$500, 0)) &amp; "", "")</f>
        <v/>
      </c>
      <c r="AE87" s="64" t="str">
        <f>IFERROR(INDEX(입력!$R$2:$R$500, MATCH($BO87, 입력!$Z$2:$Z$500, 0)) &amp; "", "")</f>
        <v/>
      </c>
      <c r="AF87" s="64" t="str">
        <f>IFERROR(INDEX(입력!$S$2:$S$500, MATCH($BO87, 입력!$Z$2:$Z$500, 0)) &amp; "", "")</f>
        <v/>
      </c>
      <c r="AG87" s="64" t="str">
        <f>IFERROR(INDEX(입력!$T$2:$T$500, MATCH($BO87, 입력!$Z$2:$Z$500, 0)) &amp; "", "")</f>
        <v/>
      </c>
      <c r="AH87" s="64" t="str">
        <f>IFERROR(INDEX(입력!$U$2:$U$500, MATCH($BO87, 입력!$Z$2:$Z$500, 0)) &amp; "", "")</f>
        <v/>
      </c>
      <c r="AI87" s="64" t="str">
        <f>IFERROR(INDEX(입력!$V$2:$V$500, MATCH($BO87, 입력!$Z$2:$Z$500, 0)) &amp; "", "")</f>
        <v>여</v>
      </c>
      <c r="AJ87" s="44" t="str">
        <f>IFERROR(INDEX(입력!$W$2:$W$500, MATCH($BO87, 입력!$Z$2:$Z$500, 0)) &amp; "", "")</f>
        <v>문지혁</v>
      </c>
      <c r="AK87" s="44" t="str">
        <f>IFERROR(INDEX(입력!$X$2:$X$500, MATCH($BO87, 입력!$Z$2:$Z$500, 0)) &amp; "", "")</f>
        <v>010-9034-8688</v>
      </c>
      <c r="AL87" s="2" t="s">
        <v>1358</v>
      </c>
      <c r="AM87" s="17" t="s">
        <v>1360</v>
      </c>
      <c r="AN87" s="83"/>
      <c r="AO87" s="17" t="s">
        <v>1059</v>
      </c>
      <c r="AP87" s="101" t="s">
        <v>1359</v>
      </c>
      <c r="AQ87" s="108"/>
      <c r="AR87" s="22" t="s">
        <v>1196</v>
      </c>
      <c r="AS87" s="114" t="s">
        <v>3163</v>
      </c>
      <c r="AT87" s="109">
        <v>46104</v>
      </c>
      <c r="AU87" s="101" t="s">
        <v>3141</v>
      </c>
      <c r="AV87" s="114" t="s">
        <v>3186</v>
      </c>
      <c r="AW87" s="101"/>
      <c r="AX87" s="101"/>
      <c r="AY87" s="83" t="s">
        <v>3131</v>
      </c>
      <c r="AZ87" s="71" t="str">
        <f>IFERROR(IF(INDEX(입력!$C$2:$C$500, MATCH($BO87, 입력!$Z$2:$Z$500, 0))="", "", TEXT(INDEX(입력!$C$2:$C$500, MATCH($BO87, 입력!$Z$2:$Z$500, 0)), "yyyy-mm-dd")), "")</f>
        <v>2026-04-22</v>
      </c>
      <c r="BA87" s="44" t="str">
        <f>IFERROR(INDEX(입력!$B$2:$B$500, MATCH($BO87, 입력!$Z$2:$Z$500, 0)) &amp; "", "")</f>
        <v>이승수</v>
      </c>
      <c r="BB87" s="83" t="str">
        <f>IFERROR(INDEX(입력!$Y$2:$Y$500, MATCH($BO87, 입력!$Z$2:$Z$500, 0)) &amp; "", "")</f>
        <v>설치 계획중</v>
      </c>
      <c r="BC87" s="83" t="s">
        <v>3213</v>
      </c>
      <c r="BD87" s="83"/>
      <c r="BE87" s="101" t="s">
        <v>1179</v>
      </c>
      <c r="BF87" s="109">
        <v>46164</v>
      </c>
      <c r="BG87" s="101" t="s">
        <v>1059</v>
      </c>
      <c r="BH87" s="101" t="s">
        <v>3955</v>
      </c>
      <c r="BI87" s="101" t="s">
        <v>3964</v>
      </c>
      <c r="BJ87" s="101"/>
      <c r="BK87" s="110" t="s">
        <v>3975</v>
      </c>
      <c r="BL87" s="21"/>
      <c r="BM87" s="22"/>
      <c r="BN87" s="23"/>
      <c r="BO87" s="47" t="s">
        <v>296</v>
      </c>
    </row>
    <row r="88" spans="1:67" x14ac:dyDescent="0.45">
      <c r="A88" s="46">
        <v>87</v>
      </c>
      <c r="B88" s="1" t="s">
        <v>1175</v>
      </c>
      <c r="C88" s="17" t="str">
        <f t="shared" si="11"/>
        <v>이행완료</v>
      </c>
      <c r="D88" s="17" t="str">
        <f t="shared" si="12"/>
        <v>조사완료</v>
      </c>
      <c r="E88" s="3" t="s">
        <v>1361</v>
      </c>
      <c r="F88" s="3" t="s">
        <v>297</v>
      </c>
      <c r="G88" s="3" t="s">
        <v>1362</v>
      </c>
      <c r="H88" s="18" t="s">
        <v>1335</v>
      </c>
      <c r="I88" s="19">
        <v>121</v>
      </c>
      <c r="J88" s="2"/>
      <c r="K88" s="20">
        <v>35436</v>
      </c>
      <c r="L88" s="20"/>
      <c r="M88" s="17" t="str">
        <f t="shared" si="13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MATCH($BO88, 입력!$Z$2:$Z$500, 0)) &amp; "", "")</f>
        <v>3</v>
      </c>
      <c r="S88" s="64" t="str">
        <f>IFERROR(INDEX(입력!$K$2:$K$500, MATCH($BO88,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4"/>
        <v>2</v>
      </c>
      <c r="W88" s="1" t="str">
        <f t="shared" si="10"/>
        <v/>
      </c>
      <c r="X88" s="1">
        <v>3</v>
      </c>
      <c r="Y88" s="64" t="str">
        <f>IFERROR(INDEX(입력!$M$2:$M$500, MATCH($BO88, 입력!$Z$2:$Z$500, 0)) &amp; "", "")</f>
        <v/>
      </c>
      <c r="Z88" s="64" t="str">
        <f>IFERROR(INDEX(입력!$N$2:$N$500, MATCH($BO88, 입력!$Z$2:$Z$500, 0)) &amp; "", "")</f>
        <v>3</v>
      </c>
      <c r="AA88" s="64">
        <f>MAX(0, 표1[[#This Row],[의무_시설]]-표1[[#This Row],[시설합]])</f>
        <v>0</v>
      </c>
      <c r="AB88" s="17" t="str">
        <f t="shared" si="15"/>
        <v>이행완료</v>
      </c>
      <c r="AC88" s="64" t="str">
        <f>IFERROR(INDEX(입력!$P$2:$P$500, MATCH($BO88, 입력!$Z$2:$Z$500, 0)) &amp; "", "")</f>
        <v/>
      </c>
      <c r="AD88" s="64" t="str">
        <f>IFERROR(INDEX(입력!$Q$2:$Q$500, MATCH($BO88, 입력!$Z$2:$Z$500, 0)) &amp; "", "")</f>
        <v/>
      </c>
      <c r="AE88" s="64" t="str">
        <f>IFERROR(INDEX(입력!$R$2:$R$500, MATCH($BO88, 입력!$Z$2:$Z$500, 0)) &amp; "", "")</f>
        <v>여</v>
      </c>
      <c r="AF88" s="64" t="str">
        <f>IFERROR(INDEX(입력!$S$2:$S$500, MATCH($BO88, 입력!$Z$2:$Z$500, 0)) &amp; "", "")</f>
        <v>여</v>
      </c>
      <c r="AG88" s="64" t="str">
        <f>IFERROR(INDEX(입력!$T$2:$T$500, MATCH($BO88, 입력!$Z$2:$Z$500, 0)) &amp; "", "")</f>
        <v/>
      </c>
      <c r="AH88" s="64" t="str">
        <f>IFERROR(INDEX(입력!$U$2:$U$500, MATCH($BO88, 입력!$Z$2:$Z$500, 0)) &amp; "", "")</f>
        <v/>
      </c>
      <c r="AI88" s="64" t="str">
        <f>IFERROR(INDEX(입력!$V$2:$V$500, MATCH($BO88, 입력!$Z$2:$Z$500, 0)) &amp; "", "")</f>
        <v>여</v>
      </c>
      <c r="AJ88" s="44" t="str">
        <f>IFERROR(INDEX(입력!$W$2:$W$500, MATCH($BO88, 입력!$Z$2:$Z$500, 0)) &amp; "", "")</f>
        <v>곽성진</v>
      </c>
      <c r="AK88" s="44" t="str">
        <f>IFERROR(INDEX(입력!$X$2:$X$500, MATCH($BO88, 입력!$Z$2:$Z$500, 0)) &amp; "", "")</f>
        <v>010-7445-7234</v>
      </c>
      <c r="AL88" s="2"/>
      <c r="AM88" s="17" t="s">
        <v>1251</v>
      </c>
      <c r="AN88" s="83"/>
      <c r="AO88" s="17" t="s">
        <v>1089</v>
      </c>
      <c r="AP88" s="2"/>
      <c r="AQ88" s="21"/>
      <c r="AR88" s="22" t="s">
        <v>1196</v>
      </c>
      <c r="AS88" s="101"/>
      <c r="AT88" s="101"/>
      <c r="AU88" s="101"/>
      <c r="AV88" s="101"/>
      <c r="AW88" s="101"/>
      <c r="AX88" s="101"/>
      <c r="AY88" s="83" t="s">
        <v>3131</v>
      </c>
      <c r="AZ88" s="71" t="str">
        <f>IFERROR(IF(INDEX(입력!$C$2:$C$500, MATCH($BO88, 입력!$Z$2:$Z$500, 0))="", "", TEXT(INDEX(입력!$C$2:$C$500, MATCH($BO88, 입력!$Z$2:$Z$500, 0)), "yyyy-mm-dd")), "")</f>
        <v>2026-05-08</v>
      </c>
      <c r="BA88" s="44" t="str">
        <f>IFERROR(INDEX(입력!$B$2:$B$500, MATCH($BO88, 입력!$Z$2:$Z$500, 0)) &amp; "", "")</f>
        <v>정은진</v>
      </c>
      <c r="BB88" s="83" t="str">
        <f>IFERROR(INDEX(입력!$Y$2:$Y$500, MATCH($BO88, 입력!$Z$2:$Z$500, 0)) &amp; "", "")</f>
        <v/>
      </c>
      <c r="BC88" s="83" t="s">
        <v>3112</v>
      </c>
      <c r="BD88" s="83"/>
      <c r="BE88" s="101"/>
      <c r="BF88" s="101"/>
      <c r="BG88" s="101"/>
      <c r="BH88" s="101"/>
      <c r="BI88" s="101"/>
      <c r="BJ88" s="101"/>
      <c r="BK88" s="110"/>
      <c r="BL88" s="21"/>
      <c r="BM88" s="22"/>
      <c r="BN88" s="23"/>
      <c r="BO88" s="47" t="s">
        <v>298</v>
      </c>
    </row>
    <row r="89" spans="1:67" x14ac:dyDescent="0.45">
      <c r="A89" s="19">
        <v>88</v>
      </c>
      <c r="B89" s="1" t="s">
        <v>1175</v>
      </c>
      <c r="C89" s="17" t="str">
        <f t="shared" si="11"/>
        <v>이행완료</v>
      </c>
      <c r="D89" s="17" t="str">
        <f t="shared" si="12"/>
        <v>조사완료</v>
      </c>
      <c r="E89" s="3" t="s">
        <v>1363</v>
      </c>
      <c r="F89" s="3" t="s">
        <v>299</v>
      </c>
      <c r="G89" s="3" t="s">
        <v>1364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3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MATCH($BO89, 입력!$Z$2:$Z$500, 0)) &amp; "", "")</f>
        <v>15</v>
      </c>
      <c r="S89" s="64" t="str">
        <f>IFERROR(INDEX(입력!$K$2:$K$500, MATCH($BO89,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4"/>
        <v>13</v>
      </c>
      <c r="W89" s="1">
        <f t="shared" si="10"/>
        <v>1</v>
      </c>
      <c r="X89" s="1">
        <v>13</v>
      </c>
      <c r="Y89" s="64" t="str">
        <f>IFERROR(INDEX(입력!$M$2:$M$500, MATCH($BO89, 입력!$Z$2:$Z$500, 0)) &amp; "", "")</f>
        <v>5</v>
      </c>
      <c r="Z89" s="64" t="str">
        <f>IFERROR(INDEX(입력!$N$2:$N$500, MATCH($BO89, 입력!$Z$2:$Z$500, 0)) &amp; "", "")</f>
        <v>8</v>
      </c>
      <c r="AA89" s="64">
        <f>MAX(0, 표1[[#This Row],[의무_시설]]-표1[[#This Row],[시설합]])</f>
        <v>0</v>
      </c>
      <c r="AB89" s="17" t="str">
        <f t="shared" si="15"/>
        <v>이행완료</v>
      </c>
      <c r="AC89" s="64" t="str">
        <f>IFERROR(INDEX(입력!$P$2:$P$500, MATCH($BO89, 입력!$Z$2:$Z$500, 0)) &amp; "", "")</f>
        <v/>
      </c>
      <c r="AD89" s="64" t="str">
        <f>IFERROR(INDEX(입력!$Q$2:$Q$500, MATCH($BO89, 입력!$Z$2:$Z$500, 0)) &amp; "", "")</f>
        <v/>
      </c>
      <c r="AE89" s="64" t="str">
        <f>IFERROR(INDEX(입력!$R$2:$R$500, MATCH($BO89, 입력!$Z$2:$Z$500, 0)) &amp; "", "")</f>
        <v>여</v>
      </c>
      <c r="AF89" s="64" t="str">
        <f>IFERROR(INDEX(입력!$S$2:$S$500, MATCH($BO89, 입력!$Z$2:$Z$500, 0)) &amp; "", "")</f>
        <v>여</v>
      </c>
      <c r="AG89" s="64" t="str">
        <f>IFERROR(INDEX(입력!$T$2:$T$500, MATCH($BO89, 입력!$Z$2:$Z$500, 0)) &amp; "", "")</f>
        <v/>
      </c>
      <c r="AH89" s="64" t="str">
        <f>IFERROR(INDEX(입력!$U$2:$U$500, MATCH($BO89, 입력!$Z$2:$Z$500, 0)) &amp; "", "")</f>
        <v/>
      </c>
      <c r="AI89" s="64" t="str">
        <f>IFERROR(INDEX(입력!$V$2:$V$500, MATCH($BO89, 입력!$Z$2:$Z$500, 0)) &amp; "", "")</f>
        <v>여</v>
      </c>
      <c r="AJ89" s="44" t="str">
        <f>IFERROR(INDEX(입력!$W$2:$W$500, MATCH($BO89, 입력!$Z$2:$Z$500, 0)) &amp; "", "")</f>
        <v>양동호</v>
      </c>
      <c r="AK89" s="44" t="str">
        <f>IFERROR(INDEX(입력!$X$2:$X$500, MATCH($BO89, 입력!$Z$2:$Z$500, 0)) &amp; "", "")</f>
        <v>010-5767-1872</v>
      </c>
      <c r="AL89" s="2"/>
      <c r="AM89" s="17" t="s">
        <v>1251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3137</v>
      </c>
      <c r="AZ89" s="71" t="str">
        <f>IFERROR(IF(INDEX(입력!$C$2:$C$500, MATCH($BO89, 입력!$Z$2:$Z$500, 0))="", "", TEXT(INDEX(입력!$C$2:$C$500, MATCH($BO89, 입력!$Z$2:$Z$500, 0)), "yyyy-mm-dd")), "")</f>
        <v>2026-04-29</v>
      </c>
      <c r="BA89" s="44" t="str">
        <f>IFERROR(INDEX(입력!$B$2:$B$500, MATCH($BO89, 입력!$Z$2:$Z$500, 0)) &amp; "", "")</f>
        <v>노기섭</v>
      </c>
      <c r="BB89" s="83" t="str">
        <f>IFERROR(INDEX(입력!$Y$2:$Y$500, MATCH($BO89, 입력!$Z$2:$Z$500, 0)) &amp; "", "")</f>
        <v/>
      </c>
      <c r="BC89" s="83" t="s">
        <v>3112</v>
      </c>
      <c r="BD89" s="83"/>
      <c r="BE89" s="101"/>
      <c r="BF89" s="101"/>
      <c r="BG89" s="101"/>
      <c r="BH89" s="101"/>
      <c r="BI89" s="101"/>
      <c r="BJ89" s="101"/>
      <c r="BK89" s="110"/>
      <c r="BL89" s="21"/>
      <c r="BM89" s="22"/>
      <c r="BN89" s="23"/>
      <c r="BO89" s="47" t="s">
        <v>300</v>
      </c>
    </row>
    <row r="90" spans="1:67" x14ac:dyDescent="0.45">
      <c r="A90" s="46">
        <v>89</v>
      </c>
      <c r="B90" s="1" t="s">
        <v>1175</v>
      </c>
      <c r="C90" s="17" t="str">
        <f t="shared" si="11"/>
        <v>이행완료</v>
      </c>
      <c r="D90" s="17" t="str">
        <f t="shared" si="12"/>
        <v>조사완료</v>
      </c>
      <c r="E90" s="3" t="s">
        <v>1365</v>
      </c>
      <c r="F90" s="3" t="s">
        <v>301</v>
      </c>
      <c r="G90" s="3" t="s">
        <v>1366</v>
      </c>
      <c r="H90" s="18" t="s">
        <v>1172</v>
      </c>
      <c r="I90" s="19">
        <v>585</v>
      </c>
      <c r="J90" s="2"/>
      <c r="K90" s="20">
        <v>37376</v>
      </c>
      <c r="L90" s="20"/>
      <c r="M90" s="17" t="str">
        <f t="shared" si="13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MATCH($BO90, 입력!$Z$2:$Z$500, 0)) &amp; "", "")</f>
        <v>16</v>
      </c>
      <c r="S90" s="64" t="str">
        <f>IFERROR(INDEX(입력!$K$2:$K$500, MATCH($BO90,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4"/>
        <v>12</v>
      </c>
      <c r="W90" s="1">
        <f t="shared" si="10"/>
        <v>1</v>
      </c>
      <c r="X90" s="1">
        <v>15</v>
      </c>
      <c r="Y90" s="64" t="str">
        <f>IFERROR(INDEX(입력!$M$2:$M$500, MATCH($BO90, 입력!$Z$2:$Z$500, 0)) &amp; "", "")</f>
        <v>7</v>
      </c>
      <c r="Z90" s="64" t="str">
        <f>IFERROR(INDEX(입력!$N$2:$N$500, MATCH($BO90, 입력!$Z$2:$Z$500, 0)) &amp; "", "")</f>
        <v>8</v>
      </c>
      <c r="AA90" s="64">
        <f>MAX(0, 표1[[#This Row],[의무_시설]]-표1[[#This Row],[시설합]])</f>
        <v>0</v>
      </c>
      <c r="AB90" s="17" t="str">
        <f t="shared" si="15"/>
        <v>이행완료</v>
      </c>
      <c r="AC90" s="64" t="str">
        <f>IFERROR(INDEX(입력!$P$2:$P$500, MATCH($BO90, 입력!$Z$2:$Z$500, 0)) &amp; "", "")</f>
        <v/>
      </c>
      <c r="AD90" s="64" t="str">
        <f>IFERROR(INDEX(입력!$Q$2:$Q$500, MATCH($BO90, 입력!$Z$2:$Z$500, 0)) &amp; "", "")</f>
        <v/>
      </c>
      <c r="AE90" s="64" t="str">
        <f>IFERROR(INDEX(입력!$R$2:$R$500, MATCH($BO90, 입력!$Z$2:$Z$500, 0)) &amp; "", "")</f>
        <v>여</v>
      </c>
      <c r="AF90" s="64" t="str">
        <f>IFERROR(INDEX(입력!$S$2:$S$500, MATCH($BO90, 입력!$Z$2:$Z$500, 0)) &amp; "", "")</f>
        <v>여</v>
      </c>
      <c r="AG90" s="64" t="str">
        <f>IFERROR(INDEX(입력!$T$2:$T$500, MATCH($BO90, 입력!$Z$2:$Z$500, 0)) &amp; "", "")</f>
        <v/>
      </c>
      <c r="AH90" s="64" t="str">
        <f>IFERROR(INDEX(입력!$U$2:$U$500, MATCH($BO90, 입력!$Z$2:$Z$500, 0)) &amp; "", "")</f>
        <v/>
      </c>
      <c r="AI90" s="64" t="str">
        <f>IFERROR(INDEX(입력!$V$2:$V$500, MATCH($BO90, 입력!$Z$2:$Z$500, 0)) &amp; "", "")</f>
        <v>여</v>
      </c>
      <c r="AJ90" s="44" t="str">
        <f>IFERROR(INDEX(입력!$W$2:$W$500, MATCH($BO90, 입력!$Z$2:$Z$500, 0)) &amp; "", "")</f>
        <v>한수진</v>
      </c>
      <c r="AK90" s="44" t="str">
        <f>IFERROR(INDEX(입력!$X$2:$X$500, MATCH($BO90, 입력!$Z$2:$Z$500, 0)) &amp; "", "")</f>
        <v>010-2622-3899</v>
      </c>
      <c r="AL90" s="2"/>
      <c r="AM90" s="17" t="s">
        <v>1251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3132</v>
      </c>
      <c r="AZ90" s="71" t="str">
        <f>IFERROR(IF(INDEX(입력!$C$2:$C$500, MATCH($BO90, 입력!$Z$2:$Z$500, 0))="", "", TEXT(INDEX(입력!$C$2:$C$500, MATCH($BO90, 입력!$Z$2:$Z$500, 0)), "yyyy-mm-dd")), "")</f>
        <v>2026-05-06</v>
      </c>
      <c r="BA90" s="44" t="str">
        <f>IFERROR(INDEX(입력!$B$2:$B$500, MATCH($BO90, 입력!$Z$2:$Z$500, 0)) &amp; "", "")</f>
        <v>이승수</v>
      </c>
      <c r="BB90" s="83" t="str">
        <f>IFERROR(INDEX(입력!$Y$2:$Y$500, MATCH($BO90, 입력!$Z$2:$Z$500, 0)) &amp; "", "")</f>
        <v/>
      </c>
      <c r="BC90" s="83" t="s">
        <v>3112</v>
      </c>
      <c r="BD90" s="83"/>
      <c r="BE90" s="101"/>
      <c r="BF90" s="101"/>
      <c r="BG90" s="101"/>
      <c r="BH90" s="101"/>
      <c r="BI90" s="101"/>
      <c r="BJ90" s="101"/>
      <c r="BK90" s="110"/>
      <c r="BL90" s="21"/>
      <c r="BM90" s="22"/>
      <c r="BN90" s="23"/>
      <c r="BO90" s="47" t="s">
        <v>302</v>
      </c>
    </row>
    <row r="91" spans="1:67" x14ac:dyDescent="0.45">
      <c r="A91" s="19">
        <v>90</v>
      </c>
      <c r="B91" s="1" t="s">
        <v>1175</v>
      </c>
      <c r="C91" s="17" t="str">
        <f t="shared" si="11"/>
        <v>이행완료</v>
      </c>
      <c r="D91" s="17" t="str">
        <f t="shared" si="12"/>
        <v>조사완료</v>
      </c>
      <c r="E91" s="3" t="s">
        <v>1367</v>
      </c>
      <c r="F91" s="3" t="s">
        <v>303</v>
      </c>
      <c r="G91" s="3" t="s">
        <v>1368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3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MATCH($BO91, 입력!$Z$2:$Z$500, 0)) &amp; "", "")</f>
        <v>11</v>
      </c>
      <c r="S91" s="64" t="str">
        <f>IFERROR(INDEX(입력!$K$2:$K$500, MATCH($BO91,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4"/>
        <v>11</v>
      </c>
      <c r="W91" s="1">
        <f t="shared" si="10"/>
        <v>1</v>
      </c>
      <c r="X91" s="1">
        <v>11</v>
      </c>
      <c r="Y91" s="64" t="str">
        <f>IFERROR(INDEX(입력!$M$2:$M$500, MATCH($BO91, 입력!$Z$2:$Z$500, 0)) &amp; "", "")</f>
        <v>4</v>
      </c>
      <c r="Z91" s="64" t="str">
        <f>IFERROR(INDEX(입력!$N$2:$N$500, MATCH($BO91, 입력!$Z$2:$Z$500, 0)) &amp; "", "")</f>
        <v>7</v>
      </c>
      <c r="AA91" s="64">
        <f>MAX(0, 표1[[#This Row],[의무_시설]]-표1[[#This Row],[시설합]])</f>
        <v>0</v>
      </c>
      <c r="AB91" s="17" t="str">
        <f t="shared" si="15"/>
        <v>이행완료</v>
      </c>
      <c r="AC91" s="64" t="str">
        <f>IFERROR(INDEX(입력!$P$2:$P$500, MATCH($BO91, 입력!$Z$2:$Z$500, 0)) &amp; "", "")</f>
        <v/>
      </c>
      <c r="AD91" s="64" t="str">
        <f>IFERROR(INDEX(입력!$Q$2:$Q$500, MATCH($BO91, 입력!$Z$2:$Z$500, 0)) &amp; "", "")</f>
        <v/>
      </c>
      <c r="AE91" s="64" t="str">
        <f>IFERROR(INDEX(입력!$R$2:$R$500, MATCH($BO91, 입력!$Z$2:$Z$500, 0)) &amp; "", "")</f>
        <v>여</v>
      </c>
      <c r="AF91" s="64" t="str">
        <f>IFERROR(INDEX(입력!$S$2:$S$500, MATCH($BO91, 입력!$Z$2:$Z$500, 0)) &amp; "", "")</f>
        <v>여</v>
      </c>
      <c r="AG91" s="64" t="str">
        <f>IFERROR(INDEX(입력!$T$2:$T$500, MATCH($BO91, 입력!$Z$2:$Z$500, 0)) &amp; "", "")</f>
        <v/>
      </c>
      <c r="AH91" s="64" t="str">
        <f>IFERROR(INDEX(입력!$U$2:$U$500, MATCH($BO91, 입력!$Z$2:$Z$500, 0)) &amp; "", "")</f>
        <v/>
      </c>
      <c r="AI91" s="64" t="str">
        <f>IFERROR(INDEX(입력!$V$2:$V$500, MATCH($BO91, 입력!$Z$2:$Z$500, 0)) &amp; "", "")</f>
        <v>여</v>
      </c>
      <c r="AJ91" s="44" t="str">
        <f>IFERROR(INDEX(입력!$W$2:$W$500, MATCH($BO91, 입력!$Z$2:$Z$500, 0)) &amp; "", "")</f>
        <v>이재환</v>
      </c>
      <c r="AK91" s="44" t="str">
        <f>IFERROR(INDEX(입력!$X$2:$X$500, MATCH($BO91, 입력!$Z$2:$Z$500, 0)) &amp; "", "")</f>
        <v>010-2744-4307</v>
      </c>
      <c r="AL91" s="2"/>
      <c r="AM91" s="17" t="s">
        <v>1251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3131</v>
      </c>
      <c r="AZ91" s="71" t="str">
        <f>IFERROR(IF(INDEX(입력!$C$2:$C$500, MATCH($BO91, 입력!$Z$2:$Z$500, 0))="", "", TEXT(INDEX(입력!$C$2:$C$500, MATCH($BO91, 입력!$Z$2:$Z$500, 0)), "yyyy-mm-dd")), "")</f>
        <v>2026-05-11</v>
      </c>
      <c r="BA91" s="44" t="str">
        <f>IFERROR(INDEX(입력!$B$2:$B$500, MATCH($BO91, 입력!$Z$2:$Z$500, 0)) &amp; "", "")</f>
        <v>노기섭</v>
      </c>
      <c r="BB91" s="83" t="str">
        <f>IFERROR(INDEX(입력!$Y$2:$Y$500, MATCH($BO91, 입력!$Z$2:$Z$500, 0)) &amp; "", "")</f>
        <v/>
      </c>
      <c r="BC91" s="83" t="s">
        <v>3112</v>
      </c>
      <c r="BD91" s="83"/>
      <c r="BE91" s="101"/>
      <c r="BF91" s="101"/>
      <c r="BG91" s="101"/>
      <c r="BH91" s="101"/>
      <c r="BI91" s="101"/>
      <c r="BJ91" s="101"/>
      <c r="BK91" s="110"/>
      <c r="BL91" s="21"/>
      <c r="BM91" s="22"/>
      <c r="BN91" s="23"/>
      <c r="BO91" s="47" t="s">
        <v>304</v>
      </c>
    </row>
    <row r="92" spans="1:67" x14ac:dyDescent="0.45">
      <c r="A92" s="46">
        <v>91</v>
      </c>
      <c r="B92" s="1" t="s">
        <v>1175</v>
      </c>
      <c r="C92" s="17" t="str">
        <f t="shared" si="11"/>
        <v>이행완료</v>
      </c>
      <c r="D92" s="17" t="str">
        <f t="shared" si="12"/>
        <v>조사완료</v>
      </c>
      <c r="E92" s="3" t="s">
        <v>1369</v>
      </c>
      <c r="F92" s="3" t="s">
        <v>305</v>
      </c>
      <c r="G92" s="3" t="s">
        <v>1370</v>
      </c>
      <c r="H92" s="18" t="s">
        <v>1276</v>
      </c>
      <c r="I92" s="19">
        <v>124</v>
      </c>
      <c r="J92" s="2"/>
      <c r="K92" s="20">
        <v>33570</v>
      </c>
      <c r="L92" s="20"/>
      <c r="M92" s="17" t="str">
        <f t="shared" si="13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MATCH($BO92, 입력!$Z$2:$Z$500, 0)) &amp; "", "")</f>
        <v>5</v>
      </c>
      <c r="S92" s="64" t="str">
        <f>IFERROR(INDEX(입력!$K$2:$K$500, MATCH($BO92,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4"/>
        <v>2</v>
      </c>
      <c r="W92" s="1" t="str">
        <f t="shared" si="10"/>
        <v/>
      </c>
      <c r="X92" s="1">
        <v>3</v>
      </c>
      <c r="Y92" s="64" t="str">
        <f>IFERROR(INDEX(입력!$M$2:$M$500, MATCH($BO92, 입력!$Z$2:$Z$500, 0)) &amp; "", "")</f>
        <v/>
      </c>
      <c r="Z92" s="64" t="str">
        <f>IFERROR(INDEX(입력!$N$2:$N$500, MATCH($BO92, 입력!$Z$2:$Z$500, 0)) &amp; "", "")</f>
        <v>3</v>
      </c>
      <c r="AA92" s="64">
        <f>MAX(0, 표1[[#This Row],[의무_시설]]-표1[[#This Row],[시설합]])</f>
        <v>0</v>
      </c>
      <c r="AB92" s="17" t="str">
        <f t="shared" si="15"/>
        <v>이행완료</v>
      </c>
      <c r="AC92" s="64" t="str">
        <f>IFERROR(INDEX(입력!$P$2:$P$500, MATCH($BO92, 입력!$Z$2:$Z$500, 0)) &amp; "", "")</f>
        <v/>
      </c>
      <c r="AD92" s="64" t="str">
        <f>IFERROR(INDEX(입력!$Q$2:$Q$500, MATCH($BO92, 입력!$Z$2:$Z$500, 0)) &amp; "", "")</f>
        <v/>
      </c>
      <c r="AE92" s="64" t="str">
        <f>IFERROR(INDEX(입력!$R$2:$R$500, MATCH($BO92, 입력!$Z$2:$Z$500, 0)) &amp; "", "")</f>
        <v>여</v>
      </c>
      <c r="AF92" s="64" t="str">
        <f>IFERROR(INDEX(입력!$S$2:$S$500, MATCH($BO92, 입력!$Z$2:$Z$500, 0)) &amp; "", "")</f>
        <v>여</v>
      </c>
      <c r="AG92" s="64" t="str">
        <f>IFERROR(INDEX(입력!$T$2:$T$500, MATCH($BO92, 입력!$Z$2:$Z$500, 0)) &amp; "", "")</f>
        <v/>
      </c>
      <c r="AH92" s="64" t="str">
        <f>IFERROR(INDEX(입력!$U$2:$U$500, MATCH($BO92, 입력!$Z$2:$Z$500, 0)) &amp; "", "")</f>
        <v/>
      </c>
      <c r="AI92" s="64" t="str">
        <f>IFERROR(INDEX(입력!$V$2:$V$500, MATCH($BO92, 입력!$Z$2:$Z$500, 0)) &amp; "", "")</f>
        <v>여</v>
      </c>
      <c r="AJ92" s="44" t="str">
        <f>IFERROR(INDEX(입력!$W$2:$W$500, MATCH($BO92, 입력!$Z$2:$Z$500, 0)) &amp; "", "")</f>
        <v>최진호</v>
      </c>
      <c r="AK92" s="44" t="str">
        <f>IFERROR(INDEX(입력!$X$2:$X$500, MATCH($BO92, 입력!$Z$2:$Z$500, 0)) &amp; "", "")</f>
        <v>958-1292</v>
      </c>
      <c r="AL92" s="2"/>
      <c r="AM92" s="17" t="s">
        <v>1251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3131</v>
      </c>
      <c r="AZ92" s="71" t="str">
        <f>IFERROR(IF(INDEX(입력!$C$2:$C$500, MATCH($BO92, 입력!$Z$2:$Z$500, 0))="", "", TEXT(INDEX(입력!$C$2:$C$500, MATCH($BO92, 입력!$Z$2:$Z$500, 0)), "yyyy-mm-dd")), "")</f>
        <v>2026-05-11</v>
      </c>
      <c r="BA92" s="44" t="str">
        <f>IFERROR(INDEX(입력!$B$2:$B$500, MATCH($BO92, 입력!$Z$2:$Z$500, 0)) &amp; "", "")</f>
        <v>노기섭</v>
      </c>
      <c r="BB92" s="83" t="str">
        <f>IFERROR(INDEX(입력!$Y$2:$Y$500, MATCH($BO92, 입력!$Z$2:$Z$500, 0)) &amp; "", "")</f>
        <v/>
      </c>
      <c r="BC92" s="83" t="s">
        <v>3112</v>
      </c>
      <c r="BD92" s="83"/>
      <c r="BE92" s="101"/>
      <c r="BF92" s="101"/>
      <c r="BG92" s="101"/>
      <c r="BH92" s="101"/>
      <c r="BI92" s="101"/>
      <c r="BJ92" s="101"/>
      <c r="BK92" s="110"/>
      <c r="BL92" s="21"/>
      <c r="BM92" s="22"/>
      <c r="BN92" s="23"/>
      <c r="BO92" s="47" t="s">
        <v>306</v>
      </c>
    </row>
    <row r="93" spans="1:67" x14ac:dyDescent="0.45">
      <c r="A93" s="19">
        <v>92</v>
      </c>
      <c r="B93" s="1" t="s">
        <v>1175</v>
      </c>
      <c r="C93" s="17" t="str">
        <f t="shared" si="11"/>
        <v>이행완료</v>
      </c>
      <c r="D93" s="17" t="str">
        <f t="shared" si="12"/>
        <v>조사완료</v>
      </c>
      <c r="E93" s="3" t="s">
        <v>1371</v>
      </c>
      <c r="F93" s="3" t="s">
        <v>307</v>
      </c>
      <c r="G93" s="3" t="s">
        <v>1372</v>
      </c>
      <c r="H93" s="18" t="s">
        <v>1335</v>
      </c>
      <c r="I93" s="19">
        <v>134</v>
      </c>
      <c r="J93" s="2"/>
      <c r="K93" s="20">
        <v>37306</v>
      </c>
      <c r="L93" s="20"/>
      <c r="M93" s="17" t="str">
        <f t="shared" si="13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MATCH($BO93, 입력!$Z$2:$Z$500, 0)) &amp; "", "")</f>
        <v>3</v>
      </c>
      <c r="S93" s="64" t="str">
        <f>IFERROR(INDEX(입력!$K$2:$K$500, MATCH($BO93,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4"/>
        <v>3</v>
      </c>
      <c r="W93" s="1" t="str">
        <f t="shared" si="10"/>
        <v/>
      </c>
      <c r="X93" s="1">
        <v>3</v>
      </c>
      <c r="Y93" s="64" t="str">
        <f>IFERROR(INDEX(입력!$M$2:$M$500, MATCH($BO93, 입력!$Z$2:$Z$500, 0)) &amp; "", "")</f>
        <v/>
      </c>
      <c r="Z93" s="64" t="str">
        <f>IFERROR(INDEX(입력!$N$2:$N$500, MATCH($BO93, 입력!$Z$2:$Z$500, 0)) &amp; "", "")</f>
        <v>3</v>
      </c>
      <c r="AA93" s="64">
        <f>MAX(0, 표1[[#This Row],[의무_시설]]-표1[[#This Row],[시설합]])</f>
        <v>0</v>
      </c>
      <c r="AB93" s="17" t="str">
        <f t="shared" si="15"/>
        <v>이행완료</v>
      </c>
      <c r="AC93" s="64" t="str">
        <f>IFERROR(INDEX(입력!$P$2:$P$500, MATCH($BO93, 입력!$Z$2:$Z$500, 0)) &amp; "", "")</f>
        <v/>
      </c>
      <c r="AD93" s="64" t="str">
        <f>IFERROR(INDEX(입력!$Q$2:$Q$500, MATCH($BO93, 입력!$Z$2:$Z$500, 0)) &amp; "", "")</f>
        <v/>
      </c>
      <c r="AE93" s="64" t="str">
        <f>IFERROR(INDEX(입력!$R$2:$R$500, MATCH($BO93, 입력!$Z$2:$Z$500, 0)) &amp; "", "")</f>
        <v>여</v>
      </c>
      <c r="AF93" s="64" t="str">
        <f>IFERROR(INDEX(입력!$S$2:$S$500, MATCH($BO93, 입력!$Z$2:$Z$500, 0)) &amp; "", "")</f>
        <v>여</v>
      </c>
      <c r="AG93" s="64" t="str">
        <f>IFERROR(INDEX(입력!$T$2:$T$500, MATCH($BO93, 입력!$Z$2:$Z$500, 0)) &amp; "", "")</f>
        <v/>
      </c>
      <c r="AH93" s="64" t="str">
        <f>IFERROR(INDEX(입력!$U$2:$U$500, MATCH($BO93, 입력!$Z$2:$Z$500, 0)) &amp; "", "")</f>
        <v/>
      </c>
      <c r="AI93" s="64" t="str">
        <f>IFERROR(INDEX(입력!$V$2:$V$500, MATCH($BO93, 입력!$Z$2:$Z$500, 0)) &amp; "", "")</f>
        <v>여</v>
      </c>
      <c r="AJ93" s="44" t="str">
        <f>IFERROR(INDEX(입력!$W$2:$W$500, MATCH($BO93, 입력!$Z$2:$Z$500, 0)) &amp; "", "")</f>
        <v>김선찬</v>
      </c>
      <c r="AK93" s="44" t="str">
        <f>IFERROR(INDEX(입력!$X$2:$X$500, MATCH($BO93, 입력!$Z$2:$Z$500, 0)) &amp; "", "")</f>
        <v>010-5149-7672</v>
      </c>
      <c r="AL93" s="2"/>
      <c r="AM93" s="17" t="s">
        <v>1251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3137</v>
      </c>
      <c r="AZ93" s="71" t="str">
        <f>IFERROR(IF(INDEX(입력!$C$2:$C$500, MATCH($BO93, 입력!$Z$2:$Z$500, 0))="", "", TEXT(INDEX(입력!$C$2:$C$500, MATCH($BO93, 입력!$Z$2:$Z$500, 0)), "yyyy-mm-dd")), "")</f>
        <v>2026-05-08</v>
      </c>
      <c r="BA93" s="44" t="str">
        <f>IFERROR(INDEX(입력!$B$2:$B$500, MATCH($BO93, 입력!$Z$2:$Z$500, 0)) &amp; "", "")</f>
        <v>정은진</v>
      </c>
      <c r="BB93" s="83" t="str">
        <f>IFERROR(INDEX(입력!$Y$2:$Y$500, MATCH($BO93, 입력!$Z$2:$Z$500, 0)) &amp; "", "")</f>
        <v/>
      </c>
      <c r="BC93" s="83" t="s">
        <v>3112</v>
      </c>
      <c r="BD93" s="83"/>
      <c r="BE93" s="101"/>
      <c r="BF93" s="101"/>
      <c r="BG93" s="101"/>
      <c r="BH93" s="101"/>
      <c r="BI93" s="101"/>
      <c r="BJ93" s="101"/>
      <c r="BK93" s="110"/>
      <c r="BL93" s="21"/>
      <c r="BM93" s="22"/>
      <c r="BN93" s="23"/>
      <c r="BO93" s="47" t="s">
        <v>308</v>
      </c>
    </row>
    <row r="94" spans="1:67" x14ac:dyDescent="0.45">
      <c r="A94" s="46">
        <v>93</v>
      </c>
      <c r="B94" s="1" t="s">
        <v>1175</v>
      </c>
      <c r="C94" s="17" t="str">
        <f t="shared" si="11"/>
        <v>이행완료</v>
      </c>
      <c r="D94" s="17" t="str">
        <f t="shared" si="12"/>
        <v>조사완료</v>
      </c>
      <c r="E94" s="3" t="s">
        <v>1373</v>
      </c>
      <c r="F94" s="3" t="s">
        <v>309</v>
      </c>
      <c r="G94" s="3" t="s">
        <v>1374</v>
      </c>
      <c r="H94" s="18" t="s">
        <v>1202</v>
      </c>
      <c r="I94" s="19">
        <v>221</v>
      </c>
      <c r="J94" s="2"/>
      <c r="K94" s="20">
        <v>40197</v>
      </c>
      <c r="L94" s="20"/>
      <c r="M94" s="17" t="str">
        <f t="shared" si="13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MATCH($BO94, 입력!$Z$2:$Z$500, 0)) &amp; "", "")</f>
        <v>4</v>
      </c>
      <c r="S94" s="64" t="str">
        <f>IFERROR(INDEX(입력!$K$2:$K$500, MATCH($BO94,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4"/>
        <v>4</v>
      </c>
      <c r="W94" s="1" t="str">
        <f t="shared" si="10"/>
        <v/>
      </c>
      <c r="X94" s="1">
        <v>4</v>
      </c>
      <c r="Y94" s="64" t="str">
        <f>IFERROR(INDEX(입력!$M$2:$M$500, MATCH($BO94, 입력!$Z$2:$Z$500, 0)) &amp; "", "")</f>
        <v/>
      </c>
      <c r="Z94" s="64" t="str">
        <f>IFERROR(INDEX(입력!$N$2:$N$500, MATCH($BO94, 입력!$Z$2:$Z$500, 0)) &amp; "", "")</f>
        <v>4</v>
      </c>
      <c r="AA94" s="64">
        <f>MAX(0, 표1[[#This Row],[의무_시설]]-표1[[#This Row],[시설합]])</f>
        <v>0</v>
      </c>
      <c r="AB94" s="17" t="str">
        <f t="shared" si="15"/>
        <v>이행완료</v>
      </c>
      <c r="AC94" s="64" t="str">
        <f>IFERROR(INDEX(입력!$P$2:$P$500, MATCH($BO94, 입력!$Z$2:$Z$500, 0)) &amp; "", "")</f>
        <v/>
      </c>
      <c r="AD94" s="64" t="str">
        <f>IFERROR(INDEX(입력!$Q$2:$Q$500, MATCH($BO94, 입력!$Z$2:$Z$500, 0)) &amp; "", "")</f>
        <v/>
      </c>
      <c r="AE94" s="64" t="str">
        <f>IFERROR(INDEX(입력!$R$2:$R$500, MATCH($BO94, 입력!$Z$2:$Z$500, 0)) &amp; "", "")</f>
        <v>여</v>
      </c>
      <c r="AF94" s="64" t="str">
        <f>IFERROR(INDEX(입력!$S$2:$S$500, MATCH($BO94, 입력!$Z$2:$Z$500, 0)) &amp; "", "")</f>
        <v>부</v>
      </c>
      <c r="AG94" s="64" t="str">
        <f>IFERROR(INDEX(입력!$T$2:$T$500, MATCH($BO94, 입력!$Z$2:$Z$500, 0)) &amp; "", "")</f>
        <v/>
      </c>
      <c r="AH94" s="64" t="str">
        <f>IFERROR(INDEX(입력!$U$2:$U$500, MATCH($BO94, 입력!$Z$2:$Z$500, 0)) &amp; "", "")</f>
        <v/>
      </c>
      <c r="AI94" s="64" t="str">
        <f>IFERROR(INDEX(입력!$V$2:$V$500, MATCH($BO94, 입력!$Z$2:$Z$500, 0)) &amp; "", "")</f>
        <v>여</v>
      </c>
      <c r="AJ94" s="44" t="str">
        <f>IFERROR(INDEX(입력!$W$2:$W$500, MATCH($BO94, 입력!$Z$2:$Z$500, 0)) &amp; "", "")</f>
        <v>조진아</v>
      </c>
      <c r="AK94" s="44" t="str">
        <f>IFERROR(INDEX(입력!$X$2:$X$500, MATCH($BO94, 입력!$Z$2:$Z$500, 0)) &amp; "", "")</f>
        <v>010-5629-5221</v>
      </c>
      <c r="AL94" s="2" t="s">
        <v>1375</v>
      </c>
      <c r="AM94" s="17" t="s">
        <v>1060</v>
      </c>
      <c r="AN94" s="83"/>
      <c r="AO94" s="17" t="s">
        <v>1059</v>
      </c>
      <c r="AP94" s="2" t="s">
        <v>1376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3137</v>
      </c>
      <c r="AZ94" s="71" t="str">
        <f>IFERROR(IF(INDEX(입력!$C$2:$C$500, MATCH($BO94, 입력!$Z$2:$Z$500, 0))="", "", TEXT(INDEX(입력!$C$2:$C$500, MATCH($BO94, 입력!$Z$2:$Z$500, 0)), "yyyy-mm-dd")), "")</f>
        <v>2026-05-07</v>
      </c>
      <c r="BA94" s="44" t="str">
        <f>IFERROR(INDEX(입력!$B$2:$B$500, MATCH($BO94, 입력!$Z$2:$Z$500, 0)) &amp; "", "")</f>
        <v>정은진</v>
      </c>
      <c r="BB94" s="83" t="str">
        <f>IFERROR(INDEX(입력!$Y$2:$Y$500, MATCH($BO94, 입력!$Z$2:$Z$500, 0)) &amp; "", "")</f>
        <v/>
      </c>
      <c r="BC94" s="83" t="s">
        <v>3112</v>
      </c>
      <c r="BD94" s="83"/>
      <c r="BE94" s="101"/>
      <c r="BF94" s="101"/>
      <c r="BG94" s="101"/>
      <c r="BH94" s="101"/>
      <c r="BI94" s="101"/>
      <c r="BJ94" s="101"/>
      <c r="BK94" s="110"/>
      <c r="BL94" s="21"/>
      <c r="BM94" s="22"/>
      <c r="BN94" s="23"/>
      <c r="BO94" s="47" t="s">
        <v>310</v>
      </c>
    </row>
    <row r="95" spans="1:67" x14ac:dyDescent="0.45">
      <c r="A95" s="19">
        <v>94</v>
      </c>
      <c r="B95" s="1" t="s">
        <v>1175</v>
      </c>
      <c r="C95" s="17" t="str">
        <f t="shared" si="11"/>
        <v>이행완료</v>
      </c>
      <c r="D95" s="17" t="str">
        <f t="shared" si="12"/>
        <v>조사완료</v>
      </c>
      <c r="E95" s="3" t="s">
        <v>1377</v>
      </c>
      <c r="F95" s="3" t="s">
        <v>311</v>
      </c>
      <c r="G95" s="3" t="s">
        <v>1378</v>
      </c>
      <c r="H95" s="18" t="s">
        <v>1335</v>
      </c>
      <c r="I95" s="19">
        <v>71</v>
      </c>
      <c r="J95" s="2"/>
      <c r="K95" s="20">
        <v>41065</v>
      </c>
      <c r="L95" s="20"/>
      <c r="M95" s="17" t="str">
        <f t="shared" si="13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MATCH($BO95, 입력!$Z$2:$Z$500, 0)) &amp; "", "")</f>
        <v>2</v>
      </c>
      <c r="S95" s="64" t="str">
        <f>IFERROR(INDEX(입력!$K$2:$K$500, MATCH($BO95,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4"/>
        <v>1</v>
      </c>
      <c r="W95" s="1" t="str">
        <f t="shared" si="10"/>
        <v/>
      </c>
      <c r="X95" s="1">
        <v>2</v>
      </c>
      <c r="Y95" s="64" t="str">
        <f>IFERROR(INDEX(입력!$M$2:$M$500, MATCH($BO95, 입력!$Z$2:$Z$500, 0)) &amp; "", "")</f>
        <v/>
      </c>
      <c r="Z95" s="64" t="str">
        <f>IFERROR(INDEX(입력!$N$2:$N$500, MATCH($BO95, 입력!$Z$2:$Z$500, 0)) &amp; "", "")</f>
        <v>2</v>
      </c>
      <c r="AA95" s="64">
        <f>MAX(0, 표1[[#This Row],[의무_시설]]-표1[[#This Row],[시설합]])</f>
        <v>0</v>
      </c>
      <c r="AB95" s="17" t="str">
        <f t="shared" si="15"/>
        <v>이행완료</v>
      </c>
      <c r="AC95" s="64" t="str">
        <f>IFERROR(INDEX(입력!$P$2:$P$500, MATCH($BO95, 입력!$Z$2:$Z$500, 0)) &amp; "", "")</f>
        <v/>
      </c>
      <c r="AD95" s="64" t="str">
        <f>IFERROR(INDEX(입력!$Q$2:$Q$500, MATCH($BO95, 입력!$Z$2:$Z$500, 0)) &amp; "", "")</f>
        <v/>
      </c>
      <c r="AE95" s="64" t="str">
        <f>IFERROR(INDEX(입력!$R$2:$R$500, MATCH($BO95, 입력!$Z$2:$Z$500, 0)) &amp; "", "")</f>
        <v>여</v>
      </c>
      <c r="AF95" s="64" t="str">
        <f>IFERROR(INDEX(입력!$S$2:$S$500, MATCH($BO95, 입력!$Z$2:$Z$500, 0)) &amp; "", "")</f>
        <v>여</v>
      </c>
      <c r="AG95" s="64" t="str">
        <f>IFERROR(INDEX(입력!$T$2:$T$500, MATCH($BO95, 입력!$Z$2:$Z$500, 0)) &amp; "", "")</f>
        <v/>
      </c>
      <c r="AH95" s="64" t="str">
        <f>IFERROR(INDEX(입력!$U$2:$U$500, MATCH($BO95, 입력!$Z$2:$Z$500, 0)) &amp; "", "")</f>
        <v/>
      </c>
      <c r="AI95" s="64" t="str">
        <f>IFERROR(INDEX(입력!$V$2:$V$500, MATCH($BO95, 입력!$Z$2:$Z$500, 0)) &amp; "", "")</f>
        <v>여</v>
      </c>
      <c r="AJ95" s="44" t="str">
        <f>IFERROR(INDEX(입력!$W$2:$W$500, MATCH($BO95, 입력!$Z$2:$Z$500, 0)) &amp; "", "")</f>
        <v>박정준</v>
      </c>
      <c r="AK95" s="44" t="str">
        <f>IFERROR(INDEX(입력!$X$2:$X$500, MATCH($BO95, 입력!$Z$2:$Z$500, 0)) &amp; "", "")</f>
        <v>010-2670-9087</v>
      </c>
      <c r="AL95" s="2"/>
      <c r="AM95" s="17" t="s">
        <v>1251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3137</v>
      </c>
      <c r="AZ95" s="71" t="str">
        <f>IFERROR(IF(INDEX(입력!$C$2:$C$500, MATCH($BO95, 입력!$Z$2:$Z$500, 0))="", "", TEXT(INDEX(입력!$C$2:$C$500, MATCH($BO95, 입력!$Z$2:$Z$500, 0)), "yyyy-mm-dd")), "")</f>
        <v>2026-05-11</v>
      </c>
      <c r="BA95" s="44" t="str">
        <f>IFERROR(INDEX(입력!$B$2:$B$500, MATCH($BO95, 입력!$Z$2:$Z$500, 0)) &amp; "", "")</f>
        <v>정은진</v>
      </c>
      <c r="BB95" s="83" t="str">
        <f>IFERROR(INDEX(입력!$Y$2:$Y$500, MATCH($BO95, 입력!$Z$2:$Z$500, 0)) &amp; "", "")</f>
        <v/>
      </c>
      <c r="BC95" s="83" t="s">
        <v>3112</v>
      </c>
      <c r="BD95" s="83"/>
      <c r="BE95" s="101"/>
      <c r="BF95" s="101"/>
      <c r="BG95" s="101"/>
      <c r="BH95" s="101"/>
      <c r="BI95" s="101"/>
      <c r="BJ95" s="101"/>
      <c r="BK95" s="110"/>
      <c r="BL95" s="21"/>
      <c r="BM95" s="22"/>
      <c r="BN95" s="23"/>
      <c r="BO95" s="47" t="s">
        <v>312</v>
      </c>
    </row>
    <row r="96" spans="1:67" x14ac:dyDescent="0.45">
      <c r="A96" s="46">
        <v>95</v>
      </c>
      <c r="B96" s="1" t="s">
        <v>1175</v>
      </c>
      <c r="C96" s="17" t="str">
        <f t="shared" si="11"/>
        <v>이행완료</v>
      </c>
      <c r="D96" s="17" t="str">
        <f t="shared" si="12"/>
        <v>조사완료</v>
      </c>
      <c r="E96" s="3" t="s">
        <v>1379</v>
      </c>
      <c r="F96" s="3" t="s">
        <v>313</v>
      </c>
      <c r="G96" s="3" t="s">
        <v>1380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3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MATCH($BO96, 입력!$Z$2:$Z$500, 0)) &amp; "", "")</f>
        <v>2</v>
      </c>
      <c r="S96" s="64" t="str">
        <f>IFERROR(INDEX(입력!$K$2:$K$500, MATCH($BO96,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4"/>
        <v>2</v>
      </c>
      <c r="W96" s="1" t="str">
        <f t="shared" si="10"/>
        <v/>
      </c>
      <c r="X96" s="1">
        <v>2</v>
      </c>
      <c r="Y96" s="64" t="str">
        <f>IFERROR(INDEX(입력!$M$2:$M$500, MATCH($BO96, 입력!$Z$2:$Z$500, 0)) &amp; "", "")</f>
        <v/>
      </c>
      <c r="Z96" s="64" t="str">
        <f>IFERROR(INDEX(입력!$N$2:$N$500, MATCH($BO96, 입력!$Z$2:$Z$500, 0)) &amp; "", "")</f>
        <v>2</v>
      </c>
      <c r="AA96" s="64">
        <f>MAX(0, 표1[[#This Row],[의무_시설]]-표1[[#This Row],[시설합]])</f>
        <v>0</v>
      </c>
      <c r="AB96" s="17" t="str">
        <f t="shared" si="15"/>
        <v>이행완료</v>
      </c>
      <c r="AC96" s="64" t="str">
        <f>IFERROR(INDEX(입력!$P$2:$P$500, MATCH($BO96, 입력!$Z$2:$Z$500, 0)) &amp; "", "")</f>
        <v/>
      </c>
      <c r="AD96" s="64" t="str">
        <f>IFERROR(INDEX(입력!$Q$2:$Q$500, MATCH($BO96, 입력!$Z$2:$Z$500, 0)) &amp; "", "")</f>
        <v/>
      </c>
      <c r="AE96" s="64" t="str">
        <f>IFERROR(INDEX(입력!$R$2:$R$500, MATCH($BO96, 입력!$Z$2:$Z$500, 0)) &amp; "", "")</f>
        <v/>
      </c>
      <c r="AF96" s="64" t="str">
        <f>IFERROR(INDEX(입력!$S$2:$S$500, MATCH($BO96, 입력!$Z$2:$Z$500, 0)) &amp; "", "")</f>
        <v/>
      </c>
      <c r="AG96" s="64" t="str">
        <f>IFERROR(INDEX(입력!$T$2:$T$500, MATCH($BO96, 입력!$Z$2:$Z$500, 0)) &amp; "", "")</f>
        <v/>
      </c>
      <c r="AH96" s="64" t="str">
        <f>IFERROR(INDEX(입력!$U$2:$U$500, MATCH($BO96, 입력!$Z$2:$Z$500, 0)) &amp; "", "")</f>
        <v/>
      </c>
      <c r="AI96" s="64" t="str">
        <f>IFERROR(INDEX(입력!$V$2:$V$500, MATCH($BO96, 입력!$Z$2:$Z$500, 0)) &amp; "", "")</f>
        <v>여</v>
      </c>
      <c r="AJ96" s="44" t="str">
        <f>IFERROR(INDEX(입력!$W$2:$W$500, MATCH($BO96, 입력!$Z$2:$Z$500, 0)) &amp; "", "")</f>
        <v>최성욱</v>
      </c>
      <c r="AK96" s="44" t="str">
        <f>IFERROR(INDEX(입력!$X$2:$X$500, MATCH($BO96, 입력!$Z$2:$Z$500, 0)) &amp; "", "")</f>
        <v>960-4003</v>
      </c>
      <c r="AL96" s="2"/>
      <c r="AM96" s="17" t="s">
        <v>1251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3137</v>
      </c>
      <c r="AZ96" s="71" t="str">
        <f>IFERROR(IF(INDEX(입력!$C$2:$C$500, MATCH($BO96, 입력!$Z$2:$Z$500, 0))="", "", TEXT(INDEX(입력!$C$2:$C$500, MATCH($BO96, 입력!$Z$2:$Z$500, 0)), "yyyy-mm-dd")), "")</f>
        <v>2026-05-08</v>
      </c>
      <c r="BA96" s="44" t="str">
        <f>IFERROR(INDEX(입력!$B$2:$B$500, MATCH($BO96, 입력!$Z$2:$Z$500, 0)) &amp; "", "")</f>
        <v>정은진</v>
      </c>
      <c r="BB96" s="83" t="str">
        <f>IFERROR(INDEX(입력!$Y$2:$Y$500, MATCH($BO96, 입력!$Z$2:$Z$500, 0)) &amp; "", "")</f>
        <v>충전시설,보험 다시 알아보고 연락해주신다고 하심</v>
      </c>
      <c r="BC96" s="83" t="s">
        <v>3112</v>
      </c>
      <c r="BD96" s="83"/>
      <c r="BE96" s="101"/>
      <c r="BF96" s="101"/>
      <c r="BG96" s="101"/>
      <c r="BH96" s="101"/>
      <c r="BI96" s="101"/>
      <c r="BJ96" s="101"/>
      <c r="BK96" s="110"/>
      <c r="BL96" s="21"/>
      <c r="BM96" s="22"/>
      <c r="BN96" s="23"/>
      <c r="BO96" s="47" t="s">
        <v>314</v>
      </c>
    </row>
    <row r="97" spans="1:67" x14ac:dyDescent="0.45">
      <c r="A97" s="19">
        <v>96</v>
      </c>
      <c r="B97" s="1" t="s">
        <v>1175</v>
      </c>
      <c r="C97" s="17" t="str">
        <f t="shared" si="11"/>
        <v>이행완료</v>
      </c>
      <c r="D97" s="17" t="str">
        <f t="shared" si="12"/>
        <v>조사완료</v>
      </c>
      <c r="E97" s="3" t="s">
        <v>1381</v>
      </c>
      <c r="F97" s="3" t="s">
        <v>315</v>
      </c>
      <c r="G97" s="3" t="s">
        <v>1382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3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MATCH($BO97, 입력!$Z$2:$Z$500, 0)) &amp; "", "")</f>
        <v>2</v>
      </c>
      <c r="S97" s="64" t="str">
        <f>IFERROR(INDEX(입력!$K$2:$K$500, MATCH($BO97,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4"/>
        <v>1</v>
      </c>
      <c r="W97" s="1" t="str">
        <f t="shared" si="10"/>
        <v/>
      </c>
      <c r="X97" s="1">
        <v>2</v>
      </c>
      <c r="Y97" s="64" t="str">
        <f>IFERROR(INDEX(입력!$M$2:$M$500, MATCH($BO97, 입력!$Z$2:$Z$500, 0)) &amp; "", "")</f>
        <v/>
      </c>
      <c r="Z97" s="64" t="str">
        <f>IFERROR(INDEX(입력!$N$2:$N$500, MATCH($BO97, 입력!$Z$2:$Z$500, 0)) &amp; "", "")</f>
        <v>2</v>
      </c>
      <c r="AA97" s="64">
        <f>MAX(0, 표1[[#This Row],[의무_시설]]-표1[[#This Row],[시설합]])</f>
        <v>0</v>
      </c>
      <c r="AB97" s="17" t="str">
        <f t="shared" si="15"/>
        <v>이행완료</v>
      </c>
      <c r="AC97" s="64" t="str">
        <f>IFERROR(INDEX(입력!$P$2:$P$500, MATCH($BO97, 입력!$Z$2:$Z$500, 0)) &amp; "", "")</f>
        <v/>
      </c>
      <c r="AD97" s="64" t="str">
        <f>IFERROR(INDEX(입력!$Q$2:$Q$500, MATCH($BO97, 입력!$Z$2:$Z$500, 0)) &amp; "", "")</f>
        <v/>
      </c>
      <c r="AE97" s="64" t="str">
        <f>IFERROR(INDEX(입력!$R$2:$R$500, MATCH($BO97, 입력!$Z$2:$Z$500, 0)) &amp; "", "")</f>
        <v>여</v>
      </c>
      <c r="AF97" s="64" t="str">
        <f>IFERROR(INDEX(입력!$S$2:$S$500, MATCH($BO97, 입력!$Z$2:$Z$500, 0)) &amp; "", "")</f>
        <v>여</v>
      </c>
      <c r="AG97" s="64" t="str">
        <f>IFERROR(INDEX(입력!$T$2:$T$500, MATCH($BO97, 입력!$Z$2:$Z$500, 0)) &amp; "", "")</f>
        <v/>
      </c>
      <c r="AH97" s="64" t="str">
        <f>IFERROR(INDEX(입력!$U$2:$U$500, MATCH($BO97, 입력!$Z$2:$Z$500, 0)) &amp; "", "")</f>
        <v/>
      </c>
      <c r="AI97" s="64" t="str">
        <f>IFERROR(INDEX(입력!$V$2:$V$500, MATCH($BO97, 입력!$Z$2:$Z$500, 0)) &amp; "", "")</f>
        <v>여</v>
      </c>
      <c r="AJ97" s="44" t="str">
        <f>IFERROR(INDEX(입력!$W$2:$W$500, MATCH($BO97, 입력!$Z$2:$Z$500, 0)) &amp; "", "")</f>
        <v>장유진</v>
      </c>
      <c r="AK97" s="44" t="str">
        <f>IFERROR(INDEX(입력!$X$2:$X$500, MATCH($BO97, 입력!$Z$2:$Z$500, 0)) &amp; "", "")</f>
        <v>951-5000</v>
      </c>
      <c r="AL97" s="2" t="s">
        <v>1383</v>
      </c>
      <c r="AM97" s="17" t="s">
        <v>1179</v>
      </c>
      <c r="AN97" s="83"/>
      <c r="AO97" s="17" t="s">
        <v>1059</v>
      </c>
      <c r="AP97" s="2" t="s">
        <v>1384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3137</v>
      </c>
      <c r="AZ97" s="71" t="str">
        <f>IFERROR(IF(INDEX(입력!$C$2:$C$500, MATCH($BO97, 입력!$Z$2:$Z$500, 0))="", "", TEXT(INDEX(입력!$C$2:$C$500, MATCH($BO97, 입력!$Z$2:$Z$500, 0)), "yyyy-mm-dd")), "")</f>
        <v>2026-05-06</v>
      </c>
      <c r="BA97" s="44" t="str">
        <f>IFERROR(INDEX(입력!$B$2:$B$500, MATCH($BO97, 입력!$Z$2:$Z$500, 0)) &amp; "", "")</f>
        <v>노기섭</v>
      </c>
      <c r="BB97" s="83" t="str">
        <f>IFERROR(INDEX(입력!$Y$2:$Y$500, MATCH($BO97, 입력!$Z$2:$Z$500, 0)) &amp; "", "")</f>
        <v>바닥 전용주차구역 미표시</v>
      </c>
      <c r="BC97" s="83" t="s">
        <v>3112</v>
      </c>
      <c r="BD97" s="83"/>
      <c r="BE97" s="101"/>
      <c r="BF97" s="101"/>
      <c r="BG97" s="101"/>
      <c r="BH97" s="101"/>
      <c r="BI97" s="101"/>
      <c r="BJ97" s="101"/>
      <c r="BK97" s="110"/>
      <c r="BL97" s="21"/>
      <c r="BM97" s="22"/>
      <c r="BN97" s="23"/>
      <c r="BO97" s="47" t="s">
        <v>316</v>
      </c>
    </row>
    <row r="98" spans="1:67" s="97" customFormat="1" x14ac:dyDescent="0.45">
      <c r="A98" s="98">
        <v>97</v>
      </c>
      <c r="B98" s="88" t="s">
        <v>1175</v>
      </c>
      <c r="C98" s="87" t="s">
        <v>3109</v>
      </c>
      <c r="D98" s="87" t="str">
        <f t="shared" si="12"/>
        <v/>
      </c>
      <c r="E98" s="99" t="s">
        <v>1385</v>
      </c>
      <c r="F98" s="99" t="s">
        <v>317</v>
      </c>
      <c r="G98" s="99" t="s">
        <v>1386</v>
      </c>
      <c r="H98" s="87" t="s">
        <v>1152</v>
      </c>
      <c r="I98" s="85">
        <v>29</v>
      </c>
      <c r="J98" s="86"/>
      <c r="K98" s="89">
        <v>37091</v>
      </c>
      <c r="L98" s="89"/>
      <c r="M98" s="87" t="str">
        <f t="shared" si="13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MATCH($BO98, 입력!$Z$2:$Z$500, 0)) &amp; "", "")</f>
        <v/>
      </c>
      <c r="S98" s="91" t="str">
        <f>IFERROR(INDEX(입력!$K$2:$K$500, MATCH($BO98,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4"/>
        <v>1</v>
      </c>
      <c r="W98" s="88" t="str">
        <f t="shared" si="10"/>
        <v/>
      </c>
      <c r="X98" s="88">
        <v>0</v>
      </c>
      <c r="Y98" s="91" t="str">
        <f>IFERROR(INDEX(입력!$M$2:$M$500, MATCH($BO98, 입력!$Z$2:$Z$500, 0)) &amp; "", "")</f>
        <v/>
      </c>
      <c r="Z98" s="91" t="str">
        <f>IFERROR(INDEX(입력!$N$2:$N$500, MATCH($BO98, 입력!$Z$2:$Z$500, 0)) &amp; "", "")</f>
        <v/>
      </c>
      <c r="AA98" s="91">
        <f>MAX(0, 표1[[#This Row],[의무_시설]]-표1[[#This Row],[시설합]])</f>
        <v>1</v>
      </c>
      <c r="AB98" s="87" t="str">
        <f t="shared" si="15"/>
        <v>미이행</v>
      </c>
      <c r="AC98" s="91" t="str">
        <f>IFERROR(INDEX(입력!$P$2:$P$500, MATCH($BO98, 입력!$Z$2:$Z$500, 0)) &amp; "", "")</f>
        <v/>
      </c>
      <c r="AD98" s="91" t="str">
        <f>IFERROR(INDEX(입력!$Q$2:$Q$500, MATCH($BO98, 입력!$Z$2:$Z$500, 0)) &amp; "", "")</f>
        <v/>
      </c>
      <c r="AE98" s="91" t="str">
        <f>IFERROR(INDEX(입력!$R$2:$R$500, MATCH($BO98, 입력!$Z$2:$Z$500, 0)) &amp; "", "")</f>
        <v/>
      </c>
      <c r="AF98" s="91" t="str">
        <f>IFERROR(INDEX(입력!$S$2:$S$500, MATCH($BO98, 입력!$Z$2:$Z$500, 0)) &amp; "", "")</f>
        <v/>
      </c>
      <c r="AG98" s="91" t="str">
        <f>IFERROR(INDEX(입력!$T$2:$T$500, MATCH($BO98, 입력!$Z$2:$Z$500, 0)) &amp; "", "")</f>
        <v/>
      </c>
      <c r="AH98" s="91" t="str">
        <f>IFERROR(INDEX(입력!$U$2:$U$500, MATCH($BO98, 입력!$Z$2:$Z$500, 0)) &amp; "", "")</f>
        <v/>
      </c>
      <c r="AI98" s="91" t="str">
        <f>IFERROR(INDEX(입력!$V$2:$V$500, MATCH($BO98, 입력!$Z$2:$Z$500, 0)) &amp; "", "")</f>
        <v/>
      </c>
      <c r="AJ98" s="92" t="str">
        <f>IFERROR(INDEX(입력!$W$2:$W$500, MATCH($BO98, 입력!$Z$2:$Z$500, 0)) &amp; "", "")</f>
        <v/>
      </c>
      <c r="AK98" s="92" t="str">
        <f>IFERROR(INDEX(입력!$X$2:$X$500, MATCH($BO98, 입력!$Z$2:$Z$500, 0)) &amp; "", "")</f>
        <v/>
      </c>
      <c r="AL98" s="86"/>
      <c r="AM98" s="87" t="s">
        <v>1179</v>
      </c>
      <c r="AN98" s="115">
        <v>46041</v>
      </c>
      <c r="AO98" s="87" t="s">
        <v>1067</v>
      </c>
      <c r="AP98" s="100" t="s">
        <v>1387</v>
      </c>
      <c r="AQ98" s="108" t="s">
        <v>3159</v>
      </c>
      <c r="AR98" s="94" t="s">
        <v>1388</v>
      </c>
      <c r="AS98" s="114" t="s">
        <v>3124</v>
      </c>
      <c r="AT98" s="109">
        <v>46104</v>
      </c>
      <c r="AU98" s="101" t="s">
        <v>3126</v>
      </c>
      <c r="AV98" s="114" t="s">
        <v>3186</v>
      </c>
      <c r="AW98" s="100"/>
      <c r="AX98" s="100"/>
      <c r="AY98" s="83" t="s">
        <v>3137</v>
      </c>
      <c r="AZ98" s="71" t="str">
        <f>IFERROR(IF(INDEX(입력!$C$2:$C$500, MATCH($BO98, 입력!$Z$2:$Z$500, 0))="", "", TEXT(INDEX(입력!$C$2:$C$500, MATCH($BO98, 입력!$Z$2:$Z$500, 0)), "yyyy-mm-dd")), "")</f>
        <v/>
      </c>
      <c r="BA98" s="44" t="str">
        <f>IFERROR(INDEX(입력!$B$2:$B$500, MATCH($BO98, 입력!$Z$2:$Z$500, 0)) &amp; "", "")</f>
        <v/>
      </c>
      <c r="BB98" s="83" t="str">
        <f>IFERROR(INDEX(입력!$Y$2:$Y$500, MATCH($BO98, 입력!$Z$2:$Z$500, 0)) &amp; "", "")</f>
        <v/>
      </c>
      <c r="BC98" s="93" t="s">
        <v>3233</v>
      </c>
      <c r="BD98" s="93"/>
      <c r="BE98" s="114" t="s">
        <v>3234</v>
      </c>
      <c r="BF98" s="100"/>
      <c r="BG98" s="100"/>
      <c r="BH98" s="100"/>
      <c r="BI98" s="100"/>
      <c r="BJ98" s="100"/>
      <c r="BK98" s="112"/>
      <c r="BL98" s="90"/>
      <c r="BM98" s="94"/>
      <c r="BN98" s="95"/>
      <c r="BO98" s="96" t="s">
        <v>318</v>
      </c>
    </row>
    <row r="99" spans="1:67" x14ac:dyDescent="0.45">
      <c r="A99" s="19">
        <v>98</v>
      </c>
      <c r="B99" s="1" t="s">
        <v>1175</v>
      </c>
      <c r="C99" s="17" t="str">
        <f t="shared" si="11"/>
        <v>미이행</v>
      </c>
      <c r="D99" s="17" t="str">
        <f t="shared" si="12"/>
        <v>조사완료</v>
      </c>
      <c r="E99" s="3" t="s">
        <v>1389</v>
      </c>
      <c r="F99" s="3" t="s">
        <v>319</v>
      </c>
      <c r="G99" s="3" t="s">
        <v>1390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3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MATCH($BO99, 입력!$Z$2:$Z$500, 0)) &amp; "", "")</f>
        <v/>
      </c>
      <c r="S99" s="64" t="str">
        <f>IFERROR(INDEX(입력!$K$2:$K$500, MATCH($BO99,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4"/>
        <v>1</v>
      </c>
      <c r="W99" s="1" t="str">
        <f t="shared" si="10"/>
        <v/>
      </c>
      <c r="X99" s="1">
        <v>0</v>
      </c>
      <c r="Y99" s="64" t="str">
        <f>IFERROR(INDEX(입력!$M$2:$M$500, MATCH($BO99, 입력!$Z$2:$Z$500, 0)) &amp; "", "")</f>
        <v/>
      </c>
      <c r="Z99" s="64" t="str">
        <f>IFERROR(INDEX(입력!$N$2:$N$500, MATCH($BO99, 입력!$Z$2:$Z$500, 0)) &amp; "", "")</f>
        <v/>
      </c>
      <c r="AA99" s="64">
        <f>MAX(0, 표1[[#This Row],[의무_시설]]-표1[[#This Row],[시설합]])</f>
        <v>1</v>
      </c>
      <c r="AB99" s="17" t="str">
        <f t="shared" si="15"/>
        <v>미이행</v>
      </c>
      <c r="AC99" s="64" t="str">
        <f>IFERROR(INDEX(입력!$P$2:$P$500, MATCH($BO99, 입력!$Z$2:$Z$500, 0)) &amp; "", "")</f>
        <v/>
      </c>
      <c r="AD99" s="64" t="str">
        <f>IFERROR(INDEX(입력!$Q$2:$Q$500, MATCH($BO99, 입력!$Z$2:$Z$500, 0)) &amp; "", "")</f>
        <v/>
      </c>
      <c r="AE99" s="64" t="str">
        <f>IFERROR(INDEX(입력!$R$2:$R$500, MATCH($BO99, 입력!$Z$2:$Z$500, 0)) &amp; "", "")</f>
        <v/>
      </c>
      <c r="AF99" s="64" t="str">
        <f>IFERROR(INDEX(입력!$S$2:$S$500, MATCH($BO99, 입력!$Z$2:$Z$500, 0)) &amp; "", "")</f>
        <v/>
      </c>
      <c r="AG99" s="64" t="str">
        <f>IFERROR(INDEX(입력!$T$2:$T$500, MATCH($BO99, 입력!$Z$2:$Z$500, 0)) &amp; "", "")</f>
        <v/>
      </c>
      <c r="AH99" s="64" t="str">
        <f>IFERROR(INDEX(입력!$U$2:$U$500, MATCH($BO99, 입력!$Z$2:$Z$500, 0)) &amp; "", "")</f>
        <v/>
      </c>
      <c r="AI99" s="64" t="str">
        <f>IFERROR(INDEX(입력!$V$2:$V$500, MATCH($BO99, 입력!$Z$2:$Z$500, 0)) &amp; "", "")</f>
        <v>여</v>
      </c>
      <c r="AJ99" s="44" t="str">
        <f>IFERROR(INDEX(입력!$W$2:$W$500, MATCH($BO99, 입력!$Z$2:$Z$500, 0)) &amp; "", "")</f>
        <v>김성철</v>
      </c>
      <c r="AK99" s="44" t="str">
        <f>IFERROR(INDEX(입력!$X$2:$X$500, MATCH($BO99, 입력!$Z$2:$Z$500, 0)) &amp; "", "")</f>
        <v>940-3512</v>
      </c>
      <c r="AL99" s="2" t="s">
        <v>1391</v>
      </c>
      <c r="AM99" s="17" t="s">
        <v>1145</v>
      </c>
      <c r="AN99" s="113">
        <v>46113</v>
      </c>
      <c r="AO99" s="17" t="s">
        <v>1067</v>
      </c>
      <c r="AP99" s="101" t="s">
        <v>3235</v>
      </c>
      <c r="AQ99" s="108"/>
      <c r="AR99" s="22"/>
      <c r="AS99" s="101" t="s">
        <v>3163</v>
      </c>
      <c r="AT99" s="109">
        <v>46104</v>
      </c>
      <c r="AU99" s="101" t="s">
        <v>3141</v>
      </c>
      <c r="AV99" s="101" t="s">
        <v>3236</v>
      </c>
      <c r="AW99" s="101" t="s">
        <v>3237</v>
      </c>
      <c r="AX99" s="101"/>
      <c r="AY99" s="83" t="s">
        <v>3132</v>
      </c>
      <c r="AZ99" s="71" t="str">
        <f>IFERROR(IF(INDEX(입력!$C$2:$C$500, MATCH($BO99, 입력!$Z$2:$Z$500, 0))="", "", TEXT(INDEX(입력!$C$2:$C$500, MATCH($BO99, 입력!$Z$2:$Z$500, 0)), "yyyy-mm-dd")), "")</f>
        <v>2026-04-16</v>
      </c>
      <c r="BA99" s="44" t="str">
        <f>IFERROR(INDEX(입력!$B$2:$B$500, MATCH($BO99, 입력!$Z$2:$Z$500, 0)) &amp; "", "")</f>
        <v>노기섭</v>
      </c>
      <c r="BB99" s="83" t="str">
        <f>IFERROR(INDEX(입력!$Y$2:$Y$500, MATCH($BO99, 입력!$Z$2:$Z$500, 0)) &amp; "", "")</f>
        <v>26.7월경 설치예정.</v>
      </c>
      <c r="BC99" s="83" t="s">
        <v>3179</v>
      </c>
      <c r="BD99" s="83"/>
      <c r="BE99" s="101" t="s">
        <v>1060</v>
      </c>
      <c r="BF99" s="109">
        <v>46162</v>
      </c>
      <c r="BG99" s="101" t="s">
        <v>1059</v>
      </c>
      <c r="BH99" s="101" t="s">
        <v>3955</v>
      </c>
      <c r="BI99" s="101" t="s">
        <v>3965</v>
      </c>
      <c r="BJ99" s="101"/>
      <c r="BK99" s="110" t="s">
        <v>3810</v>
      </c>
      <c r="BL99" s="21"/>
      <c r="BM99" s="22"/>
      <c r="BN99" s="23"/>
      <c r="BO99" s="47" t="s">
        <v>320</v>
      </c>
    </row>
    <row r="100" spans="1:67" x14ac:dyDescent="0.45">
      <c r="A100" s="46">
        <v>99</v>
      </c>
      <c r="B100" s="1" t="s">
        <v>1175</v>
      </c>
      <c r="C100" s="17" t="str">
        <f t="shared" si="11"/>
        <v>이행완료</v>
      </c>
      <c r="D100" s="17" t="str">
        <f t="shared" si="12"/>
        <v>조사완료</v>
      </c>
      <c r="E100" s="3" t="s">
        <v>1392</v>
      </c>
      <c r="F100" s="3" t="s">
        <v>321</v>
      </c>
      <c r="G100" s="3" t="s">
        <v>1393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3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MATCH($BO100, 입력!$Z$2:$Z$500, 0)) &amp; "", "")</f>
        <v>1</v>
      </c>
      <c r="S100" s="64" t="str">
        <f>IFERROR(INDEX(입력!$K$2:$K$500, MATCH($BO100,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4"/>
        <v>1</v>
      </c>
      <c r="W100" s="1" t="str">
        <f t="shared" si="10"/>
        <v/>
      </c>
      <c r="X100" s="1">
        <v>1</v>
      </c>
      <c r="Y100" s="64" t="str">
        <f>IFERROR(INDEX(입력!$M$2:$M$500, MATCH($BO100, 입력!$Z$2:$Z$500, 0)) &amp; "", "")</f>
        <v/>
      </c>
      <c r="Z100" s="64" t="str">
        <f>IFERROR(INDEX(입력!$N$2:$N$500, MATCH($BO100, 입력!$Z$2:$Z$500, 0)) &amp; "", "")</f>
        <v>1</v>
      </c>
      <c r="AA100" s="64">
        <f>MAX(0, 표1[[#This Row],[의무_시설]]-표1[[#This Row],[시설합]])</f>
        <v>0</v>
      </c>
      <c r="AB100" s="17" t="str">
        <f t="shared" si="15"/>
        <v>이행완료</v>
      </c>
      <c r="AC100" s="64" t="str">
        <f>IFERROR(INDEX(입력!$P$2:$P$500, MATCH($BO100, 입력!$Z$2:$Z$500, 0)) &amp; "", "")</f>
        <v/>
      </c>
      <c r="AD100" s="64" t="str">
        <f>IFERROR(INDEX(입력!$Q$2:$Q$500, MATCH($BO100, 입력!$Z$2:$Z$500, 0)) &amp; "", "")</f>
        <v/>
      </c>
      <c r="AE100" s="64" t="str">
        <f>IFERROR(INDEX(입력!$R$2:$R$500, MATCH($BO100, 입력!$Z$2:$Z$500, 0)) &amp; "", "")</f>
        <v>여</v>
      </c>
      <c r="AF100" s="64" t="str">
        <f>IFERROR(INDEX(입력!$S$2:$S$500, MATCH($BO100, 입력!$Z$2:$Z$500, 0)) &amp; "", "")</f>
        <v>여</v>
      </c>
      <c r="AG100" s="64" t="str">
        <f>IFERROR(INDEX(입력!$T$2:$T$500, MATCH($BO100, 입력!$Z$2:$Z$500, 0)) &amp; "", "")</f>
        <v/>
      </c>
      <c r="AH100" s="64" t="str">
        <f>IFERROR(INDEX(입력!$U$2:$U$500, MATCH($BO100, 입력!$Z$2:$Z$500, 0)) &amp; "", "")</f>
        <v/>
      </c>
      <c r="AI100" s="64" t="str">
        <f>IFERROR(INDEX(입력!$V$2:$V$500, MATCH($BO100, 입력!$Z$2:$Z$500, 0)) &amp; "", "")</f>
        <v>여</v>
      </c>
      <c r="AJ100" s="44" t="str">
        <f>IFERROR(INDEX(입력!$W$2:$W$500, MATCH($BO100, 입력!$Z$2:$Z$500, 0)) &amp; "", "")</f>
        <v>문형귀</v>
      </c>
      <c r="AK100" s="44" t="str">
        <f>IFERROR(INDEX(입력!$X$2:$X$500, MATCH($BO100, 입력!$Z$2:$Z$500, 0)) &amp; "", "")</f>
        <v>960-2185</v>
      </c>
      <c r="AL100" s="2"/>
      <c r="AM100" s="17" t="s">
        <v>1251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3137</v>
      </c>
      <c r="AZ100" s="71" t="str">
        <f>IFERROR(IF(INDEX(입력!$C$2:$C$500, MATCH($BO100, 입력!$Z$2:$Z$500, 0))="", "", TEXT(INDEX(입력!$C$2:$C$500, MATCH($BO100, 입력!$Z$2:$Z$500, 0)), "yyyy-mm-dd")), "")</f>
        <v>2026-05-11</v>
      </c>
      <c r="BA100" s="44" t="str">
        <f>IFERROR(INDEX(입력!$B$2:$B$500, MATCH($BO100, 입력!$Z$2:$Z$500, 0)) &amp; "", "")</f>
        <v>정은진</v>
      </c>
      <c r="BB100" s="83" t="str">
        <f>IFERROR(INDEX(입력!$Y$2:$Y$500, MATCH($BO100, 입력!$Z$2:$Z$500, 0)) &amp; "", "")</f>
        <v/>
      </c>
      <c r="BC100" s="83" t="s">
        <v>3112</v>
      </c>
      <c r="BD100" s="83"/>
      <c r="BE100" s="101"/>
      <c r="BF100" s="101"/>
      <c r="BG100" s="101"/>
      <c r="BH100" s="101"/>
      <c r="BI100" s="101"/>
      <c r="BJ100" s="101"/>
      <c r="BK100" s="110"/>
      <c r="BL100" s="21"/>
      <c r="BM100" s="22"/>
      <c r="BN100" s="23"/>
      <c r="BO100" s="47" t="s">
        <v>322</v>
      </c>
    </row>
    <row r="101" spans="1:67" x14ac:dyDescent="0.45">
      <c r="A101" s="19">
        <v>100</v>
      </c>
      <c r="B101" s="1" t="s">
        <v>1175</v>
      </c>
      <c r="C101" s="17" t="str">
        <f t="shared" si="11"/>
        <v>이행완료</v>
      </c>
      <c r="D101" s="17" t="str">
        <f t="shared" si="12"/>
        <v>조사완료</v>
      </c>
      <c r="E101" s="3" t="s">
        <v>1394</v>
      </c>
      <c r="F101" s="3" t="s">
        <v>323</v>
      </c>
      <c r="G101" s="3" t="s">
        <v>1395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3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MATCH($BO101, 입력!$Z$2:$Z$500, 0)) &amp; "", "")</f>
        <v>18</v>
      </c>
      <c r="S101" s="64" t="str">
        <f>IFERROR(INDEX(입력!$K$2:$K$500, MATCH($BO101,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4"/>
        <v>16</v>
      </c>
      <c r="W101" s="1">
        <f t="shared" si="10"/>
        <v>1</v>
      </c>
      <c r="X101" s="1">
        <v>18</v>
      </c>
      <c r="Y101" s="64" t="str">
        <f>IFERROR(INDEX(입력!$M$2:$M$500, MATCH($BO101, 입력!$Z$2:$Z$500, 0)) &amp; "", "")</f>
        <v>2</v>
      </c>
      <c r="Z101" s="64" t="str">
        <f>IFERROR(INDEX(입력!$N$2:$N$500, MATCH($BO101,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5"/>
        <v>이행완료</v>
      </c>
      <c r="AC101" s="64" t="str">
        <f>IFERROR(INDEX(입력!$P$2:$P$500, MATCH($BO101, 입력!$Z$2:$Z$500, 0)) &amp; "", "")</f>
        <v/>
      </c>
      <c r="AD101" s="64" t="str">
        <f>IFERROR(INDEX(입력!$Q$2:$Q$500, MATCH($BO101, 입력!$Z$2:$Z$500, 0)) &amp; "", "")</f>
        <v/>
      </c>
      <c r="AE101" s="64" t="str">
        <f>IFERROR(INDEX(입력!$R$2:$R$500, MATCH($BO101, 입력!$Z$2:$Z$500, 0)) &amp; "", "")</f>
        <v>여</v>
      </c>
      <c r="AF101" s="64" t="str">
        <f>IFERROR(INDEX(입력!$S$2:$S$500, MATCH($BO101, 입력!$Z$2:$Z$500, 0)) &amp; "", "")</f>
        <v>여</v>
      </c>
      <c r="AG101" s="64" t="str">
        <f>IFERROR(INDEX(입력!$T$2:$T$500, MATCH($BO101, 입력!$Z$2:$Z$500, 0)) &amp; "", "")</f>
        <v/>
      </c>
      <c r="AH101" s="64" t="str">
        <f>IFERROR(INDEX(입력!$U$2:$U$500, MATCH($BO101, 입력!$Z$2:$Z$500, 0)) &amp; "", "")</f>
        <v/>
      </c>
      <c r="AI101" s="64" t="str">
        <f>IFERROR(INDEX(입력!$V$2:$V$500, MATCH($BO101, 입력!$Z$2:$Z$500, 0)) &amp; "", "")</f>
        <v>여</v>
      </c>
      <c r="AJ101" s="44" t="str">
        <f>IFERROR(INDEX(입력!$W$2:$W$500, MATCH($BO101, 입력!$Z$2:$Z$500, 0)) &amp; "", "")</f>
        <v>최민수</v>
      </c>
      <c r="AK101" s="44" t="str">
        <f>IFERROR(INDEX(입력!$X$2:$X$500, MATCH($BO101, 입력!$Z$2:$Z$500, 0)) &amp; "", "")</f>
        <v>940-5870</v>
      </c>
      <c r="AL101" s="2" t="s">
        <v>1396</v>
      </c>
      <c r="AM101" s="17" t="s">
        <v>1398</v>
      </c>
      <c r="AN101" s="83"/>
      <c r="AO101" s="17" t="s">
        <v>1067</v>
      </c>
      <c r="AP101" s="2" t="s">
        <v>1397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3137</v>
      </c>
      <c r="AZ101" s="71" t="str">
        <f>IFERROR(IF(INDEX(입력!$C$2:$C$500, MATCH($BO101, 입력!$Z$2:$Z$500, 0))="", "", TEXT(INDEX(입력!$C$2:$C$500, MATCH($BO101, 입력!$Z$2:$Z$500, 0)), "yyyy-mm-dd")), "")</f>
        <v>2026-04-23</v>
      </c>
      <c r="BA101" s="44" t="str">
        <f>IFERROR(INDEX(입력!$B$2:$B$500, MATCH($BO101, 입력!$Z$2:$Z$500, 0)) &amp; "", "")</f>
        <v>노기섭</v>
      </c>
      <c r="BB101" s="83" t="str">
        <f>IFERROR(INDEX(입력!$Y$2:$Y$500, MATCH($BO101, 입력!$Z$2:$Z$500, 0)) &amp; "", "")</f>
        <v/>
      </c>
      <c r="BC101" s="83" t="s">
        <v>3112</v>
      </c>
      <c r="BD101" s="83"/>
      <c r="BE101" s="101"/>
      <c r="BF101" s="101"/>
      <c r="BG101" s="101"/>
      <c r="BH101" s="101"/>
      <c r="BI101" s="101"/>
      <c r="BJ101" s="101"/>
      <c r="BK101" s="110"/>
      <c r="BL101" s="21"/>
      <c r="BM101" s="22"/>
      <c r="BN101" s="23"/>
      <c r="BO101" s="47" t="s">
        <v>324</v>
      </c>
    </row>
    <row r="102" spans="1:67" x14ac:dyDescent="0.45">
      <c r="A102" s="46">
        <v>101</v>
      </c>
      <c r="B102" s="1" t="s">
        <v>1175</v>
      </c>
      <c r="C102" s="17" t="str">
        <f t="shared" si="11"/>
        <v>이행완료</v>
      </c>
      <c r="D102" s="17" t="str">
        <f t="shared" si="12"/>
        <v>조사완료</v>
      </c>
      <c r="E102" s="3" t="s">
        <v>1399</v>
      </c>
      <c r="F102" s="3" t="s">
        <v>325</v>
      </c>
      <c r="G102" s="3" t="s">
        <v>1400</v>
      </c>
      <c r="H102" s="18" t="s">
        <v>1401</v>
      </c>
      <c r="I102" s="19">
        <v>300</v>
      </c>
      <c r="J102" s="2"/>
      <c r="K102" s="20">
        <v>33611</v>
      </c>
      <c r="L102" s="20"/>
      <c r="M102" s="17" t="str">
        <f t="shared" si="13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MATCH($BO102, 입력!$Z$2:$Z$500, 0)) &amp; "", "")</f>
        <v>12</v>
      </c>
      <c r="S102" s="64" t="str">
        <f>IFERROR(INDEX(입력!$K$2:$K$500, MATCH($BO102,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4"/>
        <v>6</v>
      </c>
      <c r="W102" s="1">
        <f t="shared" si="10"/>
        <v>1</v>
      </c>
      <c r="X102" s="1">
        <v>19</v>
      </c>
      <c r="Y102" s="64" t="str">
        <f>IFERROR(INDEX(입력!$M$2:$M$500, MATCH($BO102, 입력!$Z$2:$Z$500, 0)) &amp; "", "")</f>
        <v>2</v>
      </c>
      <c r="Z102" s="64" t="str">
        <f>IFERROR(INDEX(입력!$N$2:$N$500, MATCH($BO102,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5"/>
        <v>이행완료</v>
      </c>
      <c r="AC102" s="64" t="str">
        <f>IFERROR(INDEX(입력!$P$2:$P$500, MATCH($BO102, 입력!$Z$2:$Z$500, 0)) &amp; "", "")</f>
        <v/>
      </c>
      <c r="AD102" s="64" t="str">
        <f>IFERROR(INDEX(입력!$Q$2:$Q$500, MATCH($BO102, 입력!$Z$2:$Z$500, 0)) &amp; "", "")</f>
        <v/>
      </c>
      <c r="AE102" s="64" t="str">
        <f>IFERROR(INDEX(입력!$R$2:$R$500, MATCH($BO102, 입력!$Z$2:$Z$500, 0)) &amp; "", "")</f>
        <v>여</v>
      </c>
      <c r="AF102" s="64" t="str">
        <f>IFERROR(INDEX(입력!$S$2:$S$500, MATCH($BO102, 입력!$Z$2:$Z$500, 0)) &amp; "", "")</f>
        <v>여</v>
      </c>
      <c r="AG102" s="64" t="str">
        <f>IFERROR(INDEX(입력!$T$2:$T$500, MATCH($BO102, 입력!$Z$2:$Z$500, 0)) &amp; "", "")</f>
        <v/>
      </c>
      <c r="AH102" s="64" t="str">
        <f>IFERROR(INDEX(입력!$U$2:$U$500, MATCH($BO102, 입력!$Z$2:$Z$500, 0)) &amp; "", "")</f>
        <v/>
      </c>
      <c r="AI102" s="64" t="str">
        <f>IFERROR(INDEX(입력!$V$2:$V$500, MATCH($BO102, 입력!$Z$2:$Z$500, 0)) &amp; "", "")</f>
        <v>여</v>
      </c>
      <c r="AJ102" s="44" t="str">
        <f>IFERROR(INDEX(입력!$W$2:$W$500, MATCH($BO102, 입력!$Z$2:$Z$500, 0)) &amp; "", "")</f>
        <v>김중호</v>
      </c>
      <c r="AK102" s="44" t="str">
        <f>IFERROR(INDEX(입력!$X$2:$X$500, MATCH($BO102, 입력!$Z$2:$Z$500, 0)) &amp; "", "")</f>
        <v>950-3517</v>
      </c>
      <c r="AL102" s="2" t="s">
        <v>1402</v>
      </c>
      <c r="AM102" s="17" t="s">
        <v>1060</v>
      </c>
      <c r="AN102" s="83"/>
      <c r="AO102" s="17" t="s">
        <v>1089</v>
      </c>
      <c r="AP102" s="2" t="s">
        <v>1403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3132</v>
      </c>
      <c r="AZ102" s="71" t="str">
        <f>IFERROR(IF(INDEX(입력!$C$2:$C$500, MATCH($BO102, 입력!$Z$2:$Z$500, 0))="", "", TEXT(INDEX(입력!$C$2:$C$500, MATCH($BO102, 입력!$Z$2:$Z$500, 0)), "yyyy-mm-dd")), "")</f>
        <v>2026-05-11</v>
      </c>
      <c r="BA102" s="44" t="str">
        <f>IFERROR(INDEX(입력!$B$2:$B$500, MATCH($BO102, 입력!$Z$2:$Z$500, 0)) &amp; "", "")</f>
        <v>노기섭</v>
      </c>
      <c r="BB102" s="83" t="str">
        <f>IFERROR(INDEX(입력!$Y$2:$Y$500, MATCH($BO102, 입력!$Z$2:$Z$500, 0)) &amp; "", "")</f>
        <v/>
      </c>
      <c r="BC102" s="83" t="s">
        <v>3112</v>
      </c>
      <c r="BD102" s="83"/>
      <c r="BE102" s="101"/>
      <c r="BF102" s="101"/>
      <c r="BG102" s="101"/>
      <c r="BH102" s="101"/>
      <c r="BI102" s="101"/>
      <c r="BJ102" s="101"/>
      <c r="BK102" s="110"/>
      <c r="BL102" s="21"/>
      <c r="BM102" s="22"/>
      <c r="BN102" s="23"/>
      <c r="BO102" s="47" t="s">
        <v>326</v>
      </c>
    </row>
    <row r="103" spans="1:67" x14ac:dyDescent="0.45">
      <c r="A103" s="19">
        <v>102</v>
      </c>
      <c r="B103" s="1" t="s">
        <v>1175</v>
      </c>
      <c r="C103" s="17" t="str">
        <f t="shared" si="11"/>
        <v>이행완료</v>
      </c>
      <c r="D103" s="17" t="str">
        <f t="shared" si="12"/>
        <v>조사완료</v>
      </c>
      <c r="E103" s="3" t="s">
        <v>1404</v>
      </c>
      <c r="F103" s="3" t="s">
        <v>327</v>
      </c>
      <c r="G103" s="3" t="s">
        <v>1405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3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MATCH($BO103, 입력!$Z$2:$Z$500, 0)) &amp; "", "")</f>
        <v>9</v>
      </c>
      <c r="S103" s="64" t="str">
        <f>IFERROR(INDEX(입력!$K$2:$K$500, MATCH($BO103,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4"/>
        <v>4</v>
      </c>
      <c r="W103" s="1" t="str">
        <f t="shared" si="10"/>
        <v/>
      </c>
      <c r="X103" s="1">
        <v>9</v>
      </c>
      <c r="Y103" s="64" t="str">
        <f>IFERROR(INDEX(입력!$M$2:$M$500, MATCH($BO103, 입력!$Z$2:$Z$500, 0)) &amp; "", "")</f>
        <v>2</v>
      </c>
      <c r="Z103" s="64" t="str">
        <f>IFERROR(INDEX(입력!$N$2:$N$500, MATCH($BO103, 입력!$Z$2:$Z$500, 0)) &amp; "", "")</f>
        <v>7</v>
      </c>
      <c r="AA103" s="64">
        <f>MAX(0, 표1[[#This Row],[의무_시설]]-표1[[#This Row],[시설합]])</f>
        <v>0</v>
      </c>
      <c r="AB103" s="17" t="str">
        <f t="shared" si="15"/>
        <v>이행완료</v>
      </c>
      <c r="AC103" s="64" t="str">
        <f>IFERROR(INDEX(입력!$P$2:$P$500, MATCH($BO103, 입력!$Z$2:$Z$500, 0)) &amp; "", "")</f>
        <v/>
      </c>
      <c r="AD103" s="64" t="str">
        <f>IFERROR(INDEX(입력!$Q$2:$Q$500, MATCH($BO103, 입력!$Z$2:$Z$500, 0)) &amp; "", "")</f>
        <v/>
      </c>
      <c r="AE103" s="64" t="str">
        <f>IFERROR(INDEX(입력!$R$2:$R$500, MATCH($BO103, 입력!$Z$2:$Z$500, 0)) &amp; "", "")</f>
        <v>여</v>
      </c>
      <c r="AF103" s="64" t="str">
        <f>IFERROR(INDEX(입력!$S$2:$S$500, MATCH($BO103, 입력!$Z$2:$Z$500, 0)) &amp; "", "")</f>
        <v>여</v>
      </c>
      <c r="AG103" s="64" t="str">
        <f>IFERROR(INDEX(입력!$T$2:$T$500, MATCH($BO103, 입력!$Z$2:$Z$500, 0)) &amp; "", "")</f>
        <v/>
      </c>
      <c r="AH103" s="64" t="str">
        <f>IFERROR(INDEX(입력!$U$2:$U$500, MATCH($BO103, 입력!$Z$2:$Z$500, 0)) &amp; "", "")</f>
        <v/>
      </c>
      <c r="AI103" s="64" t="str">
        <f>IFERROR(INDEX(입력!$V$2:$V$500, MATCH($BO103, 입력!$Z$2:$Z$500, 0)) &amp; "", "")</f>
        <v>여</v>
      </c>
      <c r="AJ103" s="44" t="str">
        <f>IFERROR(INDEX(입력!$W$2:$W$500, MATCH($BO103, 입력!$Z$2:$Z$500, 0)) &amp; "", "")</f>
        <v>윤태상</v>
      </c>
      <c r="AK103" s="44" t="str">
        <f>IFERROR(INDEX(입력!$X$2:$X$500, MATCH($BO103, 입력!$Z$2:$Z$500, 0)) &amp; "", "")</f>
        <v>958-7537</v>
      </c>
      <c r="AL103" s="2"/>
      <c r="AM103" s="17" t="s">
        <v>1251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3131</v>
      </c>
      <c r="AZ103" s="71" t="str">
        <f>IFERROR(IF(INDEX(입력!$C$2:$C$500, MATCH($BO103, 입력!$Z$2:$Z$500, 0))="", "", TEXT(INDEX(입력!$C$2:$C$500, MATCH($BO103, 입력!$Z$2:$Z$500, 0)), "yyyy-mm-dd")), "")</f>
        <v>2026-05-11</v>
      </c>
      <c r="BA103" s="44" t="str">
        <f>IFERROR(INDEX(입력!$B$2:$B$500, MATCH($BO103, 입력!$Z$2:$Z$500, 0)) &amp; "", "")</f>
        <v>정은진</v>
      </c>
      <c r="BB103" s="83" t="str">
        <f>IFERROR(INDEX(입력!$Y$2:$Y$500, MATCH($BO103, 입력!$Z$2:$Z$500, 0)) &amp; "", "")</f>
        <v/>
      </c>
      <c r="BC103" s="83" t="s">
        <v>3112</v>
      </c>
      <c r="BD103" s="83"/>
      <c r="BE103" s="101"/>
      <c r="BF103" s="101"/>
      <c r="BG103" s="101"/>
      <c r="BH103" s="101"/>
      <c r="BI103" s="101"/>
      <c r="BJ103" s="101"/>
      <c r="BK103" s="110"/>
      <c r="BL103" s="21"/>
      <c r="BM103" s="22"/>
      <c r="BN103" s="23"/>
      <c r="BO103" s="47" t="s">
        <v>328</v>
      </c>
    </row>
    <row r="104" spans="1:67" x14ac:dyDescent="0.45">
      <c r="A104" s="46">
        <v>103</v>
      </c>
      <c r="B104" s="1" t="s">
        <v>1175</v>
      </c>
      <c r="C104" s="17" t="str">
        <f t="shared" si="11"/>
        <v>이행완료</v>
      </c>
      <c r="D104" s="17" t="str">
        <f t="shared" si="12"/>
        <v>조사완료</v>
      </c>
      <c r="E104" s="141" t="s">
        <v>1406</v>
      </c>
      <c r="F104" s="3" t="s">
        <v>329</v>
      </c>
      <c r="G104" s="3" t="s">
        <v>1407</v>
      </c>
      <c r="H104" s="18" t="s">
        <v>1133</v>
      </c>
      <c r="I104" s="19">
        <v>269</v>
      </c>
      <c r="J104" s="2"/>
      <c r="K104" s="20">
        <v>37091</v>
      </c>
      <c r="L104" s="20"/>
      <c r="M104" s="17" t="str">
        <f t="shared" si="13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MATCH($BO104, 입력!$Z$2:$Z$500, 0)) &amp; "", "")</f>
        <v>5</v>
      </c>
      <c r="S104" s="64" t="str">
        <f>IFERROR(INDEX(입력!$K$2:$K$500, MATCH($BO104,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4"/>
        <v>5</v>
      </c>
      <c r="W104" s="1">
        <f t="shared" si="10"/>
        <v>1</v>
      </c>
      <c r="X104" s="1">
        <v>5</v>
      </c>
      <c r="Y104" s="64" t="str">
        <f>IFERROR(INDEX(입력!$M$2:$M$500, MATCH($BO104, 입력!$Z$2:$Z$500, 0)) &amp; "", "")</f>
        <v/>
      </c>
      <c r="Z104" s="64" t="str">
        <f>IFERROR(INDEX(입력!$N$2:$N$500, MATCH($BO104, 입력!$Z$2:$Z$500, 0)) &amp; "", "")</f>
        <v>5</v>
      </c>
      <c r="AA104" s="64">
        <f>MAX(0, 표1[[#This Row],[의무_시설]]-표1[[#This Row],[시설합]])</f>
        <v>0</v>
      </c>
      <c r="AB104" s="17" t="str">
        <f t="shared" si="15"/>
        <v>이행완료</v>
      </c>
      <c r="AC104" s="64" t="str">
        <f>IFERROR(INDEX(입력!$P$2:$P$500, MATCH($BO104, 입력!$Z$2:$Z$500, 0)) &amp; "", "")</f>
        <v/>
      </c>
      <c r="AD104" s="64" t="str">
        <f>IFERROR(INDEX(입력!$Q$2:$Q$500, MATCH($BO104, 입력!$Z$2:$Z$500, 0)) &amp; "", "")</f>
        <v/>
      </c>
      <c r="AE104" s="64" t="str">
        <f>IFERROR(INDEX(입력!$R$2:$R$500, MATCH($BO104, 입력!$Z$2:$Z$500, 0)) &amp; "", "")</f>
        <v/>
      </c>
      <c r="AF104" s="64" t="str">
        <f>IFERROR(INDEX(입력!$S$2:$S$500, MATCH($BO104, 입력!$Z$2:$Z$500, 0)) &amp; "", "")</f>
        <v/>
      </c>
      <c r="AG104" s="64" t="str">
        <f>IFERROR(INDEX(입력!$T$2:$T$500, MATCH($BO104, 입력!$Z$2:$Z$500, 0)) &amp; "", "")</f>
        <v/>
      </c>
      <c r="AH104" s="64" t="str">
        <f>IFERROR(INDEX(입력!$U$2:$U$500, MATCH($BO104, 입력!$Z$2:$Z$500, 0)) &amp; "", "")</f>
        <v/>
      </c>
      <c r="AI104" s="64" t="str">
        <f>IFERROR(INDEX(입력!$V$2:$V$500, MATCH($BO104, 입력!$Z$2:$Z$500, 0)) &amp; "", "")</f>
        <v/>
      </c>
      <c r="AJ104" s="44" t="str">
        <f>IFERROR(INDEX(입력!$W$2:$W$500, MATCH($BO104, 입력!$Z$2:$Z$500, 0)) &amp; "", "")</f>
        <v/>
      </c>
      <c r="AK104" s="44" t="str">
        <f>IFERROR(INDEX(입력!$X$2:$X$500, MATCH($BO104, 입력!$Z$2:$Z$500, 0)) &amp; "", "")</f>
        <v>010-5637-9335</v>
      </c>
      <c r="AL104" s="2"/>
      <c r="AM104" s="17" t="s">
        <v>1251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3137</v>
      </c>
      <c r="AZ104" s="71" t="str">
        <f>IFERROR(IF(INDEX(입력!$C$2:$C$500, MATCH($BO104, 입력!$Z$2:$Z$500, 0))="", "", TEXT(INDEX(입력!$C$2:$C$500, MATCH($BO104, 입력!$Z$2:$Z$500, 0)), "yyyy-mm-dd")), "")</f>
        <v>2026-04-29</v>
      </c>
      <c r="BA104" s="44" t="str">
        <f>IFERROR(INDEX(입력!$B$2:$B$500, MATCH($BO104, 입력!$Z$2:$Z$500, 0)) &amp; "", "")</f>
        <v>이승수</v>
      </c>
      <c r="BB104" s="83" t="str">
        <f>IFERROR(INDEX(입력!$Y$2:$Y$500, MATCH($BO104, 입력!$Z$2:$Z$500, 0)) &amp; "", "")</f>
        <v>관리실 515-0088</v>
      </c>
      <c r="BC104" s="83" t="s">
        <v>3112</v>
      </c>
      <c r="BD104" s="83"/>
      <c r="BE104" s="101"/>
      <c r="BF104" s="101"/>
      <c r="BG104" s="101"/>
      <c r="BH104" s="101"/>
      <c r="BI104" s="101"/>
      <c r="BJ104" s="101"/>
      <c r="BK104" s="110"/>
      <c r="BL104" s="21"/>
      <c r="BM104" s="22"/>
      <c r="BN104" s="23"/>
      <c r="BO104" s="47" t="s">
        <v>330</v>
      </c>
    </row>
    <row r="105" spans="1:67" x14ac:dyDescent="0.45">
      <c r="A105" s="19">
        <v>104</v>
      </c>
      <c r="B105" s="1" t="s">
        <v>1175</v>
      </c>
      <c r="C105" s="17" t="str">
        <f t="shared" si="11"/>
        <v>이행완료</v>
      </c>
      <c r="D105" s="17" t="str">
        <f t="shared" si="12"/>
        <v>조사완료</v>
      </c>
      <c r="E105" s="3" t="s">
        <v>1408</v>
      </c>
      <c r="F105" s="3" t="s">
        <v>331</v>
      </c>
      <c r="G105" s="3" t="s">
        <v>1409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3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MATCH($BO105, 입력!$Z$2:$Z$500, 0)) &amp; "", "")</f>
        <v>1</v>
      </c>
      <c r="S105" s="64" t="str">
        <f>IFERROR(INDEX(입력!$K$2:$K$500, MATCH($BO105,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4"/>
        <v>1</v>
      </c>
      <c r="W105" s="1" t="str">
        <f t="shared" si="10"/>
        <v/>
      </c>
      <c r="X105" s="1">
        <v>1</v>
      </c>
      <c r="Y105" s="64" t="str">
        <f>IFERROR(INDEX(입력!$M$2:$M$500, MATCH($BO105, 입력!$Z$2:$Z$500, 0)) &amp; "", "")</f>
        <v/>
      </c>
      <c r="Z105" s="64" t="str">
        <f>IFERROR(INDEX(입력!$N$2:$N$500, MATCH($BO105, 입력!$Z$2:$Z$500, 0)) &amp; "", "")</f>
        <v>1</v>
      </c>
      <c r="AA105" s="64">
        <f>MAX(0, 표1[[#This Row],[의무_시설]]-표1[[#This Row],[시설합]])</f>
        <v>0</v>
      </c>
      <c r="AB105" s="17" t="str">
        <f t="shared" si="15"/>
        <v>이행완료</v>
      </c>
      <c r="AC105" s="64" t="str">
        <f>IFERROR(INDEX(입력!$P$2:$P$500, MATCH($BO105, 입력!$Z$2:$Z$500, 0)) &amp; "", "")</f>
        <v/>
      </c>
      <c r="AD105" s="64" t="str">
        <f>IFERROR(INDEX(입력!$Q$2:$Q$500, MATCH($BO105, 입력!$Z$2:$Z$500, 0)) &amp; "", "")</f>
        <v/>
      </c>
      <c r="AE105" s="64" t="str">
        <f>IFERROR(INDEX(입력!$R$2:$R$500, MATCH($BO105, 입력!$Z$2:$Z$500, 0)) &amp; "", "")</f>
        <v/>
      </c>
      <c r="AF105" s="64" t="str">
        <f>IFERROR(INDEX(입력!$S$2:$S$500, MATCH($BO105, 입력!$Z$2:$Z$500, 0)) &amp; "", "")</f>
        <v/>
      </c>
      <c r="AG105" s="64" t="str">
        <f>IFERROR(INDEX(입력!$T$2:$T$500, MATCH($BO105, 입력!$Z$2:$Z$500, 0)) &amp; "", "")</f>
        <v/>
      </c>
      <c r="AH105" s="64" t="str">
        <f>IFERROR(INDEX(입력!$U$2:$U$500, MATCH($BO105, 입력!$Z$2:$Z$500, 0)) &amp; "", "")</f>
        <v/>
      </c>
      <c r="AI105" s="64" t="str">
        <f>IFERROR(INDEX(입력!$V$2:$V$500, MATCH($BO105, 입력!$Z$2:$Z$500, 0)) &amp; "", "")</f>
        <v>여</v>
      </c>
      <c r="AJ105" s="44" t="str">
        <f>IFERROR(INDEX(입력!$W$2:$W$500, MATCH($BO105, 입력!$Z$2:$Z$500, 0)) &amp; "", "")</f>
        <v>김대방</v>
      </c>
      <c r="AK105" s="44" t="str">
        <f>IFERROR(INDEX(입력!$X$2:$X$500, MATCH($BO105, 입력!$Z$2:$Z$500, 0)) &amp; "", "")</f>
        <v>407-0473</v>
      </c>
      <c r="AL105" s="2"/>
      <c r="AM105" s="17" t="s">
        <v>1251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3137</v>
      </c>
      <c r="AZ105" s="71" t="str">
        <f>IFERROR(IF(INDEX(입력!$C$2:$C$500, MATCH($BO105, 입력!$Z$2:$Z$500, 0))="", "", TEXT(INDEX(입력!$C$2:$C$500, MATCH($BO105, 입력!$Z$2:$Z$500, 0)), "yyyy-mm-dd")), "")</f>
        <v>2026-05-06</v>
      </c>
      <c r="BA105" s="44" t="str">
        <f>IFERROR(INDEX(입력!$B$2:$B$500, MATCH($BO105, 입력!$Z$2:$Z$500, 0)) &amp; "", "")</f>
        <v>노기섭</v>
      </c>
      <c r="BB105" s="83" t="str">
        <f>IFERROR(INDEX(입력!$Y$2:$Y$500, MATCH($BO105, 입력!$Z$2:$Z$500, 0)) &amp; "", "")</f>
        <v/>
      </c>
      <c r="BC105" s="83" t="s">
        <v>3112</v>
      </c>
      <c r="BD105" s="83"/>
      <c r="BE105" s="101"/>
      <c r="BF105" s="101"/>
      <c r="BG105" s="101"/>
      <c r="BH105" s="101"/>
      <c r="BI105" s="101"/>
      <c r="BJ105" s="101"/>
      <c r="BK105" s="110"/>
      <c r="BL105" s="21"/>
      <c r="BM105" s="22"/>
      <c r="BN105" s="23"/>
      <c r="BO105" s="47" t="s">
        <v>332</v>
      </c>
    </row>
    <row r="106" spans="1:67" x14ac:dyDescent="0.45">
      <c r="A106" s="46">
        <v>105</v>
      </c>
      <c r="B106" s="1" t="s">
        <v>1175</v>
      </c>
      <c r="C106" s="17" t="str">
        <f t="shared" si="11"/>
        <v>이행완료</v>
      </c>
      <c r="D106" s="17" t="str">
        <f t="shared" si="12"/>
        <v>조사완료</v>
      </c>
      <c r="E106" s="3" t="s">
        <v>1410</v>
      </c>
      <c r="F106" s="3" t="s">
        <v>333</v>
      </c>
      <c r="G106" s="3" t="s">
        <v>1411</v>
      </c>
      <c r="H106" s="18" t="s">
        <v>1412</v>
      </c>
      <c r="I106" s="19">
        <v>64</v>
      </c>
      <c r="J106" s="2"/>
      <c r="K106" s="20">
        <v>41808</v>
      </c>
      <c r="L106" s="20"/>
      <c r="M106" s="17" t="str">
        <f t="shared" si="13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MATCH($BO106, 입력!$Z$2:$Z$500, 0)) &amp; "", "")</f>
        <v>2</v>
      </c>
      <c r="S106" s="64" t="str">
        <f>IFERROR(INDEX(입력!$K$2:$K$500, MATCH($BO106,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4"/>
        <v>1</v>
      </c>
      <c r="W106" s="1" t="str">
        <f t="shared" si="10"/>
        <v/>
      </c>
      <c r="X106" s="1">
        <v>2</v>
      </c>
      <c r="Y106" s="64" t="str">
        <f>IFERROR(INDEX(입력!$M$2:$M$500, MATCH($BO106, 입력!$Z$2:$Z$500, 0)) &amp; "", "")</f>
        <v/>
      </c>
      <c r="Z106" s="64" t="str">
        <f>IFERROR(INDEX(입력!$N$2:$N$500, MATCH($BO106, 입력!$Z$2:$Z$500, 0)) &amp; "", "")</f>
        <v>2</v>
      </c>
      <c r="AA106" s="64">
        <f>MAX(0, 표1[[#This Row],[의무_시설]]-표1[[#This Row],[시설합]])</f>
        <v>0</v>
      </c>
      <c r="AB106" s="17" t="str">
        <f t="shared" si="15"/>
        <v>이행완료</v>
      </c>
      <c r="AC106" s="64" t="str">
        <f>IFERROR(INDEX(입력!$P$2:$P$500, MATCH($BO106, 입력!$Z$2:$Z$500, 0)) &amp; "", "")</f>
        <v/>
      </c>
      <c r="AD106" s="64" t="str">
        <f>IFERROR(INDEX(입력!$Q$2:$Q$500, MATCH($BO106, 입력!$Z$2:$Z$500, 0)) &amp; "", "")</f>
        <v/>
      </c>
      <c r="AE106" s="64" t="str">
        <f>IFERROR(INDEX(입력!$R$2:$R$500, MATCH($BO106, 입력!$Z$2:$Z$500, 0)) &amp; "", "")</f>
        <v>여</v>
      </c>
      <c r="AF106" s="64" t="str">
        <f>IFERROR(INDEX(입력!$S$2:$S$500, MATCH($BO106, 입력!$Z$2:$Z$500, 0)) &amp; "", "")</f>
        <v>여</v>
      </c>
      <c r="AG106" s="64" t="str">
        <f>IFERROR(INDEX(입력!$T$2:$T$500, MATCH($BO106, 입력!$Z$2:$Z$500, 0)) &amp; "", "")</f>
        <v/>
      </c>
      <c r="AH106" s="64" t="str">
        <f>IFERROR(INDEX(입력!$U$2:$U$500, MATCH($BO106, 입력!$Z$2:$Z$500, 0)) &amp; "", "")</f>
        <v/>
      </c>
      <c r="AI106" s="64" t="str">
        <f>IFERROR(INDEX(입력!$V$2:$V$500, MATCH($BO106, 입력!$Z$2:$Z$500, 0)) &amp; "", "")</f>
        <v>여</v>
      </c>
      <c r="AJ106" s="44" t="str">
        <f>IFERROR(INDEX(입력!$W$2:$W$500, MATCH($BO106, 입력!$Z$2:$Z$500, 0)) &amp; "", "")</f>
        <v>조은자</v>
      </c>
      <c r="AK106" s="44" t="str">
        <f>IFERROR(INDEX(입력!$X$2:$X$500, MATCH($BO106, 입력!$Z$2:$Z$500, 0)) &amp; "", "")</f>
        <v>526-2422</v>
      </c>
      <c r="AL106" s="2"/>
      <c r="AM106" s="17" t="s">
        <v>1251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3131</v>
      </c>
      <c r="AZ106" s="71" t="str">
        <f>IFERROR(IF(INDEX(입력!$C$2:$C$500, MATCH($BO106, 입력!$Z$2:$Z$500, 0))="", "", TEXT(INDEX(입력!$C$2:$C$500, MATCH($BO106, 입력!$Z$2:$Z$500, 0)), "yyyy-mm-dd")), "")</f>
        <v>2026-05-08</v>
      </c>
      <c r="BA106" s="44" t="str">
        <f>IFERROR(INDEX(입력!$B$2:$B$500, MATCH($BO106, 입력!$Z$2:$Z$500, 0)) &amp; "", "")</f>
        <v>이승수</v>
      </c>
      <c r="BB106" s="83" t="str">
        <f>IFERROR(INDEX(입력!$Y$2:$Y$500, MATCH($BO106, 입력!$Z$2:$Z$500, 0)) &amp; "", "")</f>
        <v/>
      </c>
      <c r="BC106" s="83" t="s">
        <v>3112</v>
      </c>
      <c r="BD106" s="83"/>
      <c r="BE106" s="101"/>
      <c r="BF106" s="101"/>
      <c r="BG106" s="101"/>
      <c r="BH106" s="101"/>
      <c r="BI106" s="101"/>
      <c r="BJ106" s="101"/>
      <c r="BK106" s="110"/>
      <c r="BL106" s="21"/>
      <c r="BM106" s="22"/>
      <c r="BN106" s="23"/>
      <c r="BO106" s="47" t="s">
        <v>334</v>
      </c>
    </row>
    <row r="107" spans="1:67" x14ac:dyDescent="0.45">
      <c r="A107" s="19">
        <v>106</v>
      </c>
      <c r="B107" s="1" t="s">
        <v>1175</v>
      </c>
      <c r="C107" s="17" t="str">
        <f t="shared" si="11"/>
        <v>미이행</v>
      </c>
      <c r="D107" s="17" t="str">
        <f t="shared" si="12"/>
        <v>조사완료</v>
      </c>
      <c r="E107" s="3" t="s">
        <v>1413</v>
      </c>
      <c r="F107" s="3" t="s">
        <v>335</v>
      </c>
      <c r="G107" s="3" t="s">
        <v>3851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3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MATCH($BO107, 입력!$Z$2:$Z$500, 0)) &amp; "", "")</f>
        <v/>
      </c>
      <c r="S107" s="64" t="str">
        <f>IFERROR(INDEX(입력!$K$2:$K$500, MATCH($BO107,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4"/>
        <v>4</v>
      </c>
      <c r="W107" s="1" t="str">
        <f t="shared" si="10"/>
        <v/>
      </c>
      <c r="X107" s="1">
        <v>3</v>
      </c>
      <c r="Y107" s="64" t="str">
        <f>IFERROR(INDEX(입력!$M$2:$M$500, MATCH($BO107, 입력!$Z$2:$Z$500, 0)) &amp; "", "")</f>
        <v>2</v>
      </c>
      <c r="Z107" s="64" t="str">
        <f>IFERROR(INDEX(입력!$N$2:$N$500, MATCH($BO107, 입력!$Z$2:$Z$500, 0)) &amp; "", "")</f>
        <v>1</v>
      </c>
      <c r="AA107" s="64">
        <f>MAX(0, 표1[[#This Row],[의무_시설]]-표1[[#This Row],[시설합]])</f>
        <v>1</v>
      </c>
      <c r="AB107" s="17" t="str">
        <f t="shared" si="15"/>
        <v>미이행</v>
      </c>
      <c r="AC107" s="64" t="str">
        <f>IFERROR(INDEX(입력!$P$2:$P$500, MATCH($BO107, 입력!$Z$2:$Z$500, 0)) &amp; "", "")</f>
        <v/>
      </c>
      <c r="AD107" s="64" t="str">
        <f>IFERROR(INDEX(입력!$Q$2:$Q$500, MATCH($BO107, 입력!$Z$2:$Z$500, 0)) &amp; "", "")</f>
        <v/>
      </c>
      <c r="AE107" s="64" t="str">
        <f>IFERROR(INDEX(입력!$R$2:$R$500, MATCH($BO107, 입력!$Z$2:$Z$500, 0)) &amp; "", "")</f>
        <v>여</v>
      </c>
      <c r="AF107" s="64" t="str">
        <f>IFERROR(INDEX(입력!$S$2:$S$500, MATCH($BO107, 입력!$Z$2:$Z$500, 0)) &amp; "", "")</f>
        <v>여</v>
      </c>
      <c r="AG107" s="64" t="str">
        <f>IFERROR(INDEX(입력!$T$2:$T$500, MATCH($BO107, 입력!$Z$2:$Z$500, 0)) &amp; "", "")</f>
        <v/>
      </c>
      <c r="AH107" s="64" t="str">
        <f>IFERROR(INDEX(입력!$U$2:$U$500, MATCH($BO107, 입력!$Z$2:$Z$500, 0)) &amp; "", "")</f>
        <v/>
      </c>
      <c r="AI107" s="64" t="str">
        <f>IFERROR(INDEX(입력!$V$2:$V$500, MATCH($BO107, 입력!$Z$2:$Z$500, 0)) &amp; "", "")</f>
        <v>여</v>
      </c>
      <c r="AJ107" s="44" t="str">
        <f>IFERROR(INDEX(입력!$W$2:$W$500, MATCH($BO107, 입력!$Z$2:$Z$500, 0)) &amp; "", "")</f>
        <v>이대영</v>
      </c>
      <c r="AK107" s="44" t="str">
        <f>IFERROR(INDEX(입력!$X$2:$X$500, MATCH($BO107, 입력!$Z$2:$Z$500, 0)) &amp; "", "")</f>
        <v>010-2258-7155</v>
      </c>
      <c r="AL107" s="2" t="s">
        <v>1414</v>
      </c>
      <c r="AM107" s="17" t="s">
        <v>1060</v>
      </c>
      <c r="AN107" s="113">
        <v>46106</v>
      </c>
      <c r="AO107" s="17" t="s">
        <v>1089</v>
      </c>
      <c r="AP107" s="101" t="s">
        <v>1415</v>
      </c>
      <c r="AQ107" s="108"/>
      <c r="AR107" s="22"/>
      <c r="AS107" s="101" t="s">
        <v>3163</v>
      </c>
      <c r="AT107" s="109">
        <v>46104</v>
      </c>
      <c r="AU107" s="101" t="s">
        <v>3141</v>
      </c>
      <c r="AV107" s="101" t="s">
        <v>3238</v>
      </c>
      <c r="AW107" s="101" t="s">
        <v>3240</v>
      </c>
      <c r="AX107" s="101" t="s">
        <v>3241</v>
      </c>
      <c r="AY107" s="83" t="s">
        <v>3131</v>
      </c>
      <c r="AZ107" s="71" t="str">
        <f>IFERROR(IF(INDEX(입력!$C$2:$C$500, MATCH($BO107, 입력!$Z$2:$Z$500, 0))="", "", TEXT(INDEX(입력!$C$2:$C$500, MATCH($BO107, 입력!$Z$2:$Z$500, 0)), "yyyy-mm-dd")), "")</f>
        <v>2026-04-15</v>
      </c>
      <c r="BA107" s="44" t="str">
        <f>IFERROR(INDEX(입력!$B$2:$B$500, MATCH($BO107, 입력!$Z$2:$Z$500, 0)) &amp; "", "")</f>
        <v>노기섭</v>
      </c>
      <c r="BB107" s="83" t="str">
        <f>IFERROR(INDEX(입력!$Y$2:$Y$500, MATCH($BO107, 입력!$Z$2:$Z$500, 0)) &amp; "", "")</f>
        <v>계획중(미정)</v>
      </c>
      <c r="BC107" s="83" t="s">
        <v>3149</v>
      </c>
      <c r="BD107" s="83"/>
      <c r="BE107" s="101" t="s">
        <v>1179</v>
      </c>
      <c r="BF107" s="109">
        <v>45790</v>
      </c>
      <c r="BG107" s="101" t="s">
        <v>1059</v>
      </c>
      <c r="BH107" s="101" t="s">
        <v>3852</v>
      </c>
      <c r="BI107" s="101" t="s">
        <v>3853</v>
      </c>
      <c r="BJ107" s="101"/>
      <c r="BK107" s="110"/>
      <c r="BL107" s="21"/>
      <c r="BM107" s="22"/>
      <c r="BN107" s="23"/>
      <c r="BO107" s="47" t="s">
        <v>336</v>
      </c>
    </row>
    <row r="108" spans="1:67" x14ac:dyDescent="0.45">
      <c r="A108" s="46">
        <v>107</v>
      </c>
      <c r="B108" s="1" t="s">
        <v>1175</v>
      </c>
      <c r="C108" s="17" t="str">
        <f t="shared" si="11"/>
        <v>이행완료</v>
      </c>
      <c r="D108" s="17" t="str">
        <f t="shared" si="12"/>
        <v>조사완료</v>
      </c>
      <c r="E108" s="3" t="s">
        <v>1416</v>
      </c>
      <c r="F108" s="3" t="s">
        <v>337</v>
      </c>
      <c r="G108" s="3" t="s">
        <v>1417</v>
      </c>
      <c r="H108" s="18" t="s">
        <v>1202</v>
      </c>
      <c r="I108" s="19">
        <v>122</v>
      </c>
      <c r="J108" s="2"/>
      <c r="K108" s="20">
        <v>39799</v>
      </c>
      <c r="L108" s="20"/>
      <c r="M108" s="17" t="str">
        <f t="shared" si="13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MATCH($BO108, 입력!$Z$2:$Z$500, 0)) &amp; "", "")</f>
        <v/>
      </c>
      <c r="S108" s="64" t="str">
        <f>IFERROR(INDEX(입력!$K$2:$K$500, MATCH($BO108,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4"/>
        <v>2</v>
      </c>
      <c r="W108" s="1" t="str">
        <f t="shared" si="10"/>
        <v/>
      </c>
      <c r="X108" s="1">
        <v>2</v>
      </c>
      <c r="Y108" s="64" t="str">
        <f>IFERROR(INDEX(입력!$M$2:$M$500, MATCH($BO108, 입력!$Z$2:$Z$500, 0)) &amp; "", "")</f>
        <v/>
      </c>
      <c r="Z108" s="64" t="str">
        <f>IFERROR(INDEX(입력!$N$2:$N$500, MATCH($BO108, 입력!$Z$2:$Z$500, 0)) &amp; "", "")</f>
        <v>2</v>
      </c>
      <c r="AA108" s="64">
        <f>MAX(0, 표1[[#This Row],[의무_시설]]-표1[[#This Row],[시설합]])</f>
        <v>0</v>
      </c>
      <c r="AB108" s="17" t="str">
        <f t="shared" si="15"/>
        <v>이행완료</v>
      </c>
      <c r="AC108" s="64" t="str">
        <f>IFERROR(INDEX(입력!$P$2:$P$500, MATCH($BO108, 입력!$Z$2:$Z$500, 0)) &amp; "", "")</f>
        <v/>
      </c>
      <c r="AD108" s="64" t="str">
        <f>IFERROR(INDEX(입력!$Q$2:$Q$500, MATCH($BO108, 입력!$Z$2:$Z$500, 0)) &amp; "", "")</f>
        <v/>
      </c>
      <c r="AE108" s="64" t="str">
        <f>IFERROR(INDEX(입력!$R$2:$R$500, MATCH($BO108, 입력!$Z$2:$Z$500, 0)) &amp; "", "")</f>
        <v>여</v>
      </c>
      <c r="AF108" s="64" t="str">
        <f>IFERROR(INDEX(입력!$S$2:$S$500, MATCH($BO108, 입력!$Z$2:$Z$500, 0)) &amp; "", "")</f>
        <v>여</v>
      </c>
      <c r="AG108" s="64" t="str">
        <f>IFERROR(INDEX(입력!$T$2:$T$500, MATCH($BO108, 입력!$Z$2:$Z$500, 0)) &amp; "", "")</f>
        <v/>
      </c>
      <c r="AH108" s="64" t="str">
        <f>IFERROR(INDEX(입력!$U$2:$U$500, MATCH($BO108, 입력!$Z$2:$Z$500, 0)) &amp; "", "")</f>
        <v/>
      </c>
      <c r="AI108" s="64" t="str">
        <f>IFERROR(INDEX(입력!$V$2:$V$500, MATCH($BO108, 입력!$Z$2:$Z$500, 0)) &amp; "", "")</f>
        <v>여</v>
      </c>
      <c r="AJ108" s="44" t="str">
        <f>IFERROR(INDEX(입력!$W$2:$W$500, MATCH($BO108, 입력!$Z$2:$Z$500, 0)) &amp; "", "")</f>
        <v>이홍은</v>
      </c>
      <c r="AK108" s="44" t="str">
        <f>IFERROR(INDEX(입력!$X$2:$X$500, MATCH($BO108, 입력!$Z$2:$Z$500, 0)) &amp; "", "")</f>
        <v>010-3897-3161</v>
      </c>
      <c r="AL108" s="2" t="s">
        <v>1418</v>
      </c>
      <c r="AM108" s="17" t="s">
        <v>1179</v>
      </c>
      <c r="AN108" s="83"/>
      <c r="AO108" s="17" t="s">
        <v>1059</v>
      </c>
      <c r="AP108" s="2" t="s">
        <v>3242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3131</v>
      </c>
      <c r="AZ108" s="71" t="str">
        <f>IFERROR(IF(INDEX(입력!$C$2:$C$500, MATCH($BO108, 입력!$Z$2:$Z$500, 0))="", "", TEXT(INDEX(입력!$C$2:$C$500, MATCH($BO108, 입력!$Z$2:$Z$500, 0)), "yyyy-mm-dd")), "")</f>
        <v>2026-05-06</v>
      </c>
      <c r="BA108" s="44" t="str">
        <f>IFERROR(INDEX(입력!$B$2:$B$500, MATCH($BO108, 입력!$Z$2:$Z$500, 0)) &amp; "", "")</f>
        <v>정은진</v>
      </c>
      <c r="BB108" s="83" t="str">
        <f>IFERROR(INDEX(입력!$Y$2:$Y$500, MATCH($BO108, 입력!$Z$2:$Z$500, 0)) &amp; "", "")</f>
        <v/>
      </c>
      <c r="BC108" s="83" t="s">
        <v>3112</v>
      </c>
      <c r="BD108" s="83"/>
      <c r="BE108" s="101"/>
      <c r="BF108" s="101"/>
      <c r="BG108" s="101"/>
      <c r="BH108" s="101"/>
      <c r="BI108" s="101"/>
      <c r="BJ108" s="101"/>
      <c r="BK108" s="110"/>
      <c r="BL108" s="21"/>
      <c r="BM108" s="22"/>
      <c r="BN108" s="23"/>
      <c r="BO108" s="47" t="s">
        <v>338</v>
      </c>
    </row>
    <row r="109" spans="1:67" x14ac:dyDescent="0.45">
      <c r="A109" s="19">
        <v>108</v>
      </c>
      <c r="B109" s="1" t="s">
        <v>1175</v>
      </c>
      <c r="C109" s="17" t="str">
        <f t="shared" si="11"/>
        <v>이행완료</v>
      </c>
      <c r="D109" s="17" t="str">
        <f t="shared" si="12"/>
        <v>조사완료</v>
      </c>
      <c r="E109" s="3" t="s">
        <v>1419</v>
      </c>
      <c r="F109" s="3" t="s">
        <v>1420</v>
      </c>
      <c r="G109" s="3" t="s">
        <v>1421</v>
      </c>
      <c r="H109" s="18" t="s">
        <v>1152</v>
      </c>
      <c r="I109" s="19">
        <v>60</v>
      </c>
      <c r="J109" s="2"/>
      <c r="K109" s="20"/>
      <c r="L109" s="20"/>
      <c r="M109" s="17" t="str">
        <f t="shared" si="13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MATCH($BO109, 입력!$Z$2:$Z$500, 0)) &amp; "", "")</f>
        <v>2</v>
      </c>
      <c r="S109" s="64" t="str">
        <f>IFERROR(INDEX(입력!$K$2:$K$500, MATCH($BO109,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4"/>
        <v>1</v>
      </c>
      <c r="W109" s="1" t="str">
        <f t="shared" si="10"/>
        <v/>
      </c>
      <c r="X109" s="1">
        <v>2</v>
      </c>
      <c r="Y109" s="64" t="str">
        <f>IFERROR(INDEX(입력!$M$2:$M$500, MATCH($BO109, 입력!$Z$2:$Z$500, 0)) &amp; "", "")</f>
        <v/>
      </c>
      <c r="Z109" s="64" t="str">
        <f>IFERROR(INDEX(입력!$N$2:$N$500, MATCH($BO109, 입력!$Z$2:$Z$500, 0)) &amp; "", "")</f>
        <v>2</v>
      </c>
      <c r="AA109" s="64">
        <f>MAX(0, 표1[[#This Row],[의무_시설]]-표1[[#This Row],[시설합]])</f>
        <v>0</v>
      </c>
      <c r="AB109" s="17" t="str">
        <f t="shared" si="15"/>
        <v>이행완료</v>
      </c>
      <c r="AC109" s="64" t="str">
        <f>IFERROR(INDEX(입력!$P$2:$P$500, MATCH($BO109, 입력!$Z$2:$Z$500, 0)) &amp; "", "")</f>
        <v/>
      </c>
      <c r="AD109" s="64" t="str">
        <f>IFERROR(INDEX(입력!$Q$2:$Q$500, MATCH($BO109, 입력!$Z$2:$Z$500, 0)) &amp; "", "")</f>
        <v/>
      </c>
      <c r="AE109" s="64" t="str">
        <f>IFERROR(INDEX(입력!$R$2:$R$500, MATCH($BO109, 입력!$Z$2:$Z$500, 0)) &amp; "", "")</f>
        <v>여</v>
      </c>
      <c r="AF109" s="64" t="str">
        <f>IFERROR(INDEX(입력!$S$2:$S$500, MATCH($BO109, 입력!$Z$2:$Z$500, 0)) &amp; "", "")</f>
        <v>여</v>
      </c>
      <c r="AG109" s="64" t="str">
        <f>IFERROR(INDEX(입력!$T$2:$T$500, MATCH($BO109, 입력!$Z$2:$Z$500, 0)) &amp; "", "")</f>
        <v/>
      </c>
      <c r="AH109" s="64" t="str">
        <f>IFERROR(INDEX(입력!$U$2:$U$500, MATCH($BO109, 입력!$Z$2:$Z$500, 0)) &amp; "", "")</f>
        <v/>
      </c>
      <c r="AI109" s="64" t="str">
        <f>IFERROR(INDEX(입력!$V$2:$V$500, MATCH($BO109, 입력!$Z$2:$Z$500, 0)) &amp; "", "")</f>
        <v>여</v>
      </c>
      <c r="AJ109" s="44" t="str">
        <f>IFERROR(INDEX(입력!$W$2:$W$500, MATCH($BO109, 입력!$Z$2:$Z$500, 0)) &amp; "", "")</f>
        <v>정광표</v>
      </c>
      <c r="AK109" s="44" t="str">
        <f>IFERROR(INDEX(입력!$X$2:$X$500, MATCH($BO109, 입력!$Z$2:$Z$500, 0)) &amp; "", "")</f>
        <v>942-4499</v>
      </c>
      <c r="AL109" s="2"/>
      <c r="AM109" s="17" t="s">
        <v>1251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3131</v>
      </c>
      <c r="AZ109" s="71" t="str">
        <f>IFERROR(IF(INDEX(입력!$C$2:$C$500, MATCH($BO109, 입력!$Z$2:$Z$500, 0))="", "", TEXT(INDEX(입력!$C$2:$C$500, MATCH($BO109, 입력!$Z$2:$Z$500, 0)), "yyyy-mm-dd")), "")</f>
        <v>2026-04-27</v>
      </c>
      <c r="BA109" s="44" t="str">
        <f>IFERROR(INDEX(입력!$B$2:$B$500, MATCH($BO109, 입력!$Z$2:$Z$500, 0)) &amp; "", "")</f>
        <v>정은진</v>
      </c>
      <c r="BB109" s="83" t="str">
        <f>IFERROR(INDEX(입력!$Y$2:$Y$500, MATCH($BO109, 입력!$Z$2:$Z$500, 0)) &amp; "", "")</f>
        <v/>
      </c>
      <c r="BC109" s="83" t="s">
        <v>3112</v>
      </c>
      <c r="BD109" s="83"/>
      <c r="BE109" s="101"/>
      <c r="BF109" s="101"/>
      <c r="BG109" s="101"/>
      <c r="BH109" s="101"/>
      <c r="BI109" s="101"/>
      <c r="BJ109" s="101"/>
      <c r="BK109" s="110"/>
      <c r="BL109" s="21"/>
      <c r="BM109" s="22"/>
      <c r="BN109" s="23"/>
      <c r="BO109" s="47" t="s">
        <v>339</v>
      </c>
    </row>
    <row r="110" spans="1:67" x14ac:dyDescent="0.45">
      <c r="A110" s="46">
        <v>109</v>
      </c>
      <c r="B110" s="1" t="s">
        <v>1175</v>
      </c>
      <c r="C110" s="17" t="str">
        <f t="shared" si="11"/>
        <v>이행완료</v>
      </c>
      <c r="D110" s="17" t="str">
        <f t="shared" si="12"/>
        <v>조사완료</v>
      </c>
      <c r="E110" s="4" t="s">
        <v>1422</v>
      </c>
      <c r="F110" s="4" t="s">
        <v>340</v>
      </c>
      <c r="G110" s="4" t="s">
        <v>1423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3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MATCH($BO110, 입력!$Z$2:$Z$500, 0)) &amp; "", "")</f>
        <v/>
      </c>
      <c r="S110" s="64" t="str">
        <f>IFERROR(INDEX(입력!$K$2:$K$500, MATCH($BO110,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4"/>
        <v>1</v>
      </c>
      <c r="W110" s="1" t="str">
        <f t="shared" si="10"/>
        <v/>
      </c>
      <c r="X110" s="1">
        <v>1</v>
      </c>
      <c r="Y110" s="64" t="str">
        <f>IFERROR(INDEX(입력!$M$2:$M$500, MATCH($BO110, 입력!$Z$2:$Z$500, 0)) &amp; "", "")</f>
        <v/>
      </c>
      <c r="Z110" s="64" t="str">
        <f>IFERROR(INDEX(입력!$N$2:$N$500, MATCH($BO110, 입력!$Z$2:$Z$500, 0)) &amp; "", "")</f>
        <v>1</v>
      </c>
      <c r="AA110" s="64">
        <f>MAX(0, 표1[[#This Row],[의무_시설]]-표1[[#This Row],[시설합]])</f>
        <v>0</v>
      </c>
      <c r="AB110" s="17" t="str">
        <f t="shared" si="15"/>
        <v>이행완료</v>
      </c>
      <c r="AC110" s="64" t="str">
        <f>IFERROR(INDEX(입력!$P$2:$P$500, MATCH($BO110, 입력!$Z$2:$Z$500, 0)) &amp; "", "")</f>
        <v/>
      </c>
      <c r="AD110" s="64" t="str">
        <f>IFERROR(INDEX(입력!$Q$2:$Q$500, MATCH($BO110, 입력!$Z$2:$Z$500, 0)) &amp; "", "")</f>
        <v/>
      </c>
      <c r="AE110" s="64" t="str">
        <f>IFERROR(INDEX(입력!$R$2:$R$500, MATCH($BO110, 입력!$Z$2:$Z$500, 0)) &amp; "", "")</f>
        <v>여</v>
      </c>
      <c r="AF110" s="64" t="str">
        <f>IFERROR(INDEX(입력!$S$2:$S$500, MATCH($BO110, 입력!$Z$2:$Z$500, 0)) &amp; "", "")</f>
        <v>여</v>
      </c>
      <c r="AG110" s="64" t="str">
        <f>IFERROR(INDEX(입력!$T$2:$T$500, MATCH($BO110, 입력!$Z$2:$Z$500, 0)) &amp; "", "")</f>
        <v/>
      </c>
      <c r="AH110" s="64" t="str">
        <f>IFERROR(INDEX(입력!$U$2:$U$500, MATCH($BO110, 입력!$Z$2:$Z$500, 0)) &amp; "", "")</f>
        <v/>
      </c>
      <c r="AI110" s="64" t="str">
        <f>IFERROR(INDEX(입력!$V$2:$V$500, MATCH($BO110, 입력!$Z$2:$Z$500, 0)) &amp; "", "")</f>
        <v>여</v>
      </c>
      <c r="AJ110" s="44" t="str">
        <f>IFERROR(INDEX(입력!$W$2:$W$500, MATCH($BO110, 입력!$Z$2:$Z$500, 0)) &amp; "", "")</f>
        <v>이상진</v>
      </c>
      <c r="AK110" s="44" t="str">
        <f>IFERROR(INDEX(입력!$X$2:$X$500, MATCH($BO110, 입력!$Z$2:$Z$500, 0)) &amp; "", "")</f>
        <v>958-2009</v>
      </c>
      <c r="AL110" s="2" t="s">
        <v>1424</v>
      </c>
      <c r="AM110" s="17" t="s">
        <v>1060</v>
      </c>
      <c r="AN110" s="83"/>
      <c r="AO110" s="17" t="s">
        <v>1089</v>
      </c>
      <c r="AP110" s="2" t="s">
        <v>3243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3132</v>
      </c>
      <c r="AZ110" s="71" t="str">
        <f>IFERROR(IF(INDEX(입력!$C$2:$C$500, MATCH($BO110, 입력!$Z$2:$Z$500, 0))="", "", TEXT(INDEX(입력!$C$2:$C$500, MATCH($BO110, 입력!$Z$2:$Z$500, 0)), "yyyy-mm-dd")), "")</f>
        <v>2026-04-27</v>
      </c>
      <c r="BA110" s="44" t="str">
        <f>IFERROR(INDEX(입력!$B$2:$B$500, MATCH($BO110, 입력!$Z$2:$Z$500, 0)) &amp; "", "")</f>
        <v>노기섭</v>
      </c>
      <c r="BB110" s="83" t="str">
        <f>IFERROR(INDEX(입력!$Y$2:$Y$500, MATCH($BO110, 입력!$Z$2:$Z$500, 0)) &amp; "", "")</f>
        <v/>
      </c>
      <c r="BC110" s="83" t="s">
        <v>3112</v>
      </c>
      <c r="BD110" s="83"/>
      <c r="BE110" s="101"/>
      <c r="BF110" s="101"/>
      <c r="BG110" s="101"/>
      <c r="BH110" s="101"/>
      <c r="BI110" s="101"/>
      <c r="BJ110" s="101"/>
      <c r="BK110" s="110"/>
      <c r="BL110" s="21"/>
      <c r="BM110" s="22"/>
      <c r="BN110" s="23"/>
      <c r="BO110" s="47" t="s">
        <v>341</v>
      </c>
    </row>
    <row r="111" spans="1:67" x14ac:dyDescent="0.45">
      <c r="A111" s="19">
        <v>110</v>
      </c>
      <c r="B111" s="1" t="s">
        <v>1175</v>
      </c>
      <c r="C111" s="17" t="str">
        <f t="shared" si="11"/>
        <v>이행완료</v>
      </c>
      <c r="D111" s="17" t="str">
        <f t="shared" si="12"/>
        <v>조사완료</v>
      </c>
      <c r="E111" s="4" t="s">
        <v>1425</v>
      </c>
      <c r="F111" s="4" t="s">
        <v>342</v>
      </c>
      <c r="G111" s="4" t="s">
        <v>1426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3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MATCH($BO111, 입력!$Z$2:$Z$500, 0)) &amp; "", "")</f>
        <v>3</v>
      </c>
      <c r="S111" s="64" t="str">
        <f>IFERROR(INDEX(입력!$K$2:$K$500, MATCH($BO111,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4"/>
        <v>2</v>
      </c>
      <c r="W111" s="1" t="str">
        <f t="shared" si="10"/>
        <v/>
      </c>
      <c r="X111" s="1">
        <v>2</v>
      </c>
      <c r="Y111" s="64" t="str">
        <f>IFERROR(INDEX(입력!$M$2:$M$500, MATCH($BO111, 입력!$Z$2:$Z$500, 0)) &amp; "", "")</f>
        <v/>
      </c>
      <c r="Z111" s="64" t="str">
        <f>IFERROR(INDEX(입력!$N$2:$N$500, MATCH($BO111, 입력!$Z$2:$Z$500, 0)) &amp; "", "")</f>
        <v>2</v>
      </c>
      <c r="AA111" s="64">
        <f>MAX(0, 표1[[#This Row],[의무_시설]]-표1[[#This Row],[시설합]])</f>
        <v>0</v>
      </c>
      <c r="AB111" s="17" t="str">
        <f t="shared" si="15"/>
        <v>이행완료</v>
      </c>
      <c r="AC111" s="64" t="str">
        <f>IFERROR(INDEX(입력!$P$2:$P$500, MATCH($BO111, 입력!$Z$2:$Z$500, 0)) &amp; "", "")</f>
        <v/>
      </c>
      <c r="AD111" s="64" t="str">
        <f>IFERROR(INDEX(입력!$Q$2:$Q$500, MATCH($BO111, 입력!$Z$2:$Z$500, 0)) &amp; "", "")</f>
        <v/>
      </c>
      <c r="AE111" s="64" t="str">
        <f>IFERROR(INDEX(입력!$R$2:$R$500, MATCH($BO111, 입력!$Z$2:$Z$500, 0)) &amp; "", "")</f>
        <v>여</v>
      </c>
      <c r="AF111" s="64" t="str">
        <f>IFERROR(INDEX(입력!$S$2:$S$500, MATCH($BO111, 입력!$Z$2:$Z$500, 0)) &amp; "", "")</f>
        <v>여</v>
      </c>
      <c r="AG111" s="64" t="str">
        <f>IFERROR(INDEX(입력!$T$2:$T$500, MATCH($BO111, 입력!$Z$2:$Z$500, 0)) &amp; "", "")</f>
        <v/>
      </c>
      <c r="AH111" s="64" t="str">
        <f>IFERROR(INDEX(입력!$U$2:$U$500, MATCH($BO111, 입력!$Z$2:$Z$500, 0)) &amp; "", "")</f>
        <v/>
      </c>
      <c r="AI111" s="64" t="str">
        <f>IFERROR(INDEX(입력!$V$2:$V$500, MATCH($BO111, 입력!$Z$2:$Z$500, 0)) &amp; "", "")</f>
        <v>여</v>
      </c>
      <c r="AJ111" s="44" t="str">
        <f>IFERROR(INDEX(입력!$W$2:$W$500, MATCH($BO111, 입력!$Z$2:$Z$500, 0)) &amp; "", "")</f>
        <v>김소정</v>
      </c>
      <c r="AK111" s="44" t="str">
        <f>IFERROR(INDEX(입력!$X$2:$X$500, MATCH($BO111, 입력!$Z$2:$Z$500, 0)) &amp; "", "")</f>
        <v>958-1036</v>
      </c>
      <c r="AL111" s="2" t="s">
        <v>1427</v>
      </c>
      <c r="AM111" s="17" t="s">
        <v>1060</v>
      </c>
      <c r="AN111" s="83"/>
      <c r="AO111" s="17" t="s">
        <v>1089</v>
      </c>
      <c r="AP111" s="2" t="s">
        <v>1428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3137</v>
      </c>
      <c r="AZ111" s="71" t="str">
        <f>IFERROR(IF(INDEX(입력!$C$2:$C$500, MATCH($BO111, 입력!$Z$2:$Z$500, 0))="", "", TEXT(INDEX(입력!$C$2:$C$500, MATCH($BO111, 입력!$Z$2:$Z$500, 0)), "yyyy-mm-dd")), "")</f>
        <v>2026-04-27</v>
      </c>
      <c r="BA111" s="44" t="str">
        <f>IFERROR(INDEX(입력!$B$2:$B$500, MATCH($BO111, 입력!$Z$2:$Z$500, 0)) &amp; "", "")</f>
        <v>노기섭</v>
      </c>
      <c r="BB111" s="83" t="str">
        <f>IFERROR(INDEX(입력!$Y$2:$Y$500, MATCH($BO111, 입력!$Z$2:$Z$500, 0)) &amp; "", "")</f>
        <v/>
      </c>
      <c r="BC111" s="83" t="s">
        <v>3112</v>
      </c>
      <c r="BD111" s="83"/>
      <c r="BE111" s="101"/>
      <c r="BF111" s="101"/>
      <c r="BG111" s="101"/>
      <c r="BH111" s="101"/>
      <c r="BI111" s="101"/>
      <c r="BJ111" s="101"/>
      <c r="BK111" s="110"/>
      <c r="BL111" s="21"/>
      <c r="BM111" s="22"/>
      <c r="BN111" s="23"/>
      <c r="BO111" s="47" t="s">
        <v>343</v>
      </c>
    </row>
    <row r="112" spans="1:67" x14ac:dyDescent="0.45">
      <c r="A112" s="46">
        <v>111</v>
      </c>
      <c r="B112" s="1" t="s">
        <v>1175</v>
      </c>
      <c r="C112" s="17" t="str">
        <f t="shared" si="11"/>
        <v>이행완료</v>
      </c>
      <c r="D112" s="17" t="str">
        <f t="shared" si="12"/>
        <v>조사완료</v>
      </c>
      <c r="E112" s="3" t="s">
        <v>1429</v>
      </c>
      <c r="F112" s="3" t="s">
        <v>344</v>
      </c>
      <c r="G112" s="3" t="s">
        <v>1430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3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MATCH($BO112, 입력!$Z$2:$Z$500, 0)) &amp; "", "")</f>
        <v>5</v>
      </c>
      <c r="S112" s="64" t="str">
        <f>IFERROR(INDEX(입력!$K$2:$K$500, MATCH($BO112,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4"/>
        <v>5</v>
      </c>
      <c r="W112" s="1">
        <f t="shared" si="10"/>
        <v>1</v>
      </c>
      <c r="X112" s="1">
        <v>5</v>
      </c>
      <c r="Y112" s="64" t="str">
        <f>IFERROR(INDEX(입력!$M$2:$M$500, MATCH($BO112, 입력!$Z$2:$Z$500, 0)) &amp; "", "")</f>
        <v>1</v>
      </c>
      <c r="Z112" s="64" t="str">
        <f>IFERROR(INDEX(입력!$N$2:$N$500, MATCH($BO112, 입력!$Z$2:$Z$500, 0)) &amp; "", "")</f>
        <v>4</v>
      </c>
      <c r="AA112" s="64">
        <f>MAX(0, 표1[[#This Row],[의무_시설]]-표1[[#This Row],[시설합]])</f>
        <v>0</v>
      </c>
      <c r="AB112" s="17" t="str">
        <f t="shared" si="15"/>
        <v>이행완료</v>
      </c>
      <c r="AC112" s="64" t="str">
        <f>IFERROR(INDEX(입력!$P$2:$P$500, MATCH($BO112, 입력!$Z$2:$Z$500, 0)) &amp; "", "")</f>
        <v/>
      </c>
      <c r="AD112" s="64" t="str">
        <f>IFERROR(INDEX(입력!$Q$2:$Q$500, MATCH($BO112, 입력!$Z$2:$Z$500, 0)) &amp; "", "")</f>
        <v/>
      </c>
      <c r="AE112" s="64" t="str">
        <f>IFERROR(INDEX(입력!$R$2:$R$500, MATCH($BO112, 입력!$Z$2:$Z$500, 0)) &amp; "", "")</f>
        <v>부</v>
      </c>
      <c r="AF112" s="64" t="str">
        <f>IFERROR(INDEX(입력!$S$2:$S$500, MATCH($BO112, 입력!$Z$2:$Z$500, 0)) &amp; "", "")</f>
        <v>부</v>
      </c>
      <c r="AG112" s="64" t="str">
        <f>IFERROR(INDEX(입력!$T$2:$T$500, MATCH($BO112, 입력!$Z$2:$Z$500, 0)) &amp; "", "")</f>
        <v/>
      </c>
      <c r="AH112" s="64" t="str">
        <f>IFERROR(INDEX(입력!$U$2:$U$500, MATCH($BO112, 입력!$Z$2:$Z$500, 0)) &amp; "", "")</f>
        <v/>
      </c>
      <c r="AI112" s="64" t="str">
        <f>IFERROR(INDEX(입력!$V$2:$V$500, MATCH($BO112, 입력!$Z$2:$Z$500, 0)) &amp; "", "")</f>
        <v>여</v>
      </c>
      <c r="AJ112" s="44" t="str">
        <f>IFERROR(INDEX(입력!$W$2:$W$500, MATCH($BO112, 입력!$Z$2:$Z$500, 0)) &amp; "", "")</f>
        <v>박주현</v>
      </c>
      <c r="AK112" s="44" t="str">
        <f>IFERROR(INDEX(입력!$X$2:$X$500, MATCH($BO112, 입력!$Z$2:$Z$500, 0)) &amp; "", "")</f>
        <v>946-2442</v>
      </c>
      <c r="AL112" s="2"/>
      <c r="AM112" s="17" t="s">
        <v>1251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3131</v>
      </c>
      <c r="AZ112" s="71" t="str">
        <f>IFERROR(IF(INDEX(입력!$C$2:$C$500, MATCH($BO112, 입력!$Z$2:$Z$500, 0))="", "", TEXT(INDEX(입력!$C$2:$C$500, MATCH($BO112, 입력!$Z$2:$Z$500, 0)), "yyyy-mm-dd")), "")</f>
        <v>2026-04-29</v>
      </c>
      <c r="BA112" s="44" t="str">
        <f>IFERROR(INDEX(입력!$B$2:$B$500, MATCH($BO112, 입력!$Z$2:$Z$500, 0)) &amp; "", "")</f>
        <v>노기섭</v>
      </c>
      <c r="BB112" s="83" t="str">
        <f>IFERROR(INDEX(입력!$Y$2:$Y$500, MATCH($BO112, 입력!$Z$2:$Z$500, 0)) &amp; "", "")</f>
        <v/>
      </c>
      <c r="BC112" s="83" t="s">
        <v>3112</v>
      </c>
      <c r="BD112" s="83"/>
      <c r="BE112" s="101"/>
      <c r="BF112" s="101"/>
      <c r="BG112" s="101"/>
      <c r="BH112" s="101"/>
      <c r="BI112" s="101"/>
      <c r="BJ112" s="101"/>
      <c r="BK112" s="110"/>
      <c r="BL112" s="21"/>
      <c r="BM112" s="22"/>
      <c r="BN112" s="23"/>
      <c r="BO112" s="47" t="s">
        <v>345</v>
      </c>
    </row>
    <row r="113" spans="1:67" x14ac:dyDescent="0.45">
      <c r="A113" s="19">
        <v>112</v>
      </c>
      <c r="B113" s="1" t="s">
        <v>1175</v>
      </c>
      <c r="C113" s="17" t="str">
        <f t="shared" si="11"/>
        <v>이행완료</v>
      </c>
      <c r="D113" s="17" t="str">
        <f t="shared" si="12"/>
        <v>조사완료</v>
      </c>
      <c r="E113" s="3" t="s">
        <v>1431</v>
      </c>
      <c r="F113" s="3" t="s">
        <v>346</v>
      </c>
      <c r="G113" s="3" t="s">
        <v>1432</v>
      </c>
      <c r="H113" s="18" t="s">
        <v>1172</v>
      </c>
      <c r="I113" s="19">
        <v>126</v>
      </c>
      <c r="J113" s="2"/>
      <c r="K113" s="20">
        <v>35299</v>
      </c>
      <c r="L113" s="20"/>
      <c r="M113" s="17" t="str">
        <f t="shared" si="13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MATCH($BO113, 입력!$Z$2:$Z$500, 0)) &amp; "", "")</f>
        <v>3</v>
      </c>
      <c r="S113" s="64" t="str">
        <f>IFERROR(INDEX(입력!$K$2:$K$500, MATCH($BO113,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4"/>
        <v>3</v>
      </c>
      <c r="W113" s="1" t="str">
        <f t="shared" si="10"/>
        <v/>
      </c>
      <c r="X113" s="1">
        <v>3</v>
      </c>
      <c r="Y113" s="64" t="str">
        <f>IFERROR(INDEX(입력!$M$2:$M$500, MATCH($BO113, 입력!$Z$2:$Z$500, 0)) &amp; "", "")</f>
        <v/>
      </c>
      <c r="Z113" s="64" t="str">
        <f>IFERROR(INDEX(입력!$N$2:$N$500, MATCH($BO113, 입력!$Z$2:$Z$500, 0)) &amp; "", "")</f>
        <v>3</v>
      </c>
      <c r="AA113" s="64">
        <f>MAX(0, 표1[[#This Row],[의무_시설]]-표1[[#This Row],[시설합]])</f>
        <v>0</v>
      </c>
      <c r="AB113" s="17" t="str">
        <f t="shared" si="15"/>
        <v>이행완료</v>
      </c>
      <c r="AC113" s="64" t="str">
        <f>IFERROR(INDEX(입력!$P$2:$P$500, MATCH($BO113, 입력!$Z$2:$Z$500, 0)) &amp; "", "")</f>
        <v/>
      </c>
      <c r="AD113" s="64" t="str">
        <f>IFERROR(INDEX(입력!$Q$2:$Q$500, MATCH($BO113, 입력!$Z$2:$Z$500, 0)) &amp; "", "")</f>
        <v/>
      </c>
      <c r="AE113" s="64" t="str">
        <f>IFERROR(INDEX(입력!$R$2:$R$500, MATCH($BO113, 입력!$Z$2:$Z$500, 0)) &amp; "", "")</f>
        <v>여</v>
      </c>
      <c r="AF113" s="64" t="str">
        <f>IFERROR(INDEX(입력!$S$2:$S$500, MATCH($BO113, 입력!$Z$2:$Z$500, 0)) &amp; "", "")</f>
        <v>여</v>
      </c>
      <c r="AG113" s="64" t="str">
        <f>IFERROR(INDEX(입력!$T$2:$T$500, MATCH($BO113, 입력!$Z$2:$Z$500, 0)) &amp; "", "")</f>
        <v/>
      </c>
      <c r="AH113" s="64" t="str">
        <f>IFERROR(INDEX(입력!$U$2:$U$500, MATCH($BO113, 입력!$Z$2:$Z$500, 0)) &amp; "", "")</f>
        <v/>
      </c>
      <c r="AI113" s="64" t="str">
        <f>IFERROR(INDEX(입력!$V$2:$V$500, MATCH($BO113, 입력!$Z$2:$Z$500, 0)) &amp; "", "")</f>
        <v>여</v>
      </c>
      <c r="AJ113" s="44" t="str">
        <f>IFERROR(INDEX(입력!$W$2:$W$500, MATCH($BO113, 입력!$Z$2:$Z$500, 0)) &amp; "", "")</f>
        <v>송대용</v>
      </c>
      <c r="AK113" s="44" t="str">
        <f>IFERROR(INDEX(입력!$X$2:$X$500, MATCH($BO113, 입력!$Z$2:$Z$500, 0)) &amp; "", "")</f>
        <v>062-972-4499</v>
      </c>
      <c r="AL113" s="2" t="s">
        <v>1433</v>
      </c>
      <c r="AM113" s="17" t="s">
        <v>1179</v>
      </c>
      <c r="AN113" s="83"/>
      <c r="AO113" s="17" t="s">
        <v>1059</v>
      </c>
      <c r="AP113" s="2" t="s">
        <v>1434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3131</v>
      </c>
      <c r="AZ113" s="71" t="str">
        <f>IFERROR(IF(INDEX(입력!$C$2:$C$500, MATCH($BO113, 입력!$Z$2:$Z$500, 0))="", "", TEXT(INDEX(입력!$C$2:$C$500, MATCH($BO113, 입력!$Z$2:$Z$500, 0)), "yyyy-mm-dd")), "")</f>
        <v>2026-04-27</v>
      </c>
      <c r="BA113" s="44" t="str">
        <f>IFERROR(INDEX(입력!$B$2:$B$500, MATCH($BO113, 입력!$Z$2:$Z$500, 0)) &amp; "", "")</f>
        <v>이승수</v>
      </c>
      <c r="BB113" s="83" t="str">
        <f>IFERROR(INDEX(입력!$Y$2:$Y$500, MATCH($BO113, 입력!$Z$2:$Z$500, 0)) &amp; "", "")</f>
        <v/>
      </c>
      <c r="BC113" s="83" t="s">
        <v>3112</v>
      </c>
      <c r="BD113" s="83"/>
      <c r="BE113" s="101"/>
      <c r="BF113" s="101"/>
      <c r="BG113" s="101"/>
      <c r="BH113" s="101"/>
      <c r="BI113" s="101"/>
      <c r="BJ113" s="101"/>
      <c r="BK113" s="110"/>
      <c r="BL113" s="21"/>
      <c r="BM113" s="22"/>
      <c r="BN113" s="23"/>
      <c r="BO113" s="47" t="s">
        <v>347</v>
      </c>
    </row>
    <row r="114" spans="1:67" x14ac:dyDescent="0.45">
      <c r="A114" s="46">
        <v>113</v>
      </c>
      <c r="B114" s="1" t="s">
        <v>1175</v>
      </c>
      <c r="C114" s="17" t="str">
        <f t="shared" si="11"/>
        <v>이행완료</v>
      </c>
      <c r="D114" s="17" t="str">
        <f t="shared" si="12"/>
        <v>조사완료</v>
      </c>
      <c r="E114" s="3" t="s">
        <v>1435</v>
      </c>
      <c r="F114" s="3" t="s">
        <v>348</v>
      </c>
      <c r="G114" s="3" t="s">
        <v>1436</v>
      </c>
      <c r="H114" s="18" t="s">
        <v>1276</v>
      </c>
      <c r="I114" s="19">
        <v>73</v>
      </c>
      <c r="J114" s="2"/>
      <c r="K114" s="20">
        <v>32660</v>
      </c>
      <c r="L114" s="20"/>
      <c r="M114" s="17" t="str">
        <f t="shared" si="13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MATCH($BO114, 입력!$Z$2:$Z$500, 0)) &amp; "", "")</f>
        <v>2</v>
      </c>
      <c r="S114" s="64" t="str">
        <f>IFERROR(INDEX(입력!$K$2:$K$500, MATCH($BO114,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4"/>
        <v>1</v>
      </c>
      <c r="W114" s="1" t="str">
        <f t="shared" si="10"/>
        <v/>
      </c>
      <c r="X114" s="1">
        <v>2</v>
      </c>
      <c r="Y114" s="64" t="str">
        <f>IFERROR(INDEX(입력!$M$2:$M$500, MATCH($BO114, 입력!$Z$2:$Z$500, 0)) &amp; "", "")</f>
        <v/>
      </c>
      <c r="Z114" s="64" t="str">
        <f>IFERROR(INDEX(입력!$N$2:$N$500, MATCH($BO114, 입력!$Z$2:$Z$500, 0)) &amp; "", "")</f>
        <v>2</v>
      </c>
      <c r="AA114" s="64">
        <f>MAX(0, 표1[[#This Row],[의무_시설]]-표1[[#This Row],[시설합]])</f>
        <v>0</v>
      </c>
      <c r="AB114" s="17" t="str">
        <f t="shared" si="15"/>
        <v>이행완료</v>
      </c>
      <c r="AC114" s="64" t="str">
        <f>IFERROR(INDEX(입력!$P$2:$P$500, MATCH($BO114, 입력!$Z$2:$Z$500, 0)) &amp; "", "")</f>
        <v/>
      </c>
      <c r="AD114" s="64" t="str">
        <f>IFERROR(INDEX(입력!$Q$2:$Q$500, MATCH($BO114, 입력!$Z$2:$Z$500, 0)) &amp; "", "")</f>
        <v/>
      </c>
      <c r="AE114" s="64" t="str">
        <f>IFERROR(INDEX(입력!$R$2:$R$500, MATCH($BO114, 입력!$Z$2:$Z$500, 0)) &amp; "", "")</f>
        <v>여</v>
      </c>
      <c r="AF114" s="64" t="str">
        <f>IFERROR(INDEX(입력!$S$2:$S$500, MATCH($BO114, 입력!$Z$2:$Z$500, 0)) &amp; "", "")</f>
        <v>여</v>
      </c>
      <c r="AG114" s="64" t="str">
        <f>IFERROR(INDEX(입력!$T$2:$T$500, MATCH($BO114, 입력!$Z$2:$Z$500, 0)) &amp; "", "")</f>
        <v/>
      </c>
      <c r="AH114" s="64" t="str">
        <f>IFERROR(INDEX(입력!$U$2:$U$500, MATCH($BO114, 입력!$Z$2:$Z$500, 0)) &amp; "", "")</f>
        <v/>
      </c>
      <c r="AI114" s="64" t="str">
        <f>IFERROR(INDEX(입력!$V$2:$V$500, MATCH($BO114, 입력!$Z$2:$Z$500, 0)) &amp; "", "")</f>
        <v>여</v>
      </c>
      <c r="AJ114" s="44" t="str">
        <f>IFERROR(INDEX(입력!$W$2:$W$500, MATCH($BO114, 입력!$Z$2:$Z$500, 0)) &amp; "", "")</f>
        <v>임채용</v>
      </c>
      <c r="AK114" s="44" t="str">
        <f>IFERROR(INDEX(입력!$X$2:$X$500, MATCH($BO114, 입력!$Z$2:$Z$500, 0)) &amp; "", "")</f>
        <v>010-9529-8585</v>
      </c>
      <c r="AL114" s="2"/>
      <c r="AM114" s="17" t="s">
        <v>1179</v>
      </c>
      <c r="AN114" s="83"/>
      <c r="AO114" s="17" t="s">
        <v>1089</v>
      </c>
      <c r="AP114" s="2" t="s">
        <v>3244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3137</v>
      </c>
      <c r="AZ114" s="71" t="str">
        <f>IFERROR(IF(INDEX(입력!$C$2:$C$500, MATCH($BO114, 입력!$Z$2:$Z$500, 0))="", "", TEXT(INDEX(입력!$C$2:$C$500, MATCH($BO114, 입력!$Z$2:$Z$500, 0)), "yyyy-mm-dd")), "")</f>
        <v>2026-05-07</v>
      </c>
      <c r="BA114" s="44" t="str">
        <f>IFERROR(INDEX(입력!$B$2:$B$500, MATCH($BO114, 입력!$Z$2:$Z$500, 0)) &amp; "", "")</f>
        <v>노기섭</v>
      </c>
      <c r="BB114" s="83" t="str">
        <f>IFERROR(INDEX(입력!$Y$2:$Y$500, MATCH($BO114, 입력!$Z$2:$Z$500, 0)) &amp; "", "")</f>
        <v/>
      </c>
      <c r="BC114" s="83" t="s">
        <v>3112</v>
      </c>
      <c r="BD114" s="83"/>
      <c r="BE114" s="101"/>
      <c r="BF114" s="101"/>
      <c r="BG114" s="101"/>
      <c r="BH114" s="101"/>
      <c r="BI114" s="101"/>
      <c r="BJ114" s="101"/>
      <c r="BK114" s="110"/>
      <c r="BL114" s="21"/>
      <c r="BM114" s="22"/>
      <c r="BN114" s="23"/>
      <c r="BO114" s="47" t="s">
        <v>349</v>
      </c>
    </row>
    <row r="115" spans="1:67" x14ac:dyDescent="0.45">
      <c r="A115" s="19">
        <v>114</v>
      </c>
      <c r="B115" s="1" t="s">
        <v>1175</v>
      </c>
      <c r="C115" s="17" t="str">
        <f t="shared" si="11"/>
        <v>이행완료</v>
      </c>
      <c r="D115" s="17" t="str">
        <f t="shared" si="12"/>
        <v>조사완료</v>
      </c>
      <c r="E115" s="3" t="s">
        <v>1437</v>
      </c>
      <c r="F115" s="3" t="s">
        <v>350</v>
      </c>
      <c r="G115" s="3" t="s">
        <v>1438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3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MATCH($BO115, 입력!$Z$2:$Z$500, 0)) &amp; "", "")</f>
        <v/>
      </c>
      <c r="S115" s="64" t="str">
        <f>IFERROR(INDEX(입력!$K$2:$K$500, MATCH($BO115,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4"/>
        <v>1</v>
      </c>
      <c r="W115" s="1" t="str">
        <f t="shared" si="10"/>
        <v/>
      </c>
      <c r="X115" s="1">
        <v>6</v>
      </c>
      <c r="Y115" s="64" t="str">
        <f>IFERROR(INDEX(입력!$M$2:$M$500, MATCH($BO115, 입력!$Z$2:$Z$500, 0)) &amp; "", "")</f>
        <v/>
      </c>
      <c r="Z115" s="64" t="str">
        <f>IFERROR(INDEX(입력!$N$2:$N$500, MATCH($BO115, 입력!$Z$2:$Z$500, 0)) &amp; "", "")</f>
        <v>6</v>
      </c>
      <c r="AA115" s="64">
        <f>MAX(0, 표1[[#This Row],[의무_시설]]-표1[[#This Row],[시설합]])</f>
        <v>0</v>
      </c>
      <c r="AB115" s="17" t="str">
        <f t="shared" si="15"/>
        <v>이행완료</v>
      </c>
      <c r="AC115" s="64" t="str">
        <f>IFERROR(INDEX(입력!$P$2:$P$500, MATCH($BO115, 입력!$Z$2:$Z$500, 0)) &amp; "", "")</f>
        <v/>
      </c>
      <c r="AD115" s="64" t="str">
        <f>IFERROR(INDEX(입력!$Q$2:$Q$500, MATCH($BO115, 입력!$Z$2:$Z$500, 0)) &amp; "", "")</f>
        <v/>
      </c>
      <c r="AE115" s="64" t="str">
        <f>IFERROR(INDEX(입력!$R$2:$R$500, MATCH($BO115, 입력!$Z$2:$Z$500, 0)) &amp; "", "")</f>
        <v>여</v>
      </c>
      <c r="AF115" s="64" t="str">
        <f>IFERROR(INDEX(입력!$S$2:$S$500, MATCH($BO115, 입력!$Z$2:$Z$500, 0)) &amp; "", "")</f>
        <v>여</v>
      </c>
      <c r="AG115" s="64" t="str">
        <f>IFERROR(INDEX(입력!$T$2:$T$500, MATCH($BO115, 입력!$Z$2:$Z$500, 0)) &amp; "", "")</f>
        <v/>
      </c>
      <c r="AH115" s="64" t="str">
        <f>IFERROR(INDEX(입력!$U$2:$U$500, MATCH($BO115, 입력!$Z$2:$Z$500, 0)) &amp; "", "")</f>
        <v/>
      </c>
      <c r="AI115" s="64" t="str">
        <f>IFERROR(INDEX(입력!$V$2:$V$500, MATCH($BO115, 입력!$Z$2:$Z$500, 0)) &amp; "", "")</f>
        <v>여</v>
      </c>
      <c r="AJ115" s="44" t="str">
        <f>IFERROR(INDEX(입력!$W$2:$W$500, MATCH($BO115, 입력!$Z$2:$Z$500, 0)) &amp; "", "")</f>
        <v>최상현</v>
      </c>
      <c r="AK115" s="44" t="str">
        <f>IFERROR(INDEX(입력!$X$2:$X$500, MATCH($BO115, 입력!$Z$2:$Z$500, 0)) &amp; "", "")</f>
        <v>010-4192-1926</v>
      </c>
      <c r="AL115" s="2" t="s">
        <v>1439</v>
      </c>
      <c r="AM115" s="17" t="s">
        <v>1251</v>
      </c>
      <c r="AN115" s="83"/>
      <c r="AO115" s="17" t="s">
        <v>1089</v>
      </c>
      <c r="AP115" s="2" t="s">
        <v>1440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3131</v>
      </c>
      <c r="AZ115" s="71" t="str">
        <f>IFERROR(IF(INDEX(입력!$C$2:$C$500, MATCH($BO115, 입력!$Z$2:$Z$500, 0))="", "", TEXT(INDEX(입력!$C$2:$C$500, MATCH($BO115, 입력!$Z$2:$Z$500, 0)), "yyyy-mm-dd")), "")</f>
        <v>2026-04-29</v>
      </c>
      <c r="BA115" s="44" t="str">
        <f>IFERROR(INDEX(입력!$B$2:$B$500, MATCH($BO115, 입력!$Z$2:$Z$500, 0)) &amp; "", "")</f>
        <v>노기섭</v>
      </c>
      <c r="BB115" s="83" t="str">
        <f>IFERROR(INDEX(입력!$Y$2:$Y$500, MATCH($BO115, 입력!$Z$2:$Z$500, 0)) &amp; "", "")</f>
        <v/>
      </c>
      <c r="BC115" s="83" t="s">
        <v>3112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3850</v>
      </c>
      <c r="BI115" s="101"/>
      <c r="BJ115" s="101"/>
      <c r="BK115" s="110"/>
      <c r="BL115" s="21"/>
      <c r="BM115" s="22"/>
      <c r="BN115" s="23"/>
      <c r="BO115" s="47" t="s">
        <v>351</v>
      </c>
    </row>
    <row r="116" spans="1:67" x14ac:dyDescent="0.45">
      <c r="A116" s="46">
        <v>115</v>
      </c>
      <c r="B116" s="1" t="s">
        <v>1175</v>
      </c>
      <c r="C116" s="17" t="str">
        <f t="shared" si="11"/>
        <v>이행완료</v>
      </c>
      <c r="D116" s="17" t="str">
        <f t="shared" si="12"/>
        <v>조사완료</v>
      </c>
      <c r="E116" s="3" t="s">
        <v>1441</v>
      </c>
      <c r="F116" s="3" t="s">
        <v>352</v>
      </c>
      <c r="G116" s="3" t="s">
        <v>1442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3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MATCH($BO116, 입력!$Z$2:$Z$500, 0)) &amp; "", "")</f>
        <v/>
      </c>
      <c r="S116" s="64" t="str">
        <f>IFERROR(INDEX(입력!$K$2:$K$500, MATCH($BO116,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4"/>
        <v>1</v>
      </c>
      <c r="W116" s="1" t="str">
        <f t="shared" si="10"/>
        <v/>
      </c>
      <c r="X116" s="1">
        <v>2</v>
      </c>
      <c r="Y116" s="64" t="str">
        <f>IFERROR(INDEX(입력!$M$2:$M$500, MATCH($BO116, 입력!$Z$2:$Z$500, 0)) &amp; "", "")</f>
        <v/>
      </c>
      <c r="Z116" s="64" t="str">
        <f>IFERROR(INDEX(입력!$N$2:$N$500, MATCH($BO116, 입력!$Z$2:$Z$500, 0)) &amp; "", "")</f>
        <v>2</v>
      </c>
      <c r="AA116" s="64">
        <f>MAX(0, 표1[[#This Row],[의무_시설]]-표1[[#This Row],[시설합]])</f>
        <v>0</v>
      </c>
      <c r="AB116" s="17" t="str">
        <f t="shared" si="15"/>
        <v>이행완료</v>
      </c>
      <c r="AC116" s="64" t="str">
        <f>IFERROR(INDEX(입력!$P$2:$P$500, MATCH($BO116, 입력!$Z$2:$Z$500, 0)) &amp; "", "")</f>
        <v/>
      </c>
      <c r="AD116" s="64" t="str">
        <f>IFERROR(INDEX(입력!$Q$2:$Q$500, MATCH($BO116, 입력!$Z$2:$Z$500, 0)) &amp; "", "")</f>
        <v/>
      </c>
      <c r="AE116" s="64" t="str">
        <f>IFERROR(INDEX(입력!$R$2:$R$500, MATCH($BO116, 입력!$Z$2:$Z$500, 0)) &amp; "", "")</f>
        <v/>
      </c>
      <c r="AF116" s="64" t="str">
        <f>IFERROR(INDEX(입력!$S$2:$S$500, MATCH($BO116, 입력!$Z$2:$Z$500, 0)) &amp; "", "")</f>
        <v/>
      </c>
      <c r="AG116" s="64" t="str">
        <f>IFERROR(INDEX(입력!$T$2:$T$500, MATCH($BO116, 입력!$Z$2:$Z$500, 0)) &amp; "", "")</f>
        <v/>
      </c>
      <c r="AH116" s="64" t="str">
        <f>IFERROR(INDEX(입력!$U$2:$U$500, MATCH($BO116, 입력!$Z$2:$Z$500, 0)) &amp; "", "")</f>
        <v/>
      </c>
      <c r="AI116" s="64" t="str">
        <f>IFERROR(INDEX(입력!$V$2:$V$500, MATCH($BO116, 입력!$Z$2:$Z$500, 0)) &amp; "", "")</f>
        <v>여</v>
      </c>
      <c r="AJ116" s="44" t="str">
        <f>IFERROR(INDEX(입력!$W$2:$W$500, MATCH($BO116, 입력!$Z$2:$Z$500, 0)) &amp; "", "")</f>
        <v>김형호</v>
      </c>
      <c r="AK116" s="44" t="str">
        <f>IFERROR(INDEX(입력!$X$2:$X$500, MATCH($BO116, 입력!$Z$2:$Z$500, 0)) &amp; "", "")</f>
        <v>010-2128-2223</v>
      </c>
      <c r="AL116" s="2"/>
      <c r="AM116" s="17" t="s">
        <v>1251</v>
      </c>
      <c r="AN116" s="83"/>
      <c r="AO116" s="17" t="s">
        <v>1089</v>
      </c>
      <c r="AP116" s="2"/>
      <c r="AQ116" s="21"/>
      <c r="AR116" s="22" t="s">
        <v>1196</v>
      </c>
      <c r="AS116" s="101"/>
      <c r="AT116" s="101"/>
      <c r="AU116" s="101"/>
      <c r="AV116" s="101"/>
      <c r="AW116" s="101"/>
      <c r="AX116" s="101"/>
      <c r="AY116" s="83" t="s">
        <v>3137</v>
      </c>
      <c r="AZ116" s="71" t="str">
        <f>IFERROR(IF(INDEX(입력!$C$2:$C$500, MATCH($BO116, 입력!$Z$2:$Z$500, 0))="", "", TEXT(INDEX(입력!$C$2:$C$500, MATCH($BO116, 입력!$Z$2:$Z$500, 0)), "yyyy-mm-dd")), "")</f>
        <v>2026-04-29</v>
      </c>
      <c r="BA116" s="44" t="str">
        <f>IFERROR(INDEX(입력!$B$2:$B$500, MATCH($BO116, 입력!$Z$2:$Z$500, 0)) &amp; "", "")</f>
        <v>노기섭</v>
      </c>
      <c r="BB116" s="83" t="str">
        <f>IFERROR(INDEX(입력!$Y$2:$Y$500, MATCH($BO116, 입력!$Z$2:$Z$500, 0)) &amp; "", "")</f>
        <v/>
      </c>
      <c r="BC116" s="83" t="s">
        <v>3112</v>
      </c>
      <c r="BD116" s="83"/>
      <c r="BE116" s="101"/>
      <c r="BF116" s="101"/>
      <c r="BG116" s="101"/>
      <c r="BH116" s="101"/>
      <c r="BI116" s="101"/>
      <c r="BJ116" s="101"/>
      <c r="BK116" s="110"/>
      <c r="BL116" s="21"/>
      <c r="BM116" s="22"/>
      <c r="BN116" s="23"/>
      <c r="BO116" s="47" t="s">
        <v>353</v>
      </c>
    </row>
    <row r="117" spans="1:67" x14ac:dyDescent="0.45">
      <c r="A117" s="19">
        <v>116</v>
      </c>
      <c r="B117" s="1" t="s">
        <v>1175</v>
      </c>
      <c r="C117" s="17" t="str">
        <f t="shared" si="11"/>
        <v>이행완료</v>
      </c>
      <c r="D117" s="17" t="str">
        <f t="shared" si="12"/>
        <v>조사완료</v>
      </c>
      <c r="E117" s="3" t="s">
        <v>1443</v>
      </c>
      <c r="F117" s="3" t="s">
        <v>354</v>
      </c>
      <c r="G117" s="3" t="s">
        <v>1444</v>
      </c>
      <c r="H117" s="18" t="s">
        <v>1172</v>
      </c>
      <c r="I117" s="19">
        <v>50</v>
      </c>
      <c r="J117" s="2"/>
      <c r="K117" s="20">
        <v>43593</v>
      </c>
      <c r="L117" s="20"/>
      <c r="M117" s="17" t="str">
        <f t="shared" si="13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MATCH($BO117, 입력!$Z$2:$Z$500, 0)) &amp; "", "")</f>
        <v>1</v>
      </c>
      <c r="S117" s="64" t="str">
        <f>IFERROR(INDEX(입력!$K$2:$K$500, MATCH($BO117,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4"/>
        <v>1</v>
      </c>
      <c r="W117" s="1" t="str">
        <f t="shared" si="10"/>
        <v/>
      </c>
      <c r="X117" s="1">
        <v>1</v>
      </c>
      <c r="Y117" s="64" t="str">
        <f>IFERROR(INDEX(입력!$M$2:$M$500, MATCH($BO117, 입력!$Z$2:$Z$500, 0)) &amp; "", "")</f>
        <v/>
      </c>
      <c r="Z117" s="64" t="str">
        <f>IFERROR(INDEX(입력!$N$2:$N$500, MATCH($BO117, 입력!$Z$2:$Z$500, 0)) &amp; "", "")</f>
        <v>1</v>
      </c>
      <c r="AA117" s="64">
        <f>MAX(0, 표1[[#This Row],[의무_시설]]-표1[[#This Row],[시설합]])</f>
        <v>0</v>
      </c>
      <c r="AB117" s="17" t="str">
        <f t="shared" si="15"/>
        <v>이행완료</v>
      </c>
      <c r="AC117" s="64" t="str">
        <f>IFERROR(INDEX(입력!$P$2:$P$500, MATCH($BO117, 입력!$Z$2:$Z$500, 0)) &amp; "", "")</f>
        <v/>
      </c>
      <c r="AD117" s="64" t="str">
        <f>IFERROR(INDEX(입력!$Q$2:$Q$500, MATCH($BO117, 입력!$Z$2:$Z$500, 0)) &amp; "", "")</f>
        <v/>
      </c>
      <c r="AE117" s="64" t="str">
        <f>IFERROR(INDEX(입력!$R$2:$R$500, MATCH($BO117, 입력!$Z$2:$Z$500, 0)) &amp; "", "")</f>
        <v>여</v>
      </c>
      <c r="AF117" s="64" t="str">
        <f>IFERROR(INDEX(입력!$S$2:$S$500, MATCH($BO117, 입력!$Z$2:$Z$500, 0)) &amp; "", "")</f>
        <v>여</v>
      </c>
      <c r="AG117" s="64" t="str">
        <f>IFERROR(INDEX(입력!$T$2:$T$500, MATCH($BO117, 입력!$Z$2:$Z$500, 0)) &amp; "", "")</f>
        <v/>
      </c>
      <c r="AH117" s="64" t="str">
        <f>IFERROR(INDEX(입력!$U$2:$U$500, MATCH($BO117, 입력!$Z$2:$Z$500, 0)) &amp; "", "")</f>
        <v/>
      </c>
      <c r="AI117" s="64" t="str">
        <f>IFERROR(INDEX(입력!$V$2:$V$500, MATCH($BO117, 입력!$Z$2:$Z$500, 0)) &amp; "", "")</f>
        <v>여</v>
      </c>
      <c r="AJ117" s="44" t="str">
        <f>IFERROR(INDEX(입력!$W$2:$W$500, MATCH($BO117, 입력!$Z$2:$Z$500, 0)) &amp; "", "")</f>
        <v>김명훈</v>
      </c>
      <c r="AK117" s="44" t="str">
        <f>IFERROR(INDEX(입력!$X$2:$X$500, MATCH($BO117, 입력!$Z$2:$Z$500, 0)) &amp; "", "")</f>
        <v>445-7700</v>
      </c>
      <c r="AL117" s="2"/>
      <c r="AM117" s="17" t="s">
        <v>1251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3131</v>
      </c>
      <c r="AZ117" s="71" t="str">
        <f>IFERROR(IF(INDEX(입력!$C$2:$C$500, MATCH($BO117, 입력!$Z$2:$Z$500, 0))="", "", TEXT(INDEX(입력!$C$2:$C$500, MATCH($BO117, 입력!$Z$2:$Z$500, 0)), "yyyy-mm-dd")), "")</f>
        <v>2026-05-04</v>
      </c>
      <c r="BA117" s="44" t="str">
        <f>IFERROR(INDEX(입력!$B$2:$B$500, MATCH($BO117, 입력!$Z$2:$Z$500, 0)) &amp; "", "")</f>
        <v>이승수</v>
      </c>
      <c r="BB117" s="83" t="str">
        <f>IFERROR(INDEX(입력!$Y$2:$Y$500, MATCH($BO117, 입력!$Z$2:$Z$500, 0)) &amp; "", "")</f>
        <v/>
      </c>
      <c r="BC117" s="83" t="s">
        <v>3112</v>
      </c>
      <c r="BD117" s="83"/>
      <c r="BE117" s="101"/>
      <c r="BF117" s="101"/>
      <c r="BG117" s="101"/>
      <c r="BH117" s="101"/>
      <c r="BI117" s="101"/>
      <c r="BJ117" s="101"/>
      <c r="BK117" s="110"/>
      <c r="BL117" s="21"/>
      <c r="BM117" s="22"/>
      <c r="BN117" s="23"/>
      <c r="BO117" s="47" t="s">
        <v>355</v>
      </c>
    </row>
    <row r="118" spans="1:67" x14ac:dyDescent="0.45">
      <c r="A118" s="46">
        <v>117</v>
      </c>
      <c r="B118" s="1" t="s">
        <v>1175</v>
      </c>
      <c r="C118" s="17" t="str">
        <f t="shared" si="11"/>
        <v>이행완료</v>
      </c>
      <c r="D118" s="17" t="str">
        <f t="shared" si="12"/>
        <v>조사완료</v>
      </c>
      <c r="E118" s="3" t="s">
        <v>1445</v>
      </c>
      <c r="F118" s="3" t="s">
        <v>356</v>
      </c>
      <c r="G118" s="3" t="s">
        <v>1446</v>
      </c>
      <c r="H118" s="18" t="s">
        <v>1133</v>
      </c>
      <c r="I118" s="19">
        <v>117</v>
      </c>
      <c r="J118" s="2"/>
      <c r="K118" s="20">
        <v>35710</v>
      </c>
      <c r="L118" s="20"/>
      <c r="M118" s="17" t="str">
        <f t="shared" si="13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MATCH($BO118, 입력!$Z$2:$Z$500, 0)) &amp; "", "")</f>
        <v>3</v>
      </c>
      <c r="S118" s="64" t="str">
        <f>IFERROR(INDEX(입력!$K$2:$K$500, MATCH($BO118,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4"/>
        <v>2</v>
      </c>
      <c r="W118" s="1" t="str">
        <f t="shared" si="10"/>
        <v/>
      </c>
      <c r="X118" s="1">
        <v>3</v>
      </c>
      <c r="Y118" s="64" t="str">
        <f>IFERROR(INDEX(입력!$M$2:$M$500, MATCH($BO118, 입력!$Z$2:$Z$500, 0)) &amp; "", "")</f>
        <v/>
      </c>
      <c r="Z118" s="64" t="str">
        <f>IFERROR(INDEX(입력!$N$2:$N$500, MATCH($BO118, 입력!$Z$2:$Z$500, 0)) &amp; "", "")</f>
        <v>3</v>
      </c>
      <c r="AA118" s="64">
        <f>MAX(0, 표1[[#This Row],[의무_시설]]-표1[[#This Row],[시설합]])</f>
        <v>0</v>
      </c>
      <c r="AB118" s="17" t="str">
        <f t="shared" si="15"/>
        <v>이행완료</v>
      </c>
      <c r="AC118" s="64" t="str">
        <f>IFERROR(INDEX(입력!$P$2:$P$500, MATCH($BO118, 입력!$Z$2:$Z$500, 0)) &amp; "", "")</f>
        <v/>
      </c>
      <c r="AD118" s="64" t="str">
        <f>IFERROR(INDEX(입력!$Q$2:$Q$500, MATCH($BO118, 입력!$Z$2:$Z$500, 0)) &amp; "", "")</f>
        <v/>
      </c>
      <c r="AE118" s="64" t="str">
        <f>IFERROR(INDEX(입력!$R$2:$R$500, MATCH($BO118, 입력!$Z$2:$Z$500, 0)) &amp; "", "")</f>
        <v>여</v>
      </c>
      <c r="AF118" s="64" t="str">
        <f>IFERROR(INDEX(입력!$S$2:$S$500, MATCH($BO118, 입력!$Z$2:$Z$500, 0)) &amp; "", "")</f>
        <v>여</v>
      </c>
      <c r="AG118" s="64" t="str">
        <f>IFERROR(INDEX(입력!$T$2:$T$500, MATCH($BO118, 입력!$Z$2:$Z$500, 0)) &amp; "", "")</f>
        <v/>
      </c>
      <c r="AH118" s="64" t="str">
        <f>IFERROR(INDEX(입력!$U$2:$U$500, MATCH($BO118, 입력!$Z$2:$Z$500, 0)) &amp; "", "")</f>
        <v/>
      </c>
      <c r="AI118" s="64" t="str">
        <f>IFERROR(INDEX(입력!$V$2:$V$500, MATCH($BO118, 입력!$Z$2:$Z$500, 0)) &amp; "", "")</f>
        <v>여</v>
      </c>
      <c r="AJ118" s="44" t="str">
        <f>IFERROR(INDEX(입력!$W$2:$W$500, MATCH($BO118, 입력!$Z$2:$Z$500, 0)) &amp; "", "")</f>
        <v>김경석</v>
      </c>
      <c r="AK118" s="44" t="str">
        <f>IFERROR(INDEX(입력!$X$2:$X$500, MATCH($BO118, 입력!$Z$2:$Z$500, 0)) &amp; "", "")</f>
        <v>010-4422-3201</v>
      </c>
      <c r="AL118" s="2"/>
      <c r="AM118" s="17" t="s">
        <v>1251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3131</v>
      </c>
      <c r="AZ118" s="71" t="str">
        <f>IFERROR(IF(INDEX(입력!$C$2:$C$500, MATCH($BO118, 입력!$Z$2:$Z$500, 0))="", "", TEXT(INDEX(입력!$C$2:$C$500, MATCH($BO118, 입력!$Z$2:$Z$500, 0)), "yyyy-mm-dd")), "")</f>
        <v>2026-04-29</v>
      </c>
      <c r="BA118" s="44" t="str">
        <f>IFERROR(INDEX(입력!$B$2:$B$500, MATCH($BO118, 입력!$Z$2:$Z$500, 0)) &amp; "", "")</f>
        <v>이승수</v>
      </c>
      <c r="BB118" s="83" t="str">
        <f>IFERROR(INDEX(입력!$Y$2:$Y$500, MATCH($BO118, 입력!$Z$2:$Z$500, 0)) &amp; "", "")</f>
        <v/>
      </c>
      <c r="BC118" s="83" t="s">
        <v>3112</v>
      </c>
      <c r="BD118" s="83"/>
      <c r="BE118" s="101"/>
      <c r="BF118" s="101"/>
      <c r="BG118" s="101"/>
      <c r="BH118" s="101"/>
      <c r="BI118" s="101"/>
      <c r="BJ118" s="101"/>
      <c r="BK118" s="110"/>
      <c r="BL118" s="21"/>
      <c r="BM118" s="22"/>
      <c r="BN118" s="23"/>
      <c r="BO118" s="47" t="s">
        <v>357</v>
      </c>
    </row>
    <row r="119" spans="1:67" x14ac:dyDescent="0.45">
      <c r="A119" s="19">
        <v>118</v>
      </c>
      <c r="B119" s="1" t="s">
        <v>1175</v>
      </c>
      <c r="C119" s="17" t="str">
        <f t="shared" si="11"/>
        <v>이행완료</v>
      </c>
      <c r="D119" s="17" t="str">
        <f t="shared" si="12"/>
        <v>조사완료</v>
      </c>
      <c r="E119" s="3" t="s">
        <v>1447</v>
      </c>
      <c r="F119" s="3" t="s">
        <v>358</v>
      </c>
      <c r="G119" s="3" t="s">
        <v>1448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3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MATCH($BO119, 입력!$Z$2:$Z$500, 0)) &amp; "", "")</f>
        <v/>
      </c>
      <c r="S119" s="64" t="str">
        <f>IFERROR(INDEX(입력!$K$2:$K$500, MATCH($BO119,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4"/>
        <v>2</v>
      </c>
      <c r="W119" s="1" t="str">
        <f t="shared" si="10"/>
        <v/>
      </c>
      <c r="X119" s="1">
        <v>2</v>
      </c>
      <c r="Y119" s="64" t="str">
        <f>IFERROR(INDEX(입력!$M$2:$M$500, MATCH($BO119, 입력!$Z$2:$Z$500, 0)) &amp; "", "")</f>
        <v/>
      </c>
      <c r="Z119" s="64" t="str">
        <f>IFERROR(INDEX(입력!$N$2:$N$500, MATCH($BO119, 입력!$Z$2:$Z$500, 0)) &amp; "", "")</f>
        <v>2</v>
      </c>
      <c r="AA119" s="64">
        <f>MAX(0, 표1[[#This Row],[의무_시설]]-표1[[#This Row],[시설합]])</f>
        <v>0</v>
      </c>
      <c r="AB119" s="17" t="str">
        <f t="shared" si="15"/>
        <v>이행완료</v>
      </c>
      <c r="AC119" s="64" t="str">
        <f>IFERROR(INDEX(입력!$P$2:$P$500, MATCH($BO119, 입력!$Z$2:$Z$500, 0)) &amp; "", "")</f>
        <v/>
      </c>
      <c r="AD119" s="64" t="str">
        <f>IFERROR(INDEX(입력!$Q$2:$Q$500, MATCH($BO119, 입력!$Z$2:$Z$500, 0)) &amp; "", "")</f>
        <v/>
      </c>
      <c r="AE119" s="64" t="str">
        <f>IFERROR(INDEX(입력!$R$2:$R$500, MATCH($BO119, 입력!$Z$2:$Z$500, 0)) &amp; "", "")</f>
        <v>여</v>
      </c>
      <c r="AF119" s="64" t="str">
        <f>IFERROR(INDEX(입력!$S$2:$S$500, MATCH($BO119, 입력!$Z$2:$Z$500, 0)) &amp; "", "")</f>
        <v>여</v>
      </c>
      <c r="AG119" s="64" t="str">
        <f>IFERROR(INDEX(입력!$T$2:$T$500, MATCH($BO119, 입력!$Z$2:$Z$500, 0)) &amp; "", "")</f>
        <v/>
      </c>
      <c r="AH119" s="64" t="str">
        <f>IFERROR(INDEX(입력!$U$2:$U$500, MATCH($BO119, 입력!$Z$2:$Z$500, 0)) &amp; "", "")</f>
        <v/>
      </c>
      <c r="AI119" s="64" t="str">
        <f>IFERROR(INDEX(입력!$V$2:$V$500, MATCH($BO119, 입력!$Z$2:$Z$500, 0)) &amp; "", "")</f>
        <v>여</v>
      </c>
      <c r="AJ119" s="44" t="str">
        <f>IFERROR(INDEX(입력!$W$2:$W$500, MATCH($BO119, 입력!$Z$2:$Z$500, 0)) &amp; "", "")</f>
        <v>김병문</v>
      </c>
      <c r="AK119" s="44" t="str">
        <f>IFERROR(INDEX(입력!$X$2:$X$500, MATCH($BO119, 입력!$Z$2:$Z$500, 0)) &amp; "", "")</f>
        <v>010-6348-9100</v>
      </c>
      <c r="AL119" s="2"/>
      <c r="AM119" s="17" t="s">
        <v>1251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3137</v>
      </c>
      <c r="AZ119" s="71" t="str">
        <f>IFERROR(IF(INDEX(입력!$C$2:$C$500, MATCH($BO119, 입력!$Z$2:$Z$500, 0))="", "", TEXT(INDEX(입력!$C$2:$C$500, MATCH($BO119, 입력!$Z$2:$Z$500, 0)), "yyyy-mm-dd")), "")</f>
        <v>2026-05-04</v>
      </c>
      <c r="BA119" s="44" t="str">
        <f>IFERROR(INDEX(입력!$B$2:$B$500, MATCH($BO119, 입력!$Z$2:$Z$500, 0)) &amp; "", "")</f>
        <v>노기섭</v>
      </c>
      <c r="BB119" s="83" t="str">
        <f>IFERROR(INDEX(입력!$Y$2:$Y$500, MATCH($BO119, 입력!$Z$2:$Z$500, 0)) &amp; "", "")</f>
        <v/>
      </c>
      <c r="BC119" s="83" t="s">
        <v>3112</v>
      </c>
      <c r="BD119" s="83"/>
      <c r="BE119" s="101"/>
      <c r="BF119" s="101"/>
      <c r="BG119" s="101"/>
      <c r="BH119" s="101"/>
      <c r="BI119" s="101"/>
      <c r="BJ119" s="101"/>
      <c r="BK119" s="110"/>
      <c r="BL119" s="21"/>
      <c r="BM119" s="22"/>
      <c r="BN119" s="23"/>
      <c r="BO119" s="47" t="s">
        <v>359</v>
      </c>
    </row>
    <row r="120" spans="1:67" x14ac:dyDescent="0.45">
      <c r="A120" s="46">
        <v>119</v>
      </c>
      <c r="B120" s="1" t="s">
        <v>1175</v>
      </c>
      <c r="C120" s="17" t="str">
        <f t="shared" si="11"/>
        <v>이행완료</v>
      </c>
      <c r="D120" s="17" t="str">
        <f t="shared" si="12"/>
        <v>조사완료</v>
      </c>
      <c r="E120" s="3" t="s">
        <v>1449</v>
      </c>
      <c r="F120" s="3" t="s">
        <v>360</v>
      </c>
      <c r="G120" s="3" t="s">
        <v>1450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3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MATCH($BO120, 입력!$Z$2:$Z$500, 0)) &amp; "", "")</f>
        <v>3</v>
      </c>
      <c r="S120" s="64" t="str">
        <f>IFERROR(INDEX(입력!$K$2:$K$500, MATCH($BO120,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4"/>
        <v>1</v>
      </c>
      <c r="W120" s="1" t="str">
        <f t="shared" si="10"/>
        <v/>
      </c>
      <c r="X120" s="1">
        <v>3</v>
      </c>
      <c r="Y120" s="64" t="str">
        <f>IFERROR(INDEX(입력!$M$2:$M$500, MATCH($BO120, 입력!$Z$2:$Z$500, 0)) &amp; "", "")</f>
        <v/>
      </c>
      <c r="Z120" s="64" t="str">
        <f>IFERROR(INDEX(입력!$N$2:$N$500, MATCH($BO120, 입력!$Z$2:$Z$500, 0)) &amp; "", "")</f>
        <v>3</v>
      </c>
      <c r="AA120" s="64">
        <f>MAX(0, 표1[[#This Row],[의무_시설]]-표1[[#This Row],[시설합]])</f>
        <v>0</v>
      </c>
      <c r="AB120" s="17" t="str">
        <f t="shared" si="15"/>
        <v>이행완료</v>
      </c>
      <c r="AC120" s="64" t="str">
        <f>IFERROR(INDEX(입력!$P$2:$P$500, MATCH($BO120, 입력!$Z$2:$Z$500, 0)) &amp; "", "")</f>
        <v/>
      </c>
      <c r="AD120" s="64" t="str">
        <f>IFERROR(INDEX(입력!$Q$2:$Q$500, MATCH($BO120, 입력!$Z$2:$Z$500, 0)) &amp; "", "")</f>
        <v/>
      </c>
      <c r="AE120" s="64" t="str">
        <f>IFERROR(INDEX(입력!$R$2:$R$500, MATCH($BO120, 입력!$Z$2:$Z$500, 0)) &amp; "", "")</f>
        <v>부</v>
      </c>
      <c r="AF120" s="64" t="str">
        <f>IFERROR(INDEX(입력!$S$2:$S$500, MATCH($BO120, 입력!$Z$2:$Z$500, 0)) &amp; "", "")</f>
        <v>부</v>
      </c>
      <c r="AG120" s="64" t="str">
        <f>IFERROR(INDEX(입력!$T$2:$T$500, MATCH($BO120, 입력!$Z$2:$Z$500, 0)) &amp; "", "")</f>
        <v/>
      </c>
      <c r="AH120" s="64" t="str">
        <f>IFERROR(INDEX(입력!$U$2:$U$500, MATCH($BO120, 입력!$Z$2:$Z$500, 0)) &amp; "", "")</f>
        <v/>
      </c>
      <c r="AI120" s="64" t="str">
        <f>IFERROR(INDEX(입력!$V$2:$V$500, MATCH($BO120, 입력!$Z$2:$Z$500, 0)) &amp; "", "")</f>
        <v>여</v>
      </c>
      <c r="AJ120" s="44" t="str">
        <f>IFERROR(INDEX(입력!$W$2:$W$500, MATCH($BO120, 입력!$Z$2:$Z$500, 0)) &amp; "", "")</f>
        <v>이민지</v>
      </c>
      <c r="AK120" s="44" t="str">
        <f>IFERROR(INDEX(입력!$X$2:$X$500, MATCH($BO120, 입력!$Z$2:$Z$500, 0)) &amp; "", "")</f>
        <v>010-2918-3036</v>
      </c>
      <c r="AL120" s="2" t="s">
        <v>1451</v>
      </c>
      <c r="AM120" s="17" t="s">
        <v>1251</v>
      </c>
      <c r="AN120" s="83"/>
      <c r="AO120" s="17" t="s">
        <v>1059</v>
      </c>
      <c r="AP120" s="2" t="s">
        <v>1452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3137</v>
      </c>
      <c r="AZ120" s="71" t="str">
        <f>IFERROR(IF(INDEX(입력!$C$2:$C$500, MATCH($BO120, 입력!$Z$2:$Z$500, 0))="", "", TEXT(INDEX(입력!$C$2:$C$500, MATCH($BO120, 입력!$Z$2:$Z$500, 0)), "yyyy-mm-dd")), "")</f>
        <v>2026-05-06</v>
      </c>
      <c r="BA120" s="44" t="str">
        <f>IFERROR(INDEX(입력!$B$2:$B$500, MATCH($BO120, 입력!$Z$2:$Z$500, 0)) &amp; "", "")</f>
        <v>이승수</v>
      </c>
      <c r="BB120" s="83" t="str">
        <f>IFERROR(INDEX(입력!$Y$2:$Y$500, MATCH($BO120, 입력!$Z$2:$Z$500, 0)) &amp; "", "")</f>
        <v/>
      </c>
      <c r="BC120" s="83" t="s">
        <v>3112</v>
      </c>
      <c r="BD120" s="83"/>
      <c r="BE120" s="101"/>
      <c r="BF120" s="101"/>
      <c r="BG120" s="101"/>
      <c r="BH120" s="101"/>
      <c r="BI120" s="101"/>
      <c r="BJ120" s="101"/>
      <c r="BK120" s="110"/>
      <c r="BL120" s="21"/>
      <c r="BM120" s="22"/>
      <c r="BN120" s="23"/>
      <c r="BO120" s="47" t="s">
        <v>361</v>
      </c>
    </row>
    <row r="121" spans="1:67" x14ac:dyDescent="0.45">
      <c r="A121" s="19">
        <v>120</v>
      </c>
      <c r="B121" s="1" t="s">
        <v>1175</v>
      </c>
      <c r="C121" s="17" t="str">
        <f t="shared" si="11"/>
        <v>미이행</v>
      </c>
      <c r="D121" s="17" t="str">
        <f t="shared" si="12"/>
        <v>조사완료</v>
      </c>
      <c r="E121" s="3" t="s">
        <v>1453</v>
      </c>
      <c r="F121" s="3" t="s">
        <v>362</v>
      </c>
      <c r="G121" s="3" t="s">
        <v>1454</v>
      </c>
      <c r="H121" s="18" t="s">
        <v>1335</v>
      </c>
      <c r="I121" s="19">
        <v>123</v>
      </c>
      <c r="J121" s="2"/>
      <c r="K121" s="20">
        <v>37245</v>
      </c>
      <c r="L121" s="20"/>
      <c r="M121" s="17" t="str">
        <f t="shared" si="13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MATCH($BO121, 입력!$Z$2:$Z$500, 0)) &amp; "", "")</f>
        <v/>
      </c>
      <c r="S121" s="64" t="str">
        <f>IFERROR(INDEX(입력!$K$2:$K$500, MATCH($BO121,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4"/>
        <v>2</v>
      </c>
      <c r="W121" s="1" t="str">
        <f t="shared" si="10"/>
        <v/>
      </c>
      <c r="X121" s="1">
        <v>0</v>
      </c>
      <c r="Y121" s="64" t="str">
        <f>IFERROR(INDEX(입력!$M$2:$M$500, MATCH($BO121, 입력!$Z$2:$Z$500, 0)) &amp; "", "")</f>
        <v/>
      </c>
      <c r="Z121" s="64" t="str">
        <f>IFERROR(INDEX(입력!$N$2:$N$500, MATCH($BO121, 입력!$Z$2:$Z$500, 0)) &amp; "", "")</f>
        <v/>
      </c>
      <c r="AA121" s="64">
        <f>MAX(0, 표1[[#This Row],[의무_시설]]-표1[[#This Row],[시설합]])</f>
        <v>2</v>
      </c>
      <c r="AB121" s="17" t="str">
        <f t="shared" si="15"/>
        <v>미이행</v>
      </c>
      <c r="AC121" s="64" t="str">
        <f>IFERROR(INDEX(입력!$P$2:$P$500, MATCH($BO121, 입력!$Z$2:$Z$500, 0)) &amp; "", "")</f>
        <v/>
      </c>
      <c r="AD121" s="64" t="str">
        <f>IFERROR(INDEX(입력!$Q$2:$Q$500, MATCH($BO121, 입력!$Z$2:$Z$500, 0)) &amp; "", "")</f>
        <v/>
      </c>
      <c r="AE121" s="64" t="str">
        <f>IFERROR(INDEX(입력!$R$2:$R$500, MATCH($BO121, 입력!$Z$2:$Z$500, 0)) &amp; "", "")</f>
        <v/>
      </c>
      <c r="AF121" s="64" t="str">
        <f>IFERROR(INDEX(입력!$S$2:$S$500, MATCH($BO121, 입력!$Z$2:$Z$500, 0)) &amp; "", "")</f>
        <v/>
      </c>
      <c r="AG121" s="64" t="str">
        <f>IFERROR(INDEX(입력!$T$2:$T$500, MATCH($BO121, 입력!$Z$2:$Z$500, 0)) &amp; "", "")</f>
        <v/>
      </c>
      <c r="AH121" s="64" t="str">
        <f>IFERROR(INDEX(입력!$U$2:$U$500, MATCH($BO121, 입력!$Z$2:$Z$500, 0)) &amp; "", "")</f>
        <v/>
      </c>
      <c r="AI121" s="64" t="str">
        <f>IFERROR(INDEX(입력!$V$2:$V$500, MATCH($BO121, 입력!$Z$2:$Z$500, 0)) &amp; "", "")</f>
        <v>여</v>
      </c>
      <c r="AJ121" s="44" t="str">
        <f>IFERROR(INDEX(입력!$W$2:$W$500, MATCH($BO121, 입력!$Z$2:$Z$500, 0)) &amp; "", "")</f>
        <v>정우철</v>
      </c>
      <c r="AK121" s="44" t="str">
        <f>IFERROR(INDEX(입력!$X$2:$X$500, MATCH($BO121, 입력!$Z$2:$Z$500, 0)) &amp; "", "")</f>
        <v>010-3629-1835</v>
      </c>
      <c r="AL121" s="2" t="s">
        <v>3787</v>
      </c>
      <c r="AM121" s="17" t="s">
        <v>3207</v>
      </c>
      <c r="AN121" s="113">
        <v>46115</v>
      </c>
      <c r="AO121" s="17" t="s">
        <v>1089</v>
      </c>
      <c r="AP121" s="101" t="s">
        <v>1455</v>
      </c>
      <c r="AQ121" s="108"/>
      <c r="AR121" s="22"/>
      <c r="AS121" s="101" t="s">
        <v>3124</v>
      </c>
      <c r="AT121" s="109">
        <v>46104</v>
      </c>
      <c r="AU121" s="101" t="s">
        <v>3141</v>
      </c>
      <c r="AV121" s="101" t="s">
        <v>3246</v>
      </c>
      <c r="AW121" s="101" t="s">
        <v>3247</v>
      </c>
      <c r="AX121" s="101"/>
      <c r="AY121" s="83" t="s">
        <v>3131</v>
      </c>
      <c r="AZ121" s="71" t="str">
        <f>IFERROR(IF(INDEX(입력!$C$2:$C$500, MATCH($BO121, 입력!$Z$2:$Z$500, 0))="", "", TEXT(INDEX(입력!$C$2:$C$500, MATCH($BO121, 입력!$Z$2:$Z$500, 0)), "yyyy-mm-dd")), "")</f>
        <v>2026-04-22</v>
      </c>
      <c r="BA121" s="44" t="str">
        <f>IFERROR(INDEX(입력!$B$2:$B$500, MATCH($BO121, 입력!$Z$2:$Z$500, 0)) &amp; "", "")</f>
        <v>정은진</v>
      </c>
      <c r="BB121" s="83" t="str">
        <f>IFERROR(INDEX(입력!$Y$2:$Y$500, MATCH($BO121, 입력!$Z$2:$Z$500, 0)) &amp; "", "")</f>
        <v>업체와 상의중. 12월말 계획</v>
      </c>
      <c r="BC121" s="83" t="s">
        <v>3159</v>
      </c>
      <c r="BD121" s="83"/>
      <c r="BE121" s="101" t="s">
        <v>1179</v>
      </c>
      <c r="BF121" s="109">
        <v>46164</v>
      </c>
      <c r="BG121" s="101" t="s">
        <v>1059</v>
      </c>
      <c r="BH121" s="101" t="s">
        <v>3955</v>
      </c>
      <c r="BI121" s="101" t="s">
        <v>3966</v>
      </c>
      <c r="BJ121" s="101"/>
      <c r="BK121" s="110" t="s">
        <v>3983</v>
      </c>
      <c r="BL121" s="21"/>
      <c r="BM121" s="22"/>
      <c r="BN121" s="23"/>
      <c r="BO121" s="47" t="s">
        <v>363</v>
      </c>
    </row>
    <row r="122" spans="1:67" x14ac:dyDescent="0.45">
      <c r="A122" s="46">
        <v>121</v>
      </c>
      <c r="B122" s="1" t="s">
        <v>1175</v>
      </c>
      <c r="C122" s="17" t="str">
        <f t="shared" si="11"/>
        <v>미이행</v>
      </c>
      <c r="D122" s="17" t="str">
        <f t="shared" si="12"/>
        <v/>
      </c>
      <c r="E122" s="3" t="s">
        <v>1456</v>
      </c>
      <c r="F122" s="3" t="s">
        <v>364</v>
      </c>
      <c r="G122" s="3" t="s">
        <v>3989</v>
      </c>
      <c r="H122" s="18" t="s">
        <v>1172</v>
      </c>
      <c r="I122" s="19">
        <v>129</v>
      </c>
      <c r="J122" s="2"/>
      <c r="K122" s="20">
        <v>41768</v>
      </c>
      <c r="L122" s="20"/>
      <c r="M122" s="17" t="str">
        <f t="shared" si="13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MATCH($BO122, 입력!$Z$2:$Z$500, 0)) &amp; "", "")</f>
        <v/>
      </c>
      <c r="S122" s="64" t="str">
        <f>IFERROR(INDEX(입력!$K$2:$K$500, MATCH($BO122,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4"/>
        <v>3</v>
      </c>
      <c r="W122" s="1" t="str">
        <f t="shared" si="10"/>
        <v/>
      </c>
      <c r="X122" s="1">
        <v>0</v>
      </c>
      <c r="Y122" s="64" t="str">
        <f>IFERROR(INDEX(입력!$M$2:$M$500, MATCH($BO122, 입력!$Z$2:$Z$500, 0)) &amp; "", "")</f>
        <v/>
      </c>
      <c r="Z122" s="64" t="str">
        <f>IFERROR(INDEX(입력!$N$2:$N$500, MATCH($BO122, 입력!$Z$2:$Z$500, 0)) &amp; "", "")</f>
        <v/>
      </c>
      <c r="AA122" s="64">
        <f>MAX(0, 표1[[#This Row],[의무_시설]]-표1[[#This Row],[시설합]])</f>
        <v>3</v>
      </c>
      <c r="AB122" s="17" t="str">
        <f t="shared" si="15"/>
        <v>미이행</v>
      </c>
      <c r="AC122" s="64" t="str">
        <f>IFERROR(INDEX(입력!$P$2:$P$500, MATCH($BO122, 입력!$Z$2:$Z$500, 0)) &amp; "", "")</f>
        <v/>
      </c>
      <c r="AD122" s="64" t="str">
        <f>IFERROR(INDEX(입력!$Q$2:$Q$500, MATCH($BO122, 입력!$Z$2:$Z$500, 0)) &amp; "", "")</f>
        <v/>
      </c>
      <c r="AE122" s="64" t="str">
        <f>IFERROR(INDEX(입력!$R$2:$R$500, MATCH($BO122, 입력!$Z$2:$Z$500, 0)) &amp; "", "")</f>
        <v/>
      </c>
      <c r="AF122" s="64" t="str">
        <f>IFERROR(INDEX(입력!$S$2:$S$500, MATCH($BO122, 입력!$Z$2:$Z$500, 0)) &amp; "", "")</f>
        <v/>
      </c>
      <c r="AG122" s="64" t="str">
        <f>IFERROR(INDEX(입력!$T$2:$T$500, MATCH($BO122, 입력!$Z$2:$Z$500, 0)) &amp; "", "")</f>
        <v/>
      </c>
      <c r="AH122" s="64" t="str">
        <f>IFERROR(INDEX(입력!$U$2:$U$500, MATCH($BO122, 입력!$Z$2:$Z$500, 0)) &amp; "", "")</f>
        <v/>
      </c>
      <c r="AI122" s="64" t="str">
        <f>IFERROR(INDEX(입력!$V$2:$V$500, MATCH($BO122, 입력!$Z$2:$Z$500, 0)) &amp; "", "")</f>
        <v/>
      </c>
      <c r="AJ122" s="44" t="str">
        <f>IFERROR(INDEX(입력!$W$2:$W$500, MATCH($BO122, 입력!$Z$2:$Z$500, 0)) &amp; "", "")</f>
        <v/>
      </c>
      <c r="AK122" s="44" t="str">
        <f>IFERROR(INDEX(입력!$X$2:$X$500, MATCH($BO122, 입력!$Z$2:$Z$500, 0)) &amp; "", "")</f>
        <v/>
      </c>
      <c r="AL122" s="2" t="s">
        <v>1457</v>
      </c>
      <c r="AM122" s="17" t="s">
        <v>1179</v>
      </c>
      <c r="AN122" s="113">
        <v>46062</v>
      </c>
      <c r="AO122" s="17" t="s">
        <v>1059</v>
      </c>
      <c r="AP122" s="101" t="s">
        <v>1458</v>
      </c>
      <c r="AQ122" s="108"/>
      <c r="AR122" s="22" t="s">
        <v>1459</v>
      </c>
      <c r="AS122" s="114" t="s">
        <v>3163</v>
      </c>
      <c r="AT122" s="109">
        <v>46104</v>
      </c>
      <c r="AU122" s="101" t="s">
        <v>3126</v>
      </c>
      <c r="AV122" s="114" t="s">
        <v>3186</v>
      </c>
      <c r="AW122" s="101"/>
      <c r="AX122" s="101"/>
      <c r="AY122" s="83" t="s">
        <v>3137</v>
      </c>
      <c r="AZ122" s="71" t="str">
        <f>IFERROR(IF(INDEX(입력!$C$2:$C$500, MATCH($BO122, 입력!$Z$2:$Z$500, 0))="", "", TEXT(INDEX(입력!$C$2:$C$500, MATCH($BO122, 입력!$Z$2:$Z$500, 0)), "yyyy-mm-dd")), "")</f>
        <v/>
      </c>
      <c r="BA122" s="44" t="str">
        <f>IFERROR(INDEX(입력!$B$2:$B$500, MATCH($BO122, 입력!$Z$2:$Z$500, 0)) &amp; "", "")</f>
        <v/>
      </c>
      <c r="BB122" s="83" t="str">
        <f>IFERROR(INDEX(입력!$Y$2:$Y$500, MATCH($BO122, 입력!$Z$2:$Z$500, 0)) &amp; "", "")</f>
        <v/>
      </c>
      <c r="BC122" s="83" t="s">
        <v>3149</v>
      </c>
      <c r="BD122" s="83"/>
      <c r="BE122" s="101" t="s">
        <v>3865</v>
      </c>
      <c r="BF122" s="101" t="s">
        <v>3967</v>
      </c>
      <c r="BG122" s="101" t="s">
        <v>1059</v>
      </c>
      <c r="BH122" s="101" t="s">
        <v>3955</v>
      </c>
      <c r="BI122" s="101" t="s">
        <v>3968</v>
      </c>
      <c r="BJ122" s="101"/>
      <c r="BK122" s="110" t="s">
        <v>3983</v>
      </c>
      <c r="BL122" s="21"/>
      <c r="BM122" s="22"/>
      <c r="BN122" s="23"/>
      <c r="BO122" s="47" t="s">
        <v>365</v>
      </c>
    </row>
    <row r="123" spans="1:67" x14ac:dyDescent="0.45">
      <c r="A123" s="19">
        <v>122</v>
      </c>
      <c r="B123" s="1" t="s">
        <v>1175</v>
      </c>
      <c r="C123" s="17" t="str">
        <f t="shared" si="11"/>
        <v>이행완료</v>
      </c>
      <c r="D123" s="17" t="str">
        <f t="shared" si="12"/>
        <v>조사완료</v>
      </c>
      <c r="E123" s="3" t="s">
        <v>1460</v>
      </c>
      <c r="F123" s="3" t="s">
        <v>366</v>
      </c>
      <c r="G123" s="3" t="s">
        <v>1461</v>
      </c>
      <c r="H123" s="18" t="s">
        <v>1462</v>
      </c>
      <c r="I123" s="19">
        <v>61</v>
      </c>
      <c r="J123" s="2"/>
      <c r="K123" s="20">
        <v>34740</v>
      </c>
      <c r="L123" s="20"/>
      <c r="M123" s="17" t="str">
        <f t="shared" si="13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MATCH($BO123, 입력!$Z$2:$Z$500, 0)) &amp; "", "")</f>
        <v>1</v>
      </c>
      <c r="S123" s="64" t="str">
        <f>IFERROR(INDEX(입력!$K$2:$K$500, MATCH($BO123,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4"/>
        <v>1</v>
      </c>
      <c r="W123" s="1" t="str">
        <f t="shared" si="10"/>
        <v/>
      </c>
      <c r="X123" s="1">
        <v>1</v>
      </c>
      <c r="Y123" s="64" t="str">
        <f>IFERROR(INDEX(입력!$M$2:$M$500, MATCH($BO123, 입력!$Z$2:$Z$500, 0)) &amp; "", "")</f>
        <v/>
      </c>
      <c r="Z123" s="64" t="str">
        <f>IFERROR(INDEX(입력!$N$2:$N$500, MATCH($BO123, 입력!$Z$2:$Z$500, 0)) &amp; "", "")</f>
        <v>1</v>
      </c>
      <c r="AA123" s="64">
        <f>MAX(0, 표1[[#This Row],[의무_시설]]-표1[[#This Row],[시설합]])</f>
        <v>0</v>
      </c>
      <c r="AB123" s="17" t="str">
        <f t="shared" si="15"/>
        <v>이행완료</v>
      </c>
      <c r="AC123" s="64" t="str">
        <f>IFERROR(INDEX(입력!$P$2:$P$500, MATCH($BO123, 입력!$Z$2:$Z$500, 0)) &amp; "", "")</f>
        <v/>
      </c>
      <c r="AD123" s="64" t="str">
        <f>IFERROR(INDEX(입력!$Q$2:$Q$500, MATCH($BO123, 입력!$Z$2:$Z$500, 0)) &amp; "", "")</f>
        <v/>
      </c>
      <c r="AE123" s="64" t="str">
        <f>IFERROR(INDEX(입력!$R$2:$R$500, MATCH($BO123, 입력!$Z$2:$Z$500, 0)) &amp; "", "")</f>
        <v>여</v>
      </c>
      <c r="AF123" s="64" t="str">
        <f>IFERROR(INDEX(입력!$S$2:$S$500, MATCH($BO123, 입력!$Z$2:$Z$500, 0)) &amp; "", "")</f>
        <v>여</v>
      </c>
      <c r="AG123" s="64" t="str">
        <f>IFERROR(INDEX(입력!$T$2:$T$500, MATCH($BO123, 입력!$Z$2:$Z$500, 0)) &amp; "", "")</f>
        <v/>
      </c>
      <c r="AH123" s="64" t="str">
        <f>IFERROR(INDEX(입력!$U$2:$U$500, MATCH($BO123, 입력!$Z$2:$Z$500, 0)) &amp; "", "")</f>
        <v/>
      </c>
      <c r="AI123" s="64" t="str">
        <f>IFERROR(INDEX(입력!$V$2:$V$500, MATCH($BO123, 입력!$Z$2:$Z$500, 0)) &amp; "", "")</f>
        <v>여</v>
      </c>
      <c r="AJ123" s="44" t="str">
        <f>IFERROR(INDEX(입력!$W$2:$W$500, MATCH($BO123, 입력!$Z$2:$Z$500, 0)) &amp; "", "")</f>
        <v>고효석</v>
      </c>
      <c r="AK123" s="44" t="str">
        <f>IFERROR(INDEX(입력!$X$2:$X$500, MATCH($BO123, 입력!$Z$2:$Z$500, 0)) &amp; "", "")</f>
        <v>010-5259-4190</v>
      </c>
      <c r="AL123" s="2"/>
      <c r="AM123" s="17" t="s">
        <v>1179</v>
      </c>
      <c r="AN123" s="83"/>
      <c r="AO123" s="17" t="s">
        <v>1067</v>
      </c>
      <c r="AP123" s="2" t="s">
        <v>1463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3132</v>
      </c>
      <c r="AZ123" s="71" t="str">
        <f>IFERROR(IF(INDEX(입력!$C$2:$C$500, MATCH($BO123, 입력!$Z$2:$Z$500, 0))="", "", TEXT(INDEX(입력!$C$2:$C$500, MATCH($BO123, 입력!$Z$2:$Z$500, 0)), "yyyy-mm-dd")), "")</f>
        <v>2026-04-27</v>
      </c>
      <c r="BA123" s="44" t="str">
        <f>IFERROR(INDEX(입력!$B$2:$B$500, MATCH($BO123, 입력!$Z$2:$Z$500, 0)) &amp; "", "")</f>
        <v>정은진</v>
      </c>
      <c r="BB123" s="83" t="str">
        <f>IFERROR(INDEX(입력!$Y$2:$Y$500, MATCH($BO123, 입력!$Z$2:$Z$500, 0)) &amp; "", "")</f>
        <v/>
      </c>
      <c r="BC123" s="83" t="s">
        <v>3112</v>
      </c>
      <c r="BD123" s="83"/>
      <c r="BE123" s="101"/>
      <c r="BF123" s="101"/>
      <c r="BG123" s="101"/>
      <c r="BH123" s="101"/>
      <c r="BI123" s="101"/>
      <c r="BJ123" s="101"/>
      <c r="BK123" s="110"/>
      <c r="BL123" s="21"/>
      <c r="BM123" s="22"/>
      <c r="BN123" s="23"/>
      <c r="BO123" s="47" t="s">
        <v>367</v>
      </c>
    </row>
    <row r="124" spans="1:67" x14ac:dyDescent="0.45">
      <c r="A124" s="46">
        <v>123</v>
      </c>
      <c r="B124" s="1" t="s">
        <v>1175</v>
      </c>
      <c r="C124" s="17" t="str">
        <f t="shared" si="11"/>
        <v>이행완료</v>
      </c>
      <c r="D124" s="17" t="str">
        <f t="shared" si="12"/>
        <v>조사완료</v>
      </c>
      <c r="E124" s="3" t="s">
        <v>1464</v>
      </c>
      <c r="F124" s="3" t="s">
        <v>368</v>
      </c>
      <c r="G124" s="3" t="s">
        <v>1465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3"/>
        <v>기축</v>
      </c>
      <c r="N124" s="21"/>
      <c r="O124" s="21"/>
      <c r="P124" s="1">
        <f t="shared" si="8"/>
        <v>5</v>
      </c>
      <c r="Q124" s="1">
        <v>10</v>
      </c>
      <c r="R124" s="64" t="str">
        <f>IFERROR(INDEX(입력!$J$2:$J$500, MATCH($BO124, 입력!$Z$2:$Z$500, 0)) &amp; "", "")</f>
        <v>6</v>
      </c>
      <c r="S124" s="64" t="str">
        <f>IFERROR(INDEX(입력!$K$2:$K$500, MATCH($BO124,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4"/>
        <v>5</v>
      </c>
      <c r="W124" s="1">
        <f t="shared" si="10"/>
        <v>1</v>
      </c>
      <c r="X124" s="1">
        <v>6</v>
      </c>
      <c r="Y124" s="64" t="str">
        <f>IFERROR(INDEX(입력!$M$2:$M$500, MATCH($BO124, 입력!$Z$2:$Z$500, 0)) &amp; "", "")</f>
        <v>1</v>
      </c>
      <c r="Z124" s="64" t="str">
        <f>IFERROR(INDEX(입력!$N$2:$N$500, MATCH($BO124, 입력!$Z$2:$Z$500, 0)) &amp; "", "")</f>
        <v>5</v>
      </c>
      <c r="AA124" s="64">
        <f>MAX(0, 표1[[#This Row],[의무_시설]]-표1[[#This Row],[시설합]])</f>
        <v>0</v>
      </c>
      <c r="AB124" s="17" t="str">
        <f t="shared" si="15"/>
        <v>이행완료</v>
      </c>
      <c r="AC124" s="64" t="str">
        <f>IFERROR(INDEX(입력!$P$2:$P$500, MATCH($BO124, 입력!$Z$2:$Z$500, 0)) &amp; "", "")</f>
        <v/>
      </c>
      <c r="AD124" s="64" t="str">
        <f>IFERROR(INDEX(입력!$Q$2:$Q$500, MATCH($BO124, 입력!$Z$2:$Z$500, 0)) &amp; "", "")</f>
        <v/>
      </c>
      <c r="AE124" s="64" t="str">
        <f>IFERROR(INDEX(입력!$R$2:$R$500, MATCH($BO124, 입력!$Z$2:$Z$500, 0)) &amp; "", "")</f>
        <v>여</v>
      </c>
      <c r="AF124" s="64" t="str">
        <f>IFERROR(INDEX(입력!$S$2:$S$500, MATCH($BO124, 입력!$Z$2:$Z$500, 0)) &amp; "", "")</f>
        <v>여</v>
      </c>
      <c r="AG124" s="64" t="str">
        <f>IFERROR(INDEX(입력!$T$2:$T$500, MATCH($BO124, 입력!$Z$2:$Z$500, 0)) &amp; "", "")</f>
        <v/>
      </c>
      <c r="AH124" s="64" t="str">
        <f>IFERROR(INDEX(입력!$U$2:$U$500, MATCH($BO124, 입력!$Z$2:$Z$500, 0)) &amp; "", "")</f>
        <v/>
      </c>
      <c r="AI124" s="64" t="str">
        <f>IFERROR(INDEX(입력!$V$2:$V$500, MATCH($BO124, 입력!$Z$2:$Z$500, 0)) &amp; "", "")</f>
        <v>여</v>
      </c>
      <c r="AJ124" s="44" t="str">
        <f>IFERROR(INDEX(입력!$W$2:$W$500, MATCH($BO124, 입력!$Z$2:$Z$500, 0)) &amp; "", "")</f>
        <v>양복식</v>
      </c>
      <c r="AK124" s="44" t="str">
        <f>IFERROR(INDEX(입력!$X$2:$X$500, MATCH($BO124, 입력!$Z$2:$Z$500, 0)) &amp; "", "")</f>
        <v>010-3673-5705</v>
      </c>
      <c r="AL124" s="2" t="s">
        <v>1466</v>
      </c>
      <c r="AM124" s="17" t="s">
        <v>1251</v>
      </c>
      <c r="AN124" s="83"/>
      <c r="AO124" s="17" t="s">
        <v>1089</v>
      </c>
      <c r="AP124" s="2" t="s">
        <v>1467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3131</v>
      </c>
      <c r="AZ124" s="71" t="str">
        <f>IFERROR(IF(INDEX(입력!$C$2:$C$500, MATCH($BO124, 입력!$Z$2:$Z$500, 0))="", "", TEXT(INDEX(입력!$C$2:$C$500, MATCH($BO124, 입력!$Z$2:$Z$500, 0)), "yyyy-mm-dd")), "")</f>
        <v>2026-04-27</v>
      </c>
      <c r="BA124" s="44" t="str">
        <f>IFERROR(INDEX(입력!$B$2:$B$500, MATCH($BO124, 입력!$Z$2:$Z$500, 0)) &amp; "", "")</f>
        <v>노기섭</v>
      </c>
      <c r="BB124" s="83" t="str">
        <f>IFERROR(INDEX(입력!$Y$2:$Y$500, MATCH($BO124, 입력!$Z$2:$Z$500, 0)) &amp; "", "")</f>
        <v/>
      </c>
      <c r="BC124" s="83" t="s">
        <v>3112</v>
      </c>
      <c r="BD124" s="83"/>
      <c r="BE124" s="101"/>
      <c r="BF124" s="101"/>
      <c r="BG124" s="101"/>
      <c r="BH124" s="101"/>
      <c r="BI124" s="101"/>
      <c r="BJ124" s="101"/>
      <c r="BK124" s="110"/>
      <c r="BL124" s="21"/>
      <c r="BM124" s="22"/>
      <c r="BN124" s="23"/>
      <c r="BO124" s="47" t="s">
        <v>369</v>
      </c>
    </row>
    <row r="125" spans="1:67" x14ac:dyDescent="0.45">
      <c r="A125" s="19">
        <v>124</v>
      </c>
      <c r="B125" s="1" t="s">
        <v>1175</v>
      </c>
      <c r="C125" s="17" t="str">
        <f t="shared" si="11"/>
        <v>이행완료</v>
      </c>
      <c r="D125" s="17" t="str">
        <f t="shared" si="12"/>
        <v>조사완료</v>
      </c>
      <c r="E125" s="3" t="s">
        <v>1468</v>
      </c>
      <c r="F125" s="3" t="s">
        <v>370</v>
      </c>
      <c r="G125" s="3" t="s">
        <v>1469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3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MATCH($BO125, 입력!$Z$2:$Z$500, 0)) &amp; "", "")</f>
        <v>4</v>
      </c>
      <c r="S125" s="64" t="str">
        <f>IFERROR(INDEX(입력!$K$2:$K$500, MATCH($BO125,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4"/>
        <v>4</v>
      </c>
      <c r="W125" s="1" t="str">
        <f t="shared" si="10"/>
        <v/>
      </c>
      <c r="X125" s="1">
        <v>4</v>
      </c>
      <c r="Y125" s="64" t="str">
        <f>IFERROR(INDEX(입력!$M$2:$M$500, MATCH($BO125, 입력!$Z$2:$Z$500, 0)) &amp; "", "")</f>
        <v/>
      </c>
      <c r="Z125" s="64" t="str">
        <f>IFERROR(INDEX(입력!$N$2:$N$500, MATCH($BO125, 입력!$Z$2:$Z$500, 0)) &amp; "", "")</f>
        <v>4</v>
      </c>
      <c r="AA125" s="64">
        <f>MAX(0, 표1[[#This Row],[의무_시설]]-표1[[#This Row],[시설합]])</f>
        <v>0</v>
      </c>
      <c r="AB125" s="17" t="str">
        <f t="shared" si="15"/>
        <v>이행완료</v>
      </c>
      <c r="AC125" s="64" t="str">
        <f>IFERROR(INDEX(입력!$P$2:$P$500, MATCH($BO125, 입력!$Z$2:$Z$500, 0)) &amp; "", "")</f>
        <v/>
      </c>
      <c r="AD125" s="64" t="str">
        <f>IFERROR(INDEX(입력!$Q$2:$Q$500, MATCH($BO125, 입력!$Z$2:$Z$500, 0)) &amp; "", "")</f>
        <v/>
      </c>
      <c r="AE125" s="64" t="str">
        <f>IFERROR(INDEX(입력!$R$2:$R$500, MATCH($BO125, 입력!$Z$2:$Z$500, 0)) &amp; "", "")</f>
        <v>여</v>
      </c>
      <c r="AF125" s="64" t="str">
        <f>IFERROR(INDEX(입력!$S$2:$S$500, MATCH($BO125, 입력!$Z$2:$Z$500, 0)) &amp; "", "")</f>
        <v>여</v>
      </c>
      <c r="AG125" s="64" t="str">
        <f>IFERROR(INDEX(입력!$T$2:$T$500, MATCH($BO125, 입력!$Z$2:$Z$500, 0)) &amp; "", "")</f>
        <v/>
      </c>
      <c r="AH125" s="64" t="str">
        <f>IFERROR(INDEX(입력!$U$2:$U$500, MATCH($BO125, 입력!$Z$2:$Z$500, 0)) &amp; "", "")</f>
        <v/>
      </c>
      <c r="AI125" s="64" t="str">
        <f>IFERROR(INDEX(입력!$V$2:$V$500, MATCH($BO125, 입력!$Z$2:$Z$500, 0)) &amp; "", "")</f>
        <v>여</v>
      </c>
      <c r="AJ125" s="44" t="str">
        <f>IFERROR(INDEX(입력!$W$2:$W$500, MATCH($BO125, 입력!$Z$2:$Z$500, 0)) &amp; "", "")</f>
        <v>김동철</v>
      </c>
      <c r="AK125" s="44" t="str">
        <f>IFERROR(INDEX(입력!$X$2:$X$500, MATCH($BO125, 입력!$Z$2:$Z$500, 0)) &amp; "", "")</f>
        <v>010-9602-2552</v>
      </c>
      <c r="AL125" s="2"/>
      <c r="AM125" s="17" t="s">
        <v>1179</v>
      </c>
      <c r="AN125" s="83"/>
      <c r="AO125" s="17" t="s">
        <v>1089</v>
      </c>
      <c r="AP125" s="2" t="s">
        <v>3248</v>
      </c>
      <c r="AQ125" s="21"/>
      <c r="AR125" s="22" t="s">
        <v>1196</v>
      </c>
      <c r="AS125" s="101"/>
      <c r="AT125" s="101"/>
      <c r="AU125" s="101"/>
      <c r="AV125" s="101"/>
      <c r="AW125" s="101"/>
      <c r="AX125" s="101"/>
      <c r="AY125" s="83" t="s">
        <v>3137</v>
      </c>
      <c r="AZ125" s="71" t="str">
        <f>IFERROR(IF(INDEX(입력!$C$2:$C$500, MATCH($BO125, 입력!$Z$2:$Z$500, 0))="", "", TEXT(INDEX(입력!$C$2:$C$500, MATCH($BO125, 입력!$Z$2:$Z$500, 0)), "yyyy-mm-dd")), "")</f>
        <v>2026-04-27</v>
      </c>
      <c r="BA125" s="44" t="str">
        <f>IFERROR(INDEX(입력!$B$2:$B$500, MATCH($BO125, 입력!$Z$2:$Z$500, 0)) &amp; "", "")</f>
        <v>노기섭</v>
      </c>
      <c r="BB125" s="83" t="str">
        <f>IFERROR(INDEX(입력!$Y$2:$Y$500, MATCH($BO125, 입력!$Z$2:$Z$500, 0)) &amp; "", "")</f>
        <v/>
      </c>
      <c r="BC125" s="83" t="s">
        <v>3112</v>
      </c>
      <c r="BD125" s="83"/>
      <c r="BE125" s="101"/>
      <c r="BF125" s="101"/>
      <c r="BG125" s="101"/>
      <c r="BH125" s="101"/>
      <c r="BI125" s="101"/>
      <c r="BJ125" s="101"/>
      <c r="BK125" s="110"/>
      <c r="BL125" s="21"/>
      <c r="BM125" s="22"/>
      <c r="BN125" s="23"/>
      <c r="BO125" s="47" t="s">
        <v>371</v>
      </c>
    </row>
    <row r="126" spans="1:67" x14ac:dyDescent="0.45">
      <c r="A126" s="46">
        <v>125</v>
      </c>
      <c r="B126" s="1" t="s">
        <v>1175</v>
      </c>
      <c r="C126" s="17" t="str">
        <f t="shared" si="11"/>
        <v>이행완료</v>
      </c>
      <c r="D126" s="17" t="str">
        <f t="shared" si="12"/>
        <v>조사완료</v>
      </c>
      <c r="E126" s="3" t="s">
        <v>1470</v>
      </c>
      <c r="F126" s="3" t="s">
        <v>372</v>
      </c>
      <c r="G126" s="3" t="s">
        <v>1471</v>
      </c>
      <c r="H126" s="18" t="s">
        <v>1202</v>
      </c>
      <c r="I126" s="19">
        <v>105</v>
      </c>
      <c r="J126" s="2"/>
      <c r="K126" s="20">
        <v>39262</v>
      </c>
      <c r="L126" s="20"/>
      <c r="M126" s="17" t="str">
        <f t="shared" si="13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MATCH($BO126, 입력!$Z$2:$Z$500, 0)) &amp; "", "")</f>
        <v>2</v>
      </c>
      <c r="S126" s="64" t="str">
        <f>IFERROR(INDEX(입력!$K$2:$K$500, MATCH($BO126,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4"/>
        <v>2</v>
      </c>
      <c r="W126" s="1" t="str">
        <f t="shared" si="10"/>
        <v/>
      </c>
      <c r="X126" s="1">
        <v>2</v>
      </c>
      <c r="Y126" s="64" t="str">
        <f>IFERROR(INDEX(입력!$M$2:$M$500, MATCH($BO126, 입력!$Z$2:$Z$500, 0)) &amp; "", "")</f>
        <v/>
      </c>
      <c r="Z126" s="64" t="str">
        <f>IFERROR(INDEX(입력!$N$2:$N$500, MATCH($BO126, 입력!$Z$2:$Z$500, 0)) &amp; "", "")</f>
        <v>2</v>
      </c>
      <c r="AA126" s="64">
        <f>MAX(0, 표1[[#This Row],[의무_시설]]-표1[[#This Row],[시설합]])</f>
        <v>0</v>
      </c>
      <c r="AB126" s="17" t="str">
        <f t="shared" si="15"/>
        <v>이행완료</v>
      </c>
      <c r="AC126" s="64" t="str">
        <f>IFERROR(INDEX(입력!$P$2:$P$500, MATCH($BO126, 입력!$Z$2:$Z$500, 0)) &amp; "", "")</f>
        <v/>
      </c>
      <c r="AD126" s="64" t="str">
        <f>IFERROR(INDEX(입력!$Q$2:$Q$500, MATCH($BO126, 입력!$Z$2:$Z$500, 0)) &amp; "", "")</f>
        <v/>
      </c>
      <c r="AE126" s="64" t="str">
        <f>IFERROR(INDEX(입력!$R$2:$R$500, MATCH($BO126, 입력!$Z$2:$Z$500, 0)) &amp; "", "")</f>
        <v>부</v>
      </c>
      <c r="AF126" s="64" t="str">
        <f>IFERROR(INDEX(입력!$S$2:$S$500, MATCH($BO126, 입력!$Z$2:$Z$500, 0)) &amp; "", "")</f>
        <v>여</v>
      </c>
      <c r="AG126" s="64" t="str">
        <f>IFERROR(INDEX(입력!$T$2:$T$500, MATCH($BO126, 입력!$Z$2:$Z$500, 0)) &amp; "", "")</f>
        <v/>
      </c>
      <c r="AH126" s="64" t="str">
        <f>IFERROR(INDEX(입력!$U$2:$U$500, MATCH($BO126, 입력!$Z$2:$Z$500, 0)) &amp; "", "")</f>
        <v/>
      </c>
      <c r="AI126" s="64" t="str">
        <f>IFERROR(INDEX(입력!$V$2:$V$500, MATCH($BO126, 입력!$Z$2:$Z$500, 0)) &amp; "", "")</f>
        <v>여</v>
      </c>
      <c r="AJ126" s="44" t="str">
        <f>IFERROR(INDEX(입력!$W$2:$W$500, MATCH($BO126, 입력!$Z$2:$Z$500, 0)) &amp; "", "")</f>
        <v>이동주</v>
      </c>
      <c r="AK126" s="44" t="str">
        <f>IFERROR(INDEX(입력!$X$2:$X$500, MATCH($BO126, 입력!$Z$2:$Z$500, 0)) &amp; "", "")</f>
        <v>010-9192-8914</v>
      </c>
      <c r="AL126" s="2"/>
      <c r="AM126" s="17" t="s">
        <v>1251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3137</v>
      </c>
      <c r="AZ126" s="71" t="str">
        <f>IFERROR(IF(INDEX(입력!$C$2:$C$500, MATCH($BO126, 입력!$Z$2:$Z$500, 0))="", "", TEXT(INDEX(입력!$C$2:$C$500, MATCH($BO126, 입력!$Z$2:$Z$500, 0)), "yyyy-mm-dd")), "")</f>
        <v>2026-05-07</v>
      </c>
      <c r="BA126" s="44" t="str">
        <f>IFERROR(INDEX(입력!$B$2:$B$500, MATCH($BO126, 입력!$Z$2:$Z$500, 0)) &amp; "", "")</f>
        <v>정은진</v>
      </c>
      <c r="BB126" s="83" t="str">
        <f>IFERROR(INDEX(입력!$Y$2:$Y$500, MATCH($BO126, 입력!$Z$2:$Z$500, 0)) &amp; "", "")</f>
        <v/>
      </c>
      <c r="BC126" s="83" t="s">
        <v>3112</v>
      </c>
      <c r="BD126" s="83"/>
      <c r="BE126" s="101"/>
      <c r="BF126" s="101"/>
      <c r="BG126" s="101"/>
      <c r="BH126" s="101"/>
      <c r="BI126" s="101"/>
      <c r="BJ126" s="101"/>
      <c r="BK126" s="110"/>
      <c r="BL126" s="21"/>
      <c r="BM126" s="22"/>
      <c r="BN126" s="23"/>
      <c r="BO126" s="47" t="s">
        <v>373</v>
      </c>
    </row>
    <row r="127" spans="1:67" x14ac:dyDescent="0.45">
      <c r="A127" s="19">
        <v>126</v>
      </c>
      <c r="B127" s="1" t="s">
        <v>1175</v>
      </c>
      <c r="C127" s="17" t="str">
        <f t="shared" si="11"/>
        <v>이행완료</v>
      </c>
      <c r="D127" s="17" t="str">
        <f t="shared" si="12"/>
        <v>조사완료</v>
      </c>
      <c r="E127" s="3" t="s">
        <v>1472</v>
      </c>
      <c r="F127" s="3" t="s">
        <v>374</v>
      </c>
      <c r="G127" s="3" t="s">
        <v>1473</v>
      </c>
      <c r="H127" s="18" t="s">
        <v>1133</v>
      </c>
      <c r="I127" s="19">
        <v>166</v>
      </c>
      <c r="J127" s="2"/>
      <c r="K127" s="20">
        <v>37033</v>
      </c>
      <c r="L127" s="20"/>
      <c r="M127" s="17" t="str">
        <f t="shared" si="13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MATCH($BO127, 입력!$Z$2:$Z$500, 0)) &amp; "", "")</f>
        <v>3</v>
      </c>
      <c r="S127" s="64" t="str">
        <f>IFERROR(INDEX(입력!$K$2:$K$500, MATCH($BO127,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4"/>
        <v>3</v>
      </c>
      <c r="W127" s="1" t="str">
        <f t="shared" si="10"/>
        <v/>
      </c>
      <c r="X127" s="1">
        <v>3</v>
      </c>
      <c r="Y127" s="64" t="str">
        <f>IFERROR(INDEX(입력!$M$2:$M$500, MATCH($BO127, 입력!$Z$2:$Z$500, 0)) &amp; "", "")</f>
        <v/>
      </c>
      <c r="Z127" s="64" t="str">
        <f>IFERROR(INDEX(입력!$N$2:$N$500, MATCH($BO127, 입력!$Z$2:$Z$500, 0)) &amp; "", "")</f>
        <v>3</v>
      </c>
      <c r="AA127" s="64">
        <f>MAX(0, 표1[[#This Row],[의무_시설]]-표1[[#This Row],[시설합]])</f>
        <v>0</v>
      </c>
      <c r="AB127" s="17" t="str">
        <f t="shared" si="15"/>
        <v>이행완료</v>
      </c>
      <c r="AC127" s="64" t="str">
        <f>IFERROR(INDEX(입력!$P$2:$P$500, MATCH($BO127, 입력!$Z$2:$Z$500, 0)) &amp; "", "")</f>
        <v/>
      </c>
      <c r="AD127" s="64" t="str">
        <f>IFERROR(INDEX(입력!$Q$2:$Q$500, MATCH($BO127, 입력!$Z$2:$Z$500, 0)) &amp; "", "")</f>
        <v/>
      </c>
      <c r="AE127" s="64" t="str">
        <f>IFERROR(INDEX(입력!$R$2:$R$500, MATCH($BO127, 입력!$Z$2:$Z$500, 0)) &amp; "", "")</f>
        <v>여</v>
      </c>
      <c r="AF127" s="64" t="str">
        <f>IFERROR(INDEX(입력!$S$2:$S$500, MATCH($BO127, 입력!$Z$2:$Z$500, 0)) &amp; "", "")</f>
        <v>여</v>
      </c>
      <c r="AG127" s="64" t="str">
        <f>IFERROR(INDEX(입력!$T$2:$T$500, MATCH($BO127, 입력!$Z$2:$Z$500, 0)) &amp; "", "")</f>
        <v/>
      </c>
      <c r="AH127" s="64" t="str">
        <f>IFERROR(INDEX(입력!$U$2:$U$500, MATCH($BO127, 입력!$Z$2:$Z$500, 0)) &amp; "", "")</f>
        <v/>
      </c>
      <c r="AI127" s="64" t="str">
        <f>IFERROR(INDEX(입력!$V$2:$V$500, MATCH($BO127, 입력!$Z$2:$Z$500, 0)) &amp; "", "")</f>
        <v>여</v>
      </c>
      <c r="AJ127" s="44" t="str">
        <f>IFERROR(INDEX(입력!$W$2:$W$500, MATCH($BO127, 입력!$Z$2:$Z$500, 0)) &amp; "", "")</f>
        <v>최장욱</v>
      </c>
      <c r="AK127" s="44" t="str">
        <f>IFERROR(INDEX(입력!$X$2:$X$500, MATCH($BO127, 입력!$Z$2:$Z$500, 0)) &amp; "", "")</f>
        <v>010-4429-3699</v>
      </c>
      <c r="AL127" s="2"/>
      <c r="AM127" s="17" t="s">
        <v>1251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3131</v>
      </c>
      <c r="AZ127" s="71" t="str">
        <f>IFERROR(IF(INDEX(입력!$C$2:$C$500, MATCH($BO127, 입력!$Z$2:$Z$500, 0))="", "", TEXT(INDEX(입력!$C$2:$C$500, MATCH($BO127, 입력!$Z$2:$Z$500, 0)), "yyyy-mm-dd")), "")</f>
        <v>2026-04-29</v>
      </c>
      <c r="BA127" s="44" t="str">
        <f>IFERROR(INDEX(입력!$B$2:$B$500, MATCH($BO127, 입력!$Z$2:$Z$500, 0)) &amp; "", "")</f>
        <v>이승수</v>
      </c>
      <c r="BB127" s="83" t="str">
        <f>IFERROR(INDEX(입력!$Y$2:$Y$500, MATCH($BO127, 입력!$Z$2:$Z$500, 0)) &amp; "", "")</f>
        <v/>
      </c>
      <c r="BC127" s="83" t="s">
        <v>3112</v>
      </c>
      <c r="BD127" s="83"/>
      <c r="BE127" s="101"/>
      <c r="BF127" s="101"/>
      <c r="BG127" s="101"/>
      <c r="BH127" s="101"/>
      <c r="BI127" s="101"/>
      <c r="BJ127" s="101"/>
      <c r="BK127" s="110"/>
      <c r="BL127" s="21"/>
      <c r="BM127" s="22"/>
      <c r="BN127" s="23"/>
      <c r="BO127" s="47" t="s">
        <v>375</v>
      </c>
    </row>
    <row r="128" spans="1:67" x14ac:dyDescent="0.45">
      <c r="A128" s="46">
        <v>127</v>
      </c>
      <c r="B128" s="1" t="s">
        <v>1175</v>
      </c>
      <c r="C128" s="17" t="str">
        <f t="shared" si="11"/>
        <v>이행완료</v>
      </c>
      <c r="D128" s="17" t="str">
        <f t="shared" si="12"/>
        <v>조사완료</v>
      </c>
      <c r="E128" s="3" t="s">
        <v>1474</v>
      </c>
      <c r="F128" s="3" t="s">
        <v>376</v>
      </c>
      <c r="G128" s="3" t="s">
        <v>1475</v>
      </c>
      <c r="H128" s="18" t="s">
        <v>1172</v>
      </c>
      <c r="I128" s="19">
        <v>532</v>
      </c>
      <c r="J128" s="2"/>
      <c r="K128" s="20">
        <v>36838</v>
      </c>
      <c r="L128" s="20"/>
      <c r="M128" s="17" t="str">
        <f t="shared" si="13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MATCH($BO128, 입력!$Z$2:$Z$500, 0)) &amp; "", "")</f>
        <v>44</v>
      </c>
      <c r="S128" s="64" t="str">
        <f>IFERROR(INDEX(입력!$K$2:$K$500, MATCH($BO128,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4"/>
        <v>11</v>
      </c>
      <c r="W128" s="1">
        <f t="shared" si="10"/>
        <v>1</v>
      </c>
      <c r="X128" s="1">
        <v>18</v>
      </c>
      <c r="Y128" s="64" t="str">
        <f>IFERROR(INDEX(입력!$M$2:$M$500, MATCH($BO128, 입력!$Z$2:$Z$500, 0)) &amp; "", "")</f>
        <v>2</v>
      </c>
      <c r="Z128" s="64" t="str">
        <f>IFERROR(INDEX(입력!$N$2:$N$500, MATCH($BO128,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5"/>
        <v>이행완료</v>
      </c>
      <c r="AC128" s="64" t="str">
        <f>IFERROR(INDEX(입력!$P$2:$P$500, MATCH($BO128, 입력!$Z$2:$Z$500, 0)) &amp; "", "")</f>
        <v/>
      </c>
      <c r="AD128" s="64" t="str">
        <f>IFERROR(INDEX(입력!$Q$2:$Q$500, MATCH($BO128, 입력!$Z$2:$Z$500, 0)) &amp; "", "")</f>
        <v/>
      </c>
      <c r="AE128" s="64" t="str">
        <f>IFERROR(INDEX(입력!$R$2:$R$500, MATCH($BO128, 입력!$Z$2:$Z$500, 0)) &amp; "", "")</f>
        <v>부</v>
      </c>
      <c r="AF128" s="64" t="str">
        <f>IFERROR(INDEX(입력!$S$2:$S$500, MATCH($BO128, 입력!$Z$2:$Z$500, 0)) &amp; "", "")</f>
        <v>부</v>
      </c>
      <c r="AG128" s="64" t="str">
        <f>IFERROR(INDEX(입력!$T$2:$T$500, MATCH($BO128, 입력!$Z$2:$Z$500, 0)) &amp; "", "")</f>
        <v/>
      </c>
      <c r="AH128" s="64" t="str">
        <f>IFERROR(INDEX(입력!$U$2:$U$500, MATCH($BO128, 입력!$Z$2:$Z$500, 0)) &amp; "", "")</f>
        <v/>
      </c>
      <c r="AI128" s="64" t="str">
        <f>IFERROR(INDEX(입력!$V$2:$V$500, MATCH($BO128, 입력!$Z$2:$Z$500, 0)) &amp; "", "")</f>
        <v>여</v>
      </c>
      <c r="AJ128" s="44" t="str">
        <f>IFERROR(INDEX(입력!$W$2:$W$500, MATCH($BO128, 입력!$Z$2:$Z$500, 0)) &amp; "", "")</f>
        <v>정상용</v>
      </c>
      <c r="AK128" s="44" t="str">
        <f>IFERROR(INDEX(입력!$X$2:$X$500, MATCH($BO128, 입력!$Z$2:$Z$500, 0)) &amp; "", "")</f>
        <v>010-9511-1900</v>
      </c>
      <c r="AL128" s="2"/>
      <c r="AM128" s="17" t="s">
        <v>1251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3131</v>
      </c>
      <c r="AZ128" s="71" t="str">
        <f>IFERROR(IF(INDEX(입력!$C$2:$C$500, MATCH($BO128, 입력!$Z$2:$Z$500, 0))="", "", TEXT(INDEX(입력!$C$2:$C$500, MATCH($BO128, 입력!$Z$2:$Z$500, 0)), "yyyy-mm-dd")), "")</f>
        <v>2026-05-06</v>
      </c>
      <c r="BA128" s="44" t="str">
        <f>IFERROR(INDEX(입력!$B$2:$B$500, MATCH($BO128, 입력!$Z$2:$Z$500, 0)) &amp; "", "")</f>
        <v>이승수</v>
      </c>
      <c r="BB128" s="83" t="str">
        <f>IFERROR(INDEX(입력!$Y$2:$Y$500, MATCH($BO128, 입력!$Z$2:$Z$500, 0)) &amp; "", "")</f>
        <v/>
      </c>
      <c r="BC128" s="83" t="s">
        <v>3112</v>
      </c>
      <c r="BD128" s="83"/>
      <c r="BE128" s="101"/>
      <c r="BF128" s="101"/>
      <c r="BG128" s="101"/>
      <c r="BH128" s="101"/>
      <c r="BI128" s="101"/>
      <c r="BJ128" s="101"/>
      <c r="BK128" s="110"/>
      <c r="BL128" s="21"/>
      <c r="BM128" s="22"/>
      <c r="BN128" s="23"/>
      <c r="BO128" s="47" t="s">
        <v>377</v>
      </c>
    </row>
    <row r="129" spans="1:67" x14ac:dyDescent="0.45">
      <c r="A129" s="19">
        <v>128</v>
      </c>
      <c r="B129" s="1" t="s">
        <v>1175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2"/>
        <v>조사완료</v>
      </c>
      <c r="E129" s="3" t="s">
        <v>1477</v>
      </c>
      <c r="F129" s="3" t="s">
        <v>379</v>
      </c>
      <c r="G129" s="3" t="s">
        <v>1478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MATCH($BO129, 입력!$Z$2:$Z$500, 0)) &amp; "", "")</f>
        <v>2</v>
      </c>
      <c r="S129" s="64" t="str">
        <f>IFERROR(INDEX(입력!$K$2:$K$500, MATCH($BO129,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 t="str">
        <f t="shared" ref="W129:W191" si="21">IF(OR(M129="", V129&lt;5), "", IF(OR(M129="신축", B129&lt;&gt;"공동주택"), 1, ""))</f>
        <v/>
      </c>
      <c r="X129" s="1">
        <v>2</v>
      </c>
      <c r="Y129" s="64" t="str">
        <f>IFERROR(INDEX(입력!$M$2:$M$500, MATCH($BO129, 입력!$Z$2:$Z$500, 0)) &amp; "", "")</f>
        <v/>
      </c>
      <c r="Z129" s="64" t="str">
        <f>IFERROR(INDEX(입력!$N$2:$N$500, MATCH($BO129, 입력!$Z$2:$Z$500, 0)) &amp; "", "")</f>
        <v>2</v>
      </c>
      <c r="AA129" s="64">
        <f>MAX(0, 표1[[#This Row],[의무_시설]]-표1[[#This Row],[시설합]])</f>
        <v>1</v>
      </c>
      <c r="AB129" s="17" t="str">
        <f t="shared" si="15"/>
        <v>미이행</v>
      </c>
      <c r="AC129" s="64" t="str">
        <f>IFERROR(INDEX(입력!$P$2:$P$500, MATCH($BO129, 입력!$Z$2:$Z$500, 0)) &amp; "", "")</f>
        <v/>
      </c>
      <c r="AD129" s="64" t="str">
        <f>IFERROR(INDEX(입력!$Q$2:$Q$500, MATCH($BO129, 입력!$Z$2:$Z$500, 0)) &amp; "", "")</f>
        <v/>
      </c>
      <c r="AE129" s="64" t="str">
        <f>IFERROR(INDEX(입력!$R$2:$R$500, MATCH($BO129, 입력!$Z$2:$Z$500, 0)) &amp; "", "")</f>
        <v/>
      </c>
      <c r="AF129" s="64" t="str">
        <f>IFERROR(INDEX(입력!$S$2:$S$500, MATCH($BO129, 입력!$Z$2:$Z$500, 0)) &amp; "", "")</f>
        <v/>
      </c>
      <c r="AG129" s="64" t="str">
        <f>IFERROR(INDEX(입력!$T$2:$T$500, MATCH($BO129, 입력!$Z$2:$Z$500, 0)) &amp; "", "")</f>
        <v/>
      </c>
      <c r="AH129" s="64" t="str">
        <f>IFERROR(INDEX(입력!$U$2:$U$500, MATCH($BO129, 입력!$Z$2:$Z$500, 0)) &amp; "", "")</f>
        <v/>
      </c>
      <c r="AI129" s="64" t="str">
        <f>IFERROR(INDEX(입력!$V$2:$V$500, MATCH($BO129, 입력!$Z$2:$Z$500, 0)) &amp; "", "")</f>
        <v>여</v>
      </c>
      <c r="AJ129" s="44" t="str">
        <f>IFERROR(INDEX(입력!$W$2:$W$500, MATCH($BO129, 입력!$Z$2:$Z$500, 0)) &amp; "", "")</f>
        <v/>
      </c>
      <c r="AK129" s="44" t="str">
        <f>IFERROR(INDEX(입력!$X$2:$X$500, MATCH($BO129, 입력!$Z$2:$Z$500, 0)) &amp; "", "")</f>
        <v>955-1919</v>
      </c>
      <c r="AL129" s="2" t="s">
        <v>1479</v>
      </c>
      <c r="AM129" s="17" t="s">
        <v>3220</v>
      </c>
      <c r="AN129" s="113">
        <v>46043</v>
      </c>
      <c r="AO129" s="17" t="s">
        <v>1067</v>
      </c>
      <c r="AP129" s="101" t="s">
        <v>1480</v>
      </c>
      <c r="AQ129" s="108" t="s">
        <v>3249</v>
      </c>
      <c r="AR129" s="22"/>
      <c r="AS129" s="101" t="s">
        <v>3163</v>
      </c>
      <c r="AT129" s="109">
        <v>46104</v>
      </c>
      <c r="AU129" s="101" t="s">
        <v>3141</v>
      </c>
      <c r="AV129" s="101" t="s">
        <v>3164</v>
      </c>
      <c r="AW129" s="101" t="s">
        <v>3250</v>
      </c>
      <c r="AX129" s="101" t="s">
        <v>3251</v>
      </c>
      <c r="AY129" s="83" t="s">
        <v>3137</v>
      </c>
      <c r="AZ129" s="71" t="str">
        <f>IFERROR(IF(INDEX(입력!$C$2:$C$500, MATCH($BO129, 입력!$Z$2:$Z$500, 0))="", "", TEXT(INDEX(입력!$C$2:$C$500, MATCH($BO129, 입력!$Z$2:$Z$500, 0)), "yyyy-mm-dd")), "")</f>
        <v>2026-04-16</v>
      </c>
      <c r="BA129" s="44" t="str">
        <f>IFERROR(INDEX(입력!$B$2:$B$500, MATCH($BO129, 입력!$Z$2:$Z$500, 0)) &amp; "", "")</f>
        <v>노기섭</v>
      </c>
      <c r="BB129" s="83" t="str">
        <f>IFERROR(INDEX(입력!$Y$2:$Y$500, MATCH($BO129, 입력!$Z$2:$Z$500, 0)) &amp; "", "")</f>
        <v>27.7~8월경 설치예정.</v>
      </c>
      <c r="BC129" s="83" t="s">
        <v>3252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3955</v>
      </c>
      <c r="BI129" s="101" t="s">
        <v>3969</v>
      </c>
      <c r="BJ129" s="101"/>
      <c r="BK129" s="110" t="s">
        <v>3849</v>
      </c>
      <c r="BL129" s="21"/>
      <c r="BM129" s="22"/>
      <c r="BN129" s="23"/>
      <c r="BO129" s="47" t="s">
        <v>380</v>
      </c>
    </row>
    <row r="130" spans="1:67" x14ac:dyDescent="0.45">
      <c r="A130" s="46">
        <v>129</v>
      </c>
      <c r="B130" s="1" t="s">
        <v>1175</v>
      </c>
      <c r="C130" s="17" t="str">
        <f t="shared" si="16"/>
        <v>미이행</v>
      </c>
      <c r="D130" s="17" t="str">
        <f t="shared" ref="D130:D193" si="22">IF(AZ130&lt;&gt;"", "조사완료", "")</f>
        <v/>
      </c>
      <c r="E130" s="3" t="s">
        <v>1481</v>
      </c>
      <c r="F130" s="3" t="s">
        <v>381</v>
      </c>
      <c r="G130" s="3" t="s">
        <v>1482</v>
      </c>
      <c r="H130" s="18" t="s">
        <v>1133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MATCH($BO130, 입력!$Z$2:$Z$500, 0)) &amp; "", "")</f>
        <v/>
      </c>
      <c r="S130" s="64" t="str">
        <f>IFERROR(INDEX(입력!$K$2:$K$500, MATCH($BO130,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 t="str">
        <f t="shared" si="21"/>
        <v/>
      </c>
      <c r="X130" s="1">
        <v>0</v>
      </c>
      <c r="Y130" s="64" t="str">
        <f>IFERROR(INDEX(입력!$M$2:$M$500, MATCH($BO130, 입력!$Z$2:$Z$500, 0)) &amp; "", "")</f>
        <v/>
      </c>
      <c r="Z130" s="64" t="str">
        <f>IFERROR(INDEX(입력!$N$2:$N$500, MATCH($BO130,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3">IF(OR(V130="", X130=""), "", IF(X130 &gt;= V130, "이행완료", "미이행"))</f>
        <v>미이행</v>
      </c>
      <c r="AC130" s="64" t="str">
        <f>IFERROR(INDEX(입력!$P$2:$P$500, MATCH($BO130, 입력!$Z$2:$Z$500, 0)) &amp; "", "")</f>
        <v/>
      </c>
      <c r="AD130" s="64" t="str">
        <f>IFERROR(INDEX(입력!$Q$2:$Q$500, MATCH($BO130, 입력!$Z$2:$Z$500, 0)) &amp; "", "")</f>
        <v/>
      </c>
      <c r="AE130" s="64" t="str">
        <f>IFERROR(INDEX(입력!$R$2:$R$500, MATCH($BO130, 입력!$Z$2:$Z$500, 0)) &amp; "", "")</f>
        <v/>
      </c>
      <c r="AF130" s="64" t="str">
        <f>IFERROR(INDEX(입력!$S$2:$S$500, MATCH($BO130, 입력!$Z$2:$Z$500, 0)) &amp; "", "")</f>
        <v/>
      </c>
      <c r="AG130" s="64" t="str">
        <f>IFERROR(INDEX(입력!$T$2:$T$500, MATCH($BO130, 입력!$Z$2:$Z$500, 0)) &amp; "", "")</f>
        <v/>
      </c>
      <c r="AH130" s="64" t="str">
        <f>IFERROR(INDEX(입력!$U$2:$U$500, MATCH($BO130, 입력!$Z$2:$Z$500, 0)) &amp; "", "")</f>
        <v/>
      </c>
      <c r="AI130" s="64" t="str">
        <f>IFERROR(INDEX(입력!$V$2:$V$500, MATCH($BO130, 입력!$Z$2:$Z$500, 0)) &amp; "", "")</f>
        <v/>
      </c>
      <c r="AJ130" s="44" t="str">
        <f>IFERROR(INDEX(입력!$W$2:$W$500, MATCH($BO130, 입력!$Z$2:$Z$500, 0)) &amp; "", "")</f>
        <v/>
      </c>
      <c r="AK130" s="44" t="str">
        <f>IFERROR(INDEX(입력!$X$2:$X$500, MATCH($BO130, 입력!$Z$2:$Z$500, 0)) &amp; "", "")</f>
        <v/>
      </c>
      <c r="AL130" s="2" t="s">
        <v>1483</v>
      </c>
      <c r="AM130" s="17" t="s">
        <v>1145</v>
      </c>
      <c r="AN130" s="113">
        <v>46114</v>
      </c>
      <c r="AO130" s="17" t="s">
        <v>1059</v>
      </c>
      <c r="AP130" s="101" t="s">
        <v>1484</v>
      </c>
      <c r="AQ130" s="108"/>
      <c r="AR130" s="22"/>
      <c r="AS130" s="101" t="s">
        <v>3163</v>
      </c>
      <c r="AT130" s="109">
        <v>46104</v>
      </c>
      <c r="AU130" s="101" t="s">
        <v>3126</v>
      </c>
      <c r="AV130" s="101" t="s">
        <v>3253</v>
      </c>
      <c r="AW130" s="101" t="s">
        <v>3254</v>
      </c>
      <c r="AX130" s="101"/>
      <c r="AY130" s="83" t="s">
        <v>3137</v>
      </c>
      <c r="AZ130" s="71" t="str">
        <f>IFERROR(IF(INDEX(입력!$C$2:$C$500, MATCH($BO130, 입력!$Z$2:$Z$500, 0))="", "", TEXT(INDEX(입력!$C$2:$C$500, MATCH($BO130, 입력!$Z$2:$Z$500, 0)), "yyyy-mm-dd")), "")</f>
        <v/>
      </c>
      <c r="BA130" s="44" t="str">
        <f>IFERROR(INDEX(입력!$B$2:$B$500, MATCH($BO130, 입력!$Z$2:$Z$500, 0)) &amp; "", "")</f>
        <v/>
      </c>
      <c r="BB130" s="83" t="str">
        <f>IFERROR(INDEX(입력!$Y$2:$Y$500, MATCH($BO130, 입력!$Z$2:$Z$500, 0)) &amp; "", "")</f>
        <v/>
      </c>
      <c r="BC130" s="83" t="s">
        <v>3149</v>
      </c>
      <c r="BD130" s="83"/>
      <c r="BE130" s="101"/>
      <c r="BF130" s="101"/>
      <c r="BG130" s="101"/>
      <c r="BH130" s="101"/>
      <c r="BI130" s="101"/>
      <c r="BJ130" s="101"/>
      <c r="BK130" s="110"/>
      <c r="BL130" s="21"/>
      <c r="BM130" s="22"/>
      <c r="BN130" s="23"/>
      <c r="BO130" s="47" t="s">
        <v>382</v>
      </c>
    </row>
    <row r="131" spans="1:67" x14ac:dyDescent="0.45">
      <c r="A131" s="19">
        <v>130</v>
      </c>
      <c r="B131" s="1" t="s">
        <v>1175</v>
      </c>
      <c r="C131" s="17" t="str">
        <f t="shared" si="16"/>
        <v>미이행</v>
      </c>
      <c r="D131" s="17" t="str">
        <f t="shared" si="22"/>
        <v>조사완료</v>
      </c>
      <c r="E131" s="3" t="s">
        <v>1485</v>
      </c>
      <c r="F131" s="3" t="s">
        <v>383</v>
      </c>
      <c r="G131" s="3" t="s">
        <v>1486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MATCH($BO131, 입력!$Z$2:$Z$500, 0)) &amp; "", "")</f>
        <v/>
      </c>
      <c r="S131" s="64" t="str">
        <f>IFERROR(INDEX(입력!$K$2:$K$500, MATCH($BO131,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 t="str">
        <f t="shared" si="21"/>
        <v/>
      </c>
      <c r="X131" s="1">
        <v>0</v>
      </c>
      <c r="Y131" s="64" t="str">
        <f>IFERROR(INDEX(입력!$M$2:$M$500, MATCH($BO131, 입력!$Z$2:$Z$500, 0)) &amp; "", "")</f>
        <v/>
      </c>
      <c r="Z131" s="64" t="str">
        <f>IFERROR(INDEX(입력!$N$2:$N$500, MATCH($BO131, 입력!$Z$2:$Z$500, 0)) &amp; "", "")</f>
        <v/>
      </c>
      <c r="AA131" s="64">
        <f>MAX(0, 표1[[#This Row],[의무_시설]]-표1[[#This Row],[시설합]])</f>
        <v>3</v>
      </c>
      <c r="AB131" s="17" t="str">
        <f t="shared" si="23"/>
        <v>미이행</v>
      </c>
      <c r="AC131" s="64" t="str">
        <f>IFERROR(INDEX(입력!$P$2:$P$500, MATCH($BO131, 입력!$Z$2:$Z$500, 0)) &amp; "", "")</f>
        <v/>
      </c>
      <c r="AD131" s="64" t="str">
        <f>IFERROR(INDEX(입력!$Q$2:$Q$500, MATCH($BO131, 입력!$Z$2:$Z$500, 0)) &amp; "", "")</f>
        <v/>
      </c>
      <c r="AE131" s="64" t="str">
        <f>IFERROR(INDEX(입력!$R$2:$R$500, MATCH($BO131, 입력!$Z$2:$Z$500, 0)) &amp; "", "")</f>
        <v/>
      </c>
      <c r="AF131" s="64" t="str">
        <f>IFERROR(INDEX(입력!$S$2:$S$500, MATCH($BO131, 입력!$Z$2:$Z$500, 0)) &amp; "", "")</f>
        <v/>
      </c>
      <c r="AG131" s="64" t="str">
        <f>IFERROR(INDEX(입력!$T$2:$T$500, MATCH($BO131, 입력!$Z$2:$Z$500, 0)) &amp; "", "")</f>
        <v/>
      </c>
      <c r="AH131" s="64" t="str">
        <f>IFERROR(INDEX(입력!$U$2:$U$500, MATCH($BO131, 입력!$Z$2:$Z$500, 0)) &amp; "", "")</f>
        <v/>
      </c>
      <c r="AI131" s="64" t="str">
        <f>IFERROR(INDEX(입력!$V$2:$V$500, MATCH($BO131, 입력!$Z$2:$Z$500, 0)) &amp; "", "")</f>
        <v>여</v>
      </c>
      <c r="AJ131" s="44" t="str">
        <f>IFERROR(INDEX(입력!$W$2:$W$500, MATCH($BO131, 입력!$Z$2:$Z$500, 0)) &amp; "", "")</f>
        <v>명재율</v>
      </c>
      <c r="AK131" s="44" t="str">
        <f>IFERROR(INDEX(입력!$X$2:$X$500, MATCH($BO131, 입력!$Z$2:$Z$500, 0)) &amp; "", "")</f>
        <v>010-4604-8422</v>
      </c>
      <c r="AL131" s="2" t="s">
        <v>1487</v>
      </c>
      <c r="AM131" s="17"/>
      <c r="AN131" s="83"/>
      <c r="AO131" s="17" t="s">
        <v>1059</v>
      </c>
      <c r="AP131" s="101" t="s">
        <v>1488</v>
      </c>
      <c r="AQ131" s="108"/>
      <c r="AR131" s="22"/>
      <c r="AS131" s="114" t="s">
        <v>3163</v>
      </c>
      <c r="AT131" s="109">
        <v>46104</v>
      </c>
      <c r="AU131" s="101" t="s">
        <v>3126</v>
      </c>
      <c r="AV131" s="114" t="s">
        <v>3189</v>
      </c>
      <c r="AW131" s="101"/>
      <c r="AX131" s="101"/>
      <c r="AY131" s="83" t="s">
        <v>3137</v>
      </c>
      <c r="AZ131" s="71" t="str">
        <f>IFERROR(IF(INDEX(입력!$C$2:$C$500, MATCH($BO131, 입력!$Z$2:$Z$500, 0))="", "", TEXT(INDEX(입력!$C$2:$C$500, MATCH($BO131, 입력!$Z$2:$Z$500, 0)), "yyyy-mm-dd")), "")</f>
        <v>2026-04-17</v>
      </c>
      <c r="BA131" s="44" t="str">
        <f>IFERROR(INDEX(입력!$B$2:$B$500, MATCH($BO131, 입력!$Z$2:$Z$500, 0)) &amp; "", "")</f>
        <v>정은진</v>
      </c>
      <c r="BB131" s="83" t="str">
        <f>IFERROR(INDEX(입력!$Y$2:$Y$500, MATCH($BO131, 입력!$Z$2:$Z$500, 0)) &amp; "", "")</f>
        <v>업체서정 후 보조금해서 설치 예정.</v>
      </c>
      <c r="BC131" s="83" t="s">
        <v>3197</v>
      </c>
      <c r="BD131" s="83"/>
      <c r="BE131" s="101" t="s">
        <v>3865</v>
      </c>
      <c r="BF131" s="109">
        <v>46164</v>
      </c>
      <c r="BG131" s="101" t="s">
        <v>1059</v>
      </c>
      <c r="BH131" s="101" t="s">
        <v>3955</v>
      </c>
      <c r="BI131" s="101" t="s">
        <v>3970</v>
      </c>
      <c r="BJ131" s="101"/>
      <c r="BK131" s="110" t="s">
        <v>3979</v>
      </c>
      <c r="BL131" s="21"/>
      <c r="BM131" s="22"/>
      <c r="BN131" s="23"/>
      <c r="BO131" s="47" t="s">
        <v>384</v>
      </c>
    </row>
    <row r="132" spans="1:67" x14ac:dyDescent="0.45">
      <c r="A132" s="46">
        <v>131</v>
      </c>
      <c r="B132" s="1" t="s">
        <v>1175</v>
      </c>
      <c r="C132" s="17" t="str">
        <f t="shared" si="16"/>
        <v>이행완료</v>
      </c>
      <c r="D132" s="17" t="str">
        <f t="shared" si="22"/>
        <v>조사완료</v>
      </c>
      <c r="E132" s="3" t="s">
        <v>1489</v>
      </c>
      <c r="F132" s="3" t="s">
        <v>385</v>
      </c>
      <c r="G132" s="3" t="s">
        <v>1490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MATCH($BO132, 입력!$Z$2:$Z$500, 0)) &amp; "", "")</f>
        <v>2</v>
      </c>
      <c r="S132" s="64" t="str">
        <f>IFERROR(INDEX(입력!$K$2:$K$500, MATCH($BO132,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 t="str">
        <f t="shared" si="21"/>
        <v/>
      </c>
      <c r="X132" s="1">
        <v>2</v>
      </c>
      <c r="Y132" s="64" t="str">
        <f>IFERROR(INDEX(입력!$M$2:$M$500, MATCH($BO132, 입력!$Z$2:$Z$500, 0)) &amp; "", "")</f>
        <v>2</v>
      </c>
      <c r="Z132" s="64" t="str">
        <f>IFERROR(INDEX(입력!$N$2:$N$500, MATCH($BO132, 입력!$Z$2:$Z$500, 0)) &amp; "", "")</f>
        <v/>
      </c>
      <c r="AA132" s="64">
        <f>MAX(0, 표1[[#This Row],[의무_시설]]-표1[[#This Row],[시설합]])</f>
        <v>0</v>
      </c>
      <c r="AB132" s="17" t="str">
        <f t="shared" si="23"/>
        <v>이행완료</v>
      </c>
      <c r="AC132" s="64" t="str">
        <f>IFERROR(INDEX(입력!$P$2:$P$500, MATCH($BO132, 입력!$Z$2:$Z$500, 0)) &amp; "", "")</f>
        <v/>
      </c>
      <c r="AD132" s="64" t="str">
        <f>IFERROR(INDEX(입력!$Q$2:$Q$500, MATCH($BO132, 입력!$Z$2:$Z$500, 0)) &amp; "", "")</f>
        <v/>
      </c>
      <c r="AE132" s="64" t="str">
        <f>IFERROR(INDEX(입력!$R$2:$R$500, MATCH($BO132, 입력!$Z$2:$Z$500, 0)) &amp; "", "")</f>
        <v>부</v>
      </c>
      <c r="AF132" s="64" t="str">
        <f>IFERROR(INDEX(입력!$S$2:$S$500, MATCH($BO132, 입력!$Z$2:$Z$500, 0)) &amp; "", "")</f>
        <v>부</v>
      </c>
      <c r="AG132" s="64" t="str">
        <f>IFERROR(INDEX(입력!$T$2:$T$500, MATCH($BO132, 입력!$Z$2:$Z$500, 0)) &amp; "", "")</f>
        <v/>
      </c>
      <c r="AH132" s="64" t="str">
        <f>IFERROR(INDEX(입력!$U$2:$U$500, MATCH($BO132, 입력!$Z$2:$Z$500, 0)) &amp; "", "")</f>
        <v/>
      </c>
      <c r="AI132" s="64" t="str">
        <f>IFERROR(INDEX(입력!$V$2:$V$500, MATCH($BO132, 입력!$Z$2:$Z$500, 0)) &amp; "", "")</f>
        <v>여</v>
      </c>
      <c r="AJ132" s="44" t="str">
        <f>IFERROR(INDEX(입력!$W$2:$W$500, MATCH($BO132, 입력!$Z$2:$Z$500, 0)) &amp; "", "")</f>
        <v>고경진</v>
      </c>
      <c r="AK132" s="44" t="str">
        <f>IFERROR(INDEX(입력!$X$2:$X$500, MATCH($BO132, 입력!$Z$2:$Z$500, 0)) &amp; "", "")</f>
        <v>010-2916-0260</v>
      </c>
      <c r="AL132" s="2"/>
      <c r="AM132" s="17" t="s">
        <v>1251</v>
      </c>
      <c r="AN132" s="83"/>
      <c r="AO132" s="17" t="s">
        <v>1059</v>
      </c>
      <c r="AP132" s="2"/>
      <c r="AQ132" s="21"/>
      <c r="AR132" s="22" t="s">
        <v>1196</v>
      </c>
      <c r="AS132" s="101"/>
      <c r="AT132" s="101"/>
      <c r="AU132" s="101"/>
      <c r="AV132" s="101"/>
      <c r="AW132" s="101"/>
      <c r="AX132" s="101"/>
      <c r="AY132" s="83" t="s">
        <v>3131</v>
      </c>
      <c r="AZ132" s="71" t="str">
        <f>IFERROR(IF(INDEX(입력!$C$2:$C$500, MATCH($BO132, 입력!$Z$2:$Z$500, 0))="", "", TEXT(INDEX(입력!$C$2:$C$500, MATCH($BO132, 입력!$Z$2:$Z$500, 0)), "yyyy-mm-dd")), "")</f>
        <v>2026-05-06</v>
      </c>
      <c r="BA132" s="44" t="str">
        <f>IFERROR(INDEX(입력!$B$2:$B$500, MATCH($BO132, 입력!$Z$2:$Z$500, 0)) &amp; "", "")</f>
        <v>이승수</v>
      </c>
      <c r="BB132" s="83" t="str">
        <f>IFERROR(INDEX(입력!$Y$2:$Y$500, MATCH($BO132, 입력!$Z$2:$Z$500, 0)) &amp; "", "")</f>
        <v/>
      </c>
      <c r="BC132" s="83" t="s">
        <v>3112</v>
      </c>
      <c r="BD132" s="83"/>
      <c r="BE132" s="101"/>
      <c r="BF132" s="101"/>
      <c r="BG132" s="101"/>
      <c r="BH132" s="101"/>
      <c r="BI132" s="101"/>
      <c r="BJ132" s="101"/>
      <c r="BK132" s="110"/>
      <c r="BL132" s="21"/>
      <c r="BM132" s="22"/>
      <c r="BN132" s="23"/>
      <c r="BO132" s="47" t="s">
        <v>386</v>
      </c>
    </row>
    <row r="133" spans="1:67" x14ac:dyDescent="0.45">
      <c r="A133" s="19">
        <v>132</v>
      </c>
      <c r="B133" s="1" t="s">
        <v>1175</v>
      </c>
      <c r="C133" s="17" t="str">
        <f t="shared" si="16"/>
        <v>미이행</v>
      </c>
      <c r="D133" s="17" t="str">
        <f t="shared" si="22"/>
        <v>조사완료</v>
      </c>
      <c r="E133" s="4" t="s">
        <v>1491</v>
      </c>
      <c r="F133" s="4" t="s">
        <v>387</v>
      </c>
      <c r="G133" s="4" t="s">
        <v>1492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MATCH($BO133, 입력!$Z$2:$Z$500, 0)) &amp; "", "")</f>
        <v/>
      </c>
      <c r="S133" s="64" t="str">
        <f>IFERROR(INDEX(입력!$K$2:$K$500, MATCH($BO133,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 t="str">
        <f t="shared" si="21"/>
        <v/>
      </c>
      <c r="X133" s="1">
        <v>0</v>
      </c>
      <c r="Y133" s="64" t="str">
        <f>IFERROR(INDEX(입력!$M$2:$M$500, MATCH($BO133, 입력!$Z$2:$Z$500, 0)) &amp; "", "")</f>
        <v/>
      </c>
      <c r="Z133" s="64" t="str">
        <f>IFERROR(INDEX(입력!$N$2:$N$500, MATCH($BO133, 입력!$Z$2:$Z$500, 0)) &amp; "", "")</f>
        <v/>
      </c>
      <c r="AA133" s="64">
        <f>MAX(0, 표1[[#This Row],[의무_시설]]-표1[[#This Row],[시설합]])</f>
        <v>3</v>
      </c>
      <c r="AB133" s="17" t="str">
        <f t="shared" si="23"/>
        <v>미이행</v>
      </c>
      <c r="AC133" s="64" t="str">
        <f>IFERROR(INDEX(입력!$P$2:$P$500, MATCH($BO133, 입력!$Z$2:$Z$500, 0)) &amp; "", "")</f>
        <v/>
      </c>
      <c r="AD133" s="64" t="str">
        <f>IFERROR(INDEX(입력!$Q$2:$Q$500, MATCH($BO133, 입력!$Z$2:$Z$500, 0)) &amp; "", "")</f>
        <v/>
      </c>
      <c r="AE133" s="64" t="str">
        <f>IFERROR(INDEX(입력!$R$2:$R$500, MATCH($BO133, 입력!$Z$2:$Z$500, 0)) &amp; "", "")</f>
        <v/>
      </c>
      <c r="AF133" s="64" t="str">
        <f>IFERROR(INDEX(입력!$S$2:$S$500, MATCH($BO133, 입력!$Z$2:$Z$500, 0)) &amp; "", "")</f>
        <v/>
      </c>
      <c r="AG133" s="64" t="str">
        <f>IFERROR(INDEX(입력!$T$2:$T$500, MATCH($BO133, 입력!$Z$2:$Z$500, 0)) &amp; "", "")</f>
        <v/>
      </c>
      <c r="AH133" s="64" t="str">
        <f>IFERROR(INDEX(입력!$U$2:$U$500, MATCH($BO133, 입력!$Z$2:$Z$500, 0)) &amp; "", "")</f>
        <v/>
      </c>
      <c r="AI133" s="64" t="str">
        <f>IFERROR(INDEX(입력!$V$2:$V$500, MATCH($BO133, 입력!$Z$2:$Z$500, 0)) &amp; "", "")</f>
        <v>여</v>
      </c>
      <c r="AJ133" s="44" t="str">
        <f>IFERROR(INDEX(입력!$W$2:$W$500, MATCH($BO133, 입력!$Z$2:$Z$500, 0)) &amp; "", "")</f>
        <v>김목중</v>
      </c>
      <c r="AK133" s="44" t="str">
        <f>IFERROR(INDEX(입력!$X$2:$X$500, MATCH($BO133, 입력!$Z$2:$Z$500, 0)) &amp; "", "")</f>
        <v>010-6614-1579</v>
      </c>
      <c r="AL133" s="2" t="s">
        <v>1493</v>
      </c>
      <c r="AM133" s="17" t="s">
        <v>1179</v>
      </c>
      <c r="AN133" s="113">
        <v>46049</v>
      </c>
      <c r="AO133" s="17" t="s">
        <v>1089</v>
      </c>
      <c r="AP133" s="101" t="s">
        <v>1494</v>
      </c>
      <c r="AQ133" s="108"/>
      <c r="AR133" s="22"/>
      <c r="AS133" s="114" t="s">
        <v>3124</v>
      </c>
      <c r="AT133" s="109">
        <v>46104</v>
      </c>
      <c r="AU133" s="101" t="s">
        <v>3141</v>
      </c>
      <c r="AV133" s="114" t="s">
        <v>3189</v>
      </c>
      <c r="AW133" s="101"/>
      <c r="AX133" s="101"/>
      <c r="AY133" s="83" t="s">
        <v>3137</v>
      </c>
      <c r="AZ133" s="71" t="str">
        <f>IFERROR(IF(INDEX(입력!$C$2:$C$500, MATCH($BO133, 입력!$Z$2:$Z$500, 0))="", "", TEXT(INDEX(입력!$C$2:$C$500, MATCH($BO133, 입력!$Z$2:$Z$500, 0)), "yyyy-mm-dd")), "")</f>
        <v>2026-04-21</v>
      </c>
      <c r="BA133" s="44" t="str">
        <f>IFERROR(INDEX(입력!$B$2:$B$500, MATCH($BO133, 입력!$Z$2:$Z$500, 0)) &amp; "", "")</f>
        <v>노기섭</v>
      </c>
      <c r="BB133" s="83" t="str">
        <f>IFERROR(INDEX(입력!$Y$2:$Y$500, MATCH($BO133, 입력!$Z$2:$Z$500, 0)) &amp; "", "")</f>
        <v>업체 확인중. '26.12월 안으로 설치예정.</v>
      </c>
      <c r="BC133" s="83" t="s">
        <v>3166</v>
      </c>
      <c r="BD133" s="83"/>
      <c r="BE133" s="101" t="s">
        <v>1179</v>
      </c>
      <c r="BF133" s="109">
        <v>46162</v>
      </c>
      <c r="BG133" s="101" t="s">
        <v>1059</v>
      </c>
      <c r="BH133" s="101" t="s">
        <v>3971</v>
      </c>
      <c r="BI133" s="101"/>
      <c r="BJ133" s="101"/>
      <c r="BK133" s="110"/>
      <c r="BL133" s="21"/>
      <c r="BM133" s="22"/>
      <c r="BN133" s="23"/>
      <c r="BO133" s="47" t="s">
        <v>388</v>
      </c>
    </row>
    <row r="134" spans="1:67" x14ac:dyDescent="0.45">
      <c r="A134" s="46">
        <v>133</v>
      </c>
      <c r="B134" s="1" t="s">
        <v>1175</v>
      </c>
      <c r="C134" s="17" t="str">
        <f t="shared" si="16"/>
        <v>이행완료</v>
      </c>
      <c r="D134" s="17" t="str">
        <f t="shared" si="22"/>
        <v>조사완료</v>
      </c>
      <c r="E134" s="3" t="s">
        <v>1495</v>
      </c>
      <c r="F134" s="3" t="s">
        <v>389</v>
      </c>
      <c r="G134" s="3" t="s">
        <v>1496</v>
      </c>
      <c r="H134" s="18" t="s">
        <v>1335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MATCH($BO134, 입력!$Z$2:$Z$500, 0)) &amp; "", "")</f>
        <v/>
      </c>
      <c r="S134" s="64" t="str">
        <f>IFERROR(INDEX(입력!$K$2:$K$500, MATCH($BO134,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 t="str">
        <f t="shared" si="21"/>
        <v/>
      </c>
      <c r="X134" s="1">
        <v>1</v>
      </c>
      <c r="Y134" s="64" t="str">
        <f>IFERROR(INDEX(입력!$M$2:$M$500, MATCH($BO134, 입력!$Z$2:$Z$500, 0)) &amp; "", "")</f>
        <v/>
      </c>
      <c r="Z134" s="64" t="str">
        <f>IFERROR(INDEX(입력!$N$2:$N$500, MATCH($BO134, 입력!$Z$2:$Z$500, 0)) &amp; "", "")</f>
        <v>1</v>
      </c>
      <c r="AA134" s="64">
        <f>MAX(0, 표1[[#This Row],[의무_시설]]-표1[[#This Row],[시설합]])</f>
        <v>0</v>
      </c>
      <c r="AB134" s="17" t="str">
        <f t="shared" si="23"/>
        <v>이행완료</v>
      </c>
      <c r="AC134" s="64" t="str">
        <f>IFERROR(INDEX(입력!$P$2:$P$500, MATCH($BO134, 입력!$Z$2:$Z$500, 0)) &amp; "", "")</f>
        <v/>
      </c>
      <c r="AD134" s="64" t="str">
        <f>IFERROR(INDEX(입력!$Q$2:$Q$500, MATCH($BO134, 입력!$Z$2:$Z$500, 0)) &amp; "", "")</f>
        <v/>
      </c>
      <c r="AE134" s="64" t="str">
        <f>IFERROR(INDEX(입력!$R$2:$R$500, MATCH($BO134, 입력!$Z$2:$Z$500, 0)) &amp; "", "")</f>
        <v/>
      </c>
      <c r="AF134" s="64" t="str">
        <f>IFERROR(INDEX(입력!$S$2:$S$500, MATCH($BO134, 입력!$Z$2:$Z$500, 0)) &amp; "", "")</f>
        <v>여</v>
      </c>
      <c r="AG134" s="64" t="str">
        <f>IFERROR(INDEX(입력!$T$2:$T$500, MATCH($BO134, 입력!$Z$2:$Z$500, 0)) &amp; "", "")</f>
        <v/>
      </c>
      <c r="AH134" s="64" t="str">
        <f>IFERROR(INDEX(입력!$U$2:$U$500, MATCH($BO134, 입력!$Z$2:$Z$500, 0)) &amp; "", "")</f>
        <v/>
      </c>
      <c r="AI134" s="64" t="str">
        <f>IFERROR(INDEX(입력!$V$2:$V$500, MATCH($BO134, 입력!$Z$2:$Z$500, 0)) &amp; "", "")</f>
        <v>여</v>
      </c>
      <c r="AJ134" s="44" t="str">
        <f>IFERROR(INDEX(입력!$W$2:$W$500, MATCH($BO134, 입력!$Z$2:$Z$500, 0)) &amp; "", "")</f>
        <v>김인용</v>
      </c>
      <c r="AK134" s="44" t="str">
        <f>IFERROR(INDEX(입력!$X$2:$X$500, MATCH($BO134, 입력!$Z$2:$Z$500, 0)) &amp; "", "")</f>
        <v>010-8615-1538</v>
      </c>
      <c r="AL134" s="2"/>
      <c r="AM134" s="17" t="s">
        <v>1251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3131</v>
      </c>
      <c r="AZ134" s="71" t="str">
        <f>IFERROR(IF(INDEX(입력!$C$2:$C$500, MATCH($BO134, 입력!$Z$2:$Z$500, 0))="", "", TEXT(INDEX(입력!$C$2:$C$500, MATCH($BO134, 입력!$Z$2:$Z$500, 0)), "yyyy-mm-dd")), "")</f>
        <v>2026-05-08</v>
      </c>
      <c r="BA134" s="44" t="str">
        <f>IFERROR(INDEX(입력!$B$2:$B$500, MATCH($BO134, 입력!$Z$2:$Z$500, 0)) &amp; "", "")</f>
        <v>정은진</v>
      </c>
      <c r="BB134" s="83" t="str">
        <f>IFERROR(INDEX(입력!$Y$2:$Y$500, MATCH($BO134, 입력!$Z$2:$Z$500, 0)) &amp; "", "")</f>
        <v>충전시설,보험 알아보고 광산구청으로 연락하신다고 하심</v>
      </c>
      <c r="BC134" s="83" t="s">
        <v>3112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3361</v>
      </c>
      <c r="BI134" s="101"/>
      <c r="BJ134" s="101"/>
      <c r="BK134" s="110"/>
      <c r="BL134" s="21"/>
      <c r="BM134" s="22"/>
      <c r="BN134" s="23"/>
      <c r="BO134" s="47" t="s">
        <v>390</v>
      </c>
    </row>
    <row r="135" spans="1:67" x14ac:dyDescent="0.45">
      <c r="A135" s="19">
        <v>134</v>
      </c>
      <c r="B135" s="1" t="s">
        <v>1175</v>
      </c>
      <c r="C135" s="17" t="str">
        <f t="shared" si="16"/>
        <v>미이행</v>
      </c>
      <c r="D135" s="17" t="str">
        <f t="shared" si="22"/>
        <v>조사완료</v>
      </c>
      <c r="E135" s="4" t="s">
        <v>1497</v>
      </c>
      <c r="F135" s="4" t="s">
        <v>391</v>
      </c>
      <c r="G135" s="4" t="s">
        <v>1498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MATCH($BO135, 입력!$Z$2:$Z$500, 0)) &amp; "", "")</f>
        <v/>
      </c>
      <c r="S135" s="64" t="str">
        <f>IFERROR(INDEX(입력!$K$2:$K$500, MATCH($BO135,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 t="str">
        <f t="shared" si="21"/>
        <v/>
      </c>
      <c r="X135" s="1">
        <v>0</v>
      </c>
      <c r="Y135" s="64" t="str">
        <f>IFERROR(INDEX(입력!$M$2:$M$500, MATCH($BO135, 입력!$Z$2:$Z$500, 0)) &amp; "", "")</f>
        <v/>
      </c>
      <c r="Z135" s="64" t="str">
        <f>IFERROR(INDEX(입력!$N$2:$N$500, MATCH($BO135, 입력!$Z$2:$Z$500, 0)) &amp; "", "")</f>
        <v/>
      </c>
      <c r="AA135" s="64">
        <f>MAX(0, 표1[[#This Row],[의무_시설]]-표1[[#This Row],[시설합]])</f>
        <v>2</v>
      </c>
      <c r="AB135" s="17" t="str">
        <f t="shared" si="23"/>
        <v>미이행</v>
      </c>
      <c r="AC135" s="64" t="str">
        <f>IFERROR(INDEX(입력!$P$2:$P$500, MATCH($BO135, 입력!$Z$2:$Z$500, 0)) &amp; "", "")</f>
        <v/>
      </c>
      <c r="AD135" s="64" t="str">
        <f>IFERROR(INDEX(입력!$Q$2:$Q$500, MATCH($BO135, 입력!$Z$2:$Z$500, 0)) &amp; "", "")</f>
        <v/>
      </c>
      <c r="AE135" s="64" t="str">
        <f>IFERROR(INDEX(입력!$R$2:$R$500, MATCH($BO135, 입력!$Z$2:$Z$500, 0)) &amp; "", "")</f>
        <v/>
      </c>
      <c r="AF135" s="64" t="str">
        <f>IFERROR(INDEX(입력!$S$2:$S$500, MATCH($BO135, 입력!$Z$2:$Z$500, 0)) &amp; "", "")</f>
        <v/>
      </c>
      <c r="AG135" s="64" t="str">
        <f>IFERROR(INDEX(입력!$T$2:$T$500, MATCH($BO135, 입력!$Z$2:$Z$500, 0)) &amp; "", "")</f>
        <v/>
      </c>
      <c r="AH135" s="64" t="str">
        <f>IFERROR(INDEX(입력!$U$2:$U$500, MATCH($BO135, 입력!$Z$2:$Z$500, 0)) &amp; "", "")</f>
        <v/>
      </c>
      <c r="AI135" s="64" t="str">
        <f>IFERROR(INDEX(입력!$V$2:$V$500, MATCH($BO135, 입력!$Z$2:$Z$500, 0)) &amp; "", "")</f>
        <v>여</v>
      </c>
      <c r="AJ135" s="44" t="str">
        <f>IFERROR(INDEX(입력!$W$2:$W$500, MATCH($BO135, 입력!$Z$2:$Z$500, 0)) &amp; "", "")</f>
        <v>이상육</v>
      </c>
      <c r="AK135" s="44" t="str">
        <f>IFERROR(INDEX(입력!$X$2:$X$500, MATCH($BO135, 입력!$Z$2:$Z$500, 0)) &amp; "", "")</f>
        <v>010-5381-4902</v>
      </c>
      <c r="AL135" s="2"/>
      <c r="AM135" s="17" t="s">
        <v>1179</v>
      </c>
      <c r="AN135" s="113">
        <v>46039</v>
      </c>
      <c r="AO135" s="17" t="s">
        <v>1067</v>
      </c>
      <c r="AP135" s="101" t="s">
        <v>1387</v>
      </c>
      <c r="AQ135" s="108" t="s">
        <v>3169</v>
      </c>
      <c r="AR135" s="22" t="s">
        <v>1499</v>
      </c>
      <c r="AS135" s="114" t="s">
        <v>3163</v>
      </c>
      <c r="AT135" s="109">
        <v>46104</v>
      </c>
      <c r="AU135" s="101" t="s">
        <v>3141</v>
      </c>
      <c r="AV135" s="114" t="s">
        <v>3186</v>
      </c>
      <c r="AW135" s="101"/>
      <c r="AX135" s="101"/>
      <c r="AY135" s="83" t="s">
        <v>3131</v>
      </c>
      <c r="AZ135" s="71" t="str">
        <f>IFERROR(IF(INDEX(입력!$C$2:$C$500, MATCH($BO135, 입력!$Z$2:$Z$500, 0))="", "", TEXT(INDEX(입력!$C$2:$C$500, MATCH($BO135, 입력!$Z$2:$Z$500, 0)), "yyyy-mm-dd")), "")</f>
        <v>2026-04-24</v>
      </c>
      <c r="BA135" s="44" t="str">
        <f>IFERROR(INDEX(입력!$B$2:$B$500, MATCH($BO135, 입력!$Z$2:$Z$500, 0)) &amp; "", "")</f>
        <v>정은진</v>
      </c>
      <c r="BB135" s="83" t="str">
        <f>IFERROR(INDEX(입력!$Y$2:$Y$500, MATCH($BO135, 입력!$Z$2:$Z$500, 0)) &amp; "", "")</f>
        <v>업체선정 어려움. 5월말예정.</v>
      </c>
      <c r="BC135" s="83" t="s">
        <v>3133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3955</v>
      </c>
      <c r="BI135" s="101" t="s">
        <v>3972</v>
      </c>
      <c r="BJ135" s="101"/>
      <c r="BK135" s="110" t="s">
        <v>3983</v>
      </c>
      <c r="BL135" s="21"/>
      <c r="BM135" s="22"/>
      <c r="BN135" s="23"/>
      <c r="BO135" s="47" t="s">
        <v>392</v>
      </c>
    </row>
    <row r="136" spans="1:67" x14ac:dyDescent="0.45">
      <c r="A136" s="46">
        <v>135</v>
      </c>
      <c r="B136" s="1" t="s">
        <v>1175</v>
      </c>
      <c r="C136" s="17" t="str">
        <f t="shared" si="16"/>
        <v>미이행</v>
      </c>
      <c r="D136" s="17" t="str">
        <f t="shared" si="22"/>
        <v>조사완료</v>
      </c>
      <c r="E136" s="3" t="s">
        <v>1500</v>
      </c>
      <c r="F136" s="3" t="s">
        <v>393</v>
      </c>
      <c r="G136" s="3" t="s">
        <v>1501</v>
      </c>
      <c r="H136" s="18" t="s">
        <v>1172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MATCH($BO136, 입력!$Z$2:$Z$500, 0)) &amp; "", "")</f>
        <v/>
      </c>
      <c r="S136" s="64" t="str">
        <f>IFERROR(INDEX(입력!$K$2:$K$500, MATCH($BO136,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 t="str">
        <f t="shared" si="21"/>
        <v/>
      </c>
      <c r="X136" s="1">
        <v>0</v>
      </c>
      <c r="Y136" s="64" t="str">
        <f>IFERROR(INDEX(입력!$M$2:$M$500, MATCH($BO136, 입력!$Z$2:$Z$500, 0)) &amp; "", "")</f>
        <v/>
      </c>
      <c r="Z136" s="64" t="str">
        <f>IFERROR(INDEX(입력!$N$2:$N$500, MATCH($BO136, 입력!$Z$2:$Z$500, 0)) &amp; "", "")</f>
        <v/>
      </c>
      <c r="AA136" s="64">
        <f>MAX(0, 표1[[#This Row],[의무_시설]]-표1[[#This Row],[시설합]])</f>
        <v>3</v>
      </c>
      <c r="AB136" s="17" t="str">
        <f t="shared" si="23"/>
        <v>미이행</v>
      </c>
      <c r="AC136" s="64" t="str">
        <f>IFERROR(INDEX(입력!$P$2:$P$500, MATCH($BO136, 입력!$Z$2:$Z$500, 0)) &amp; "", "")</f>
        <v/>
      </c>
      <c r="AD136" s="64" t="str">
        <f>IFERROR(INDEX(입력!$Q$2:$Q$500, MATCH($BO136, 입력!$Z$2:$Z$500, 0)) &amp; "", "")</f>
        <v/>
      </c>
      <c r="AE136" s="64" t="str">
        <f>IFERROR(INDEX(입력!$R$2:$R$500, MATCH($BO136, 입력!$Z$2:$Z$500, 0)) &amp; "", "")</f>
        <v/>
      </c>
      <c r="AF136" s="64" t="str">
        <f>IFERROR(INDEX(입력!$S$2:$S$500, MATCH($BO136, 입력!$Z$2:$Z$500, 0)) &amp; "", "")</f>
        <v/>
      </c>
      <c r="AG136" s="64" t="str">
        <f>IFERROR(INDEX(입력!$T$2:$T$500, MATCH($BO136, 입력!$Z$2:$Z$500, 0)) &amp; "", "")</f>
        <v/>
      </c>
      <c r="AH136" s="64" t="str">
        <f>IFERROR(INDEX(입력!$U$2:$U$500, MATCH($BO136, 입력!$Z$2:$Z$500, 0)) &amp; "", "")</f>
        <v/>
      </c>
      <c r="AI136" s="64" t="str">
        <f>IFERROR(INDEX(입력!$V$2:$V$500, MATCH($BO136, 입력!$Z$2:$Z$500, 0)) &amp; "", "")</f>
        <v>여</v>
      </c>
      <c r="AJ136" s="44" t="str">
        <f>IFERROR(INDEX(입력!$W$2:$W$500, MATCH($BO136, 입력!$Z$2:$Z$500, 0)) &amp; "", "")</f>
        <v>백순철</v>
      </c>
      <c r="AK136" s="44" t="str">
        <f>IFERROR(INDEX(입력!$X$2:$X$500, MATCH($BO136, 입력!$Z$2:$Z$500, 0)) &amp; "", "")</f>
        <v>010-4212-1963</v>
      </c>
      <c r="AL136" s="2" t="s">
        <v>1502</v>
      </c>
      <c r="AM136" s="17" t="s">
        <v>1060</v>
      </c>
      <c r="AN136" s="83"/>
      <c r="AO136" s="17" t="s">
        <v>1059</v>
      </c>
      <c r="AP136" s="101" t="s">
        <v>1503</v>
      </c>
      <c r="AQ136" s="108"/>
      <c r="AR136" s="22" t="s">
        <v>1504</v>
      </c>
      <c r="AS136" s="114" t="s">
        <v>3124</v>
      </c>
      <c r="AT136" s="109">
        <v>46104</v>
      </c>
      <c r="AU136" s="101" t="s">
        <v>3141</v>
      </c>
      <c r="AV136" s="114" t="s">
        <v>3189</v>
      </c>
      <c r="AW136" s="101"/>
      <c r="AX136" s="101"/>
      <c r="AY136" s="83" t="s">
        <v>3137</v>
      </c>
      <c r="AZ136" s="71" t="str">
        <f>IFERROR(IF(INDEX(입력!$C$2:$C$500, MATCH($BO136, 입력!$Z$2:$Z$500, 0))="", "", TEXT(INDEX(입력!$C$2:$C$500, MATCH($BO136, 입력!$Z$2:$Z$500, 0)), "yyyy-mm-dd")), "")</f>
        <v>2026-04-22</v>
      </c>
      <c r="BA136" s="44" t="str">
        <f>IFERROR(INDEX(입력!$B$2:$B$500, MATCH($BO136, 입력!$Z$2:$Z$500, 0)) &amp; "", "")</f>
        <v>이승수</v>
      </c>
      <c r="BB136" s="83" t="str">
        <f>IFERROR(INDEX(입력!$Y$2:$Y$500, MATCH($BO136, 입력!$Z$2:$Z$500, 0)) &amp; "", "")</f>
        <v>업체 선정중. '26년 내 설치계획.</v>
      </c>
      <c r="BC136" s="83" t="s">
        <v>3159</v>
      </c>
      <c r="BD136" s="83"/>
      <c r="BE136" s="101"/>
      <c r="BF136" s="101"/>
      <c r="BG136" s="101"/>
      <c r="BH136" s="101"/>
      <c r="BI136" s="101"/>
      <c r="BJ136" s="101"/>
      <c r="BK136" s="110"/>
      <c r="BL136" s="21"/>
      <c r="BM136" s="22"/>
      <c r="BN136" s="23"/>
      <c r="BO136" s="47" t="s">
        <v>394</v>
      </c>
    </row>
    <row r="137" spans="1:67" x14ac:dyDescent="0.45">
      <c r="A137" s="19">
        <v>136</v>
      </c>
      <c r="B137" s="1" t="s">
        <v>1175</v>
      </c>
      <c r="C137" s="17" t="str">
        <f t="shared" si="16"/>
        <v>미이행</v>
      </c>
      <c r="D137" s="17" t="str">
        <f t="shared" si="22"/>
        <v>조사완료</v>
      </c>
      <c r="E137" s="3" t="s">
        <v>1505</v>
      </c>
      <c r="F137" s="3" t="s">
        <v>395</v>
      </c>
      <c r="G137" s="3" t="s">
        <v>1506</v>
      </c>
      <c r="H137" s="18" t="s">
        <v>1276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MATCH($BO137, 입력!$Z$2:$Z$500, 0)) &amp; "", "")</f>
        <v/>
      </c>
      <c r="S137" s="64" t="str">
        <f>IFERROR(INDEX(입력!$K$2:$K$500, MATCH($BO137,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 t="str">
        <f t="shared" si="21"/>
        <v/>
      </c>
      <c r="X137" s="1">
        <v>0</v>
      </c>
      <c r="Y137" s="64" t="str">
        <f>IFERROR(INDEX(입력!$M$2:$M$500, MATCH($BO137, 입력!$Z$2:$Z$500, 0)) &amp; "", "")</f>
        <v/>
      </c>
      <c r="Z137" s="64" t="str">
        <f>IFERROR(INDEX(입력!$N$2:$N$500, MATCH($BO137, 입력!$Z$2:$Z$500, 0)) &amp; "", "")</f>
        <v/>
      </c>
      <c r="AA137" s="64">
        <f>MAX(0, 표1[[#This Row],[의무_시설]]-표1[[#This Row],[시설합]])</f>
        <v>2</v>
      </c>
      <c r="AB137" s="17" t="str">
        <f t="shared" si="23"/>
        <v>미이행</v>
      </c>
      <c r="AC137" s="64" t="str">
        <f>IFERROR(INDEX(입력!$P$2:$P$500, MATCH($BO137, 입력!$Z$2:$Z$500, 0)) &amp; "", "")</f>
        <v/>
      </c>
      <c r="AD137" s="64" t="str">
        <f>IFERROR(INDEX(입력!$Q$2:$Q$500, MATCH($BO137, 입력!$Z$2:$Z$500, 0)) &amp; "", "")</f>
        <v/>
      </c>
      <c r="AE137" s="64" t="str">
        <f>IFERROR(INDEX(입력!$R$2:$R$500, MATCH($BO137, 입력!$Z$2:$Z$500, 0)) &amp; "", "")</f>
        <v/>
      </c>
      <c r="AF137" s="64" t="str">
        <f>IFERROR(INDEX(입력!$S$2:$S$500, MATCH($BO137, 입력!$Z$2:$Z$500, 0)) &amp; "", "")</f>
        <v/>
      </c>
      <c r="AG137" s="64" t="str">
        <f>IFERROR(INDEX(입력!$T$2:$T$500, MATCH($BO137, 입력!$Z$2:$Z$500, 0)) &amp; "", "")</f>
        <v/>
      </c>
      <c r="AH137" s="64" t="str">
        <f>IFERROR(INDEX(입력!$U$2:$U$500, MATCH($BO137, 입력!$Z$2:$Z$500, 0)) &amp; "", "")</f>
        <v/>
      </c>
      <c r="AI137" s="64" t="str">
        <f>IFERROR(INDEX(입력!$V$2:$V$500, MATCH($BO137, 입력!$Z$2:$Z$500, 0)) &amp; "", "")</f>
        <v>여</v>
      </c>
      <c r="AJ137" s="44" t="str">
        <f>IFERROR(INDEX(입력!$W$2:$W$500, MATCH($BO137, 입력!$Z$2:$Z$500, 0)) &amp; "", "")</f>
        <v>김성원</v>
      </c>
      <c r="AK137" s="44" t="str">
        <f>IFERROR(INDEX(입력!$X$2:$X$500, MATCH($BO137, 입력!$Z$2:$Z$500, 0)) &amp; "", "")</f>
        <v>511-0066</v>
      </c>
      <c r="AL137" s="2" t="s">
        <v>1507</v>
      </c>
      <c r="AM137" s="17" t="s">
        <v>1179</v>
      </c>
      <c r="AN137" s="113">
        <v>46045</v>
      </c>
      <c r="AO137" s="17" t="s">
        <v>1089</v>
      </c>
      <c r="AP137" s="101" t="s">
        <v>1508</v>
      </c>
      <c r="AQ137" s="108"/>
      <c r="AR137" s="22"/>
      <c r="AS137" s="114" t="s">
        <v>3124</v>
      </c>
      <c r="AT137" s="109">
        <v>46104</v>
      </c>
      <c r="AU137" s="101" t="s">
        <v>3126</v>
      </c>
      <c r="AV137" s="114" t="s">
        <v>3186</v>
      </c>
      <c r="AW137" s="101"/>
      <c r="AX137" s="101"/>
      <c r="AY137" s="83" t="s">
        <v>3131</v>
      </c>
      <c r="AZ137" s="71" t="str">
        <f>IFERROR(IF(INDEX(입력!$C$2:$C$500, MATCH($BO137, 입력!$Z$2:$Z$500, 0))="", "", TEXT(INDEX(입력!$C$2:$C$500, MATCH($BO137, 입력!$Z$2:$Z$500, 0)), "yyyy-mm-dd")), "")</f>
        <v>2026-04-23</v>
      </c>
      <c r="BA137" s="44" t="str">
        <f>IFERROR(INDEX(입력!$B$2:$B$500, MATCH($BO137, 입력!$Z$2:$Z$500, 0)) &amp; "", "")</f>
        <v>노기섭</v>
      </c>
      <c r="BB137" s="83" t="str">
        <f>IFERROR(INDEX(입력!$Y$2:$Y$500, MATCH($BO137, 입력!$Z$2:$Z$500, 0)) &amp; "", "")</f>
        <v>경제적인 문제로 설치 어려움(미정)</v>
      </c>
      <c r="BC137" s="83" t="s">
        <v>3145</v>
      </c>
      <c r="BD137" s="83"/>
      <c r="BE137" s="101" t="s">
        <v>3865</v>
      </c>
      <c r="BF137" s="109">
        <v>46163</v>
      </c>
      <c r="BG137" s="101" t="s">
        <v>1059</v>
      </c>
      <c r="BH137" s="101" t="s">
        <v>3973</v>
      </c>
      <c r="BI137" s="101" t="s">
        <v>3810</v>
      </c>
      <c r="BJ137" s="101"/>
      <c r="BK137" s="110" t="s">
        <v>3810</v>
      </c>
      <c r="BL137" s="21"/>
      <c r="BM137" s="22"/>
      <c r="BN137" s="23"/>
      <c r="BO137" s="47" t="s">
        <v>396</v>
      </c>
    </row>
    <row r="138" spans="1:67" x14ac:dyDescent="0.45">
      <c r="A138" s="46">
        <v>137</v>
      </c>
      <c r="B138" s="1" t="s">
        <v>1175</v>
      </c>
      <c r="C138" s="17" t="str">
        <f t="shared" si="16"/>
        <v>이행완료</v>
      </c>
      <c r="D138" s="17" t="str">
        <f t="shared" si="22"/>
        <v>조사완료</v>
      </c>
      <c r="E138" s="3" t="s">
        <v>1509</v>
      </c>
      <c r="F138" s="3" t="s">
        <v>397</v>
      </c>
      <c r="G138" s="3" t="s">
        <v>1510</v>
      </c>
      <c r="H138" s="18" t="s">
        <v>1133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MATCH($BO138, 입력!$Z$2:$Z$500, 0)) &amp; "", "")</f>
        <v>4</v>
      </c>
      <c r="S138" s="64" t="str">
        <f>IFERROR(INDEX(입력!$K$2:$K$500, MATCH($BO138,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 t="str">
        <f t="shared" si="21"/>
        <v/>
      </c>
      <c r="X138" s="1">
        <v>4</v>
      </c>
      <c r="Y138" s="64" t="str">
        <f>IFERROR(INDEX(입력!$M$2:$M$500, MATCH($BO138, 입력!$Z$2:$Z$500, 0)) &amp; "", "")</f>
        <v>1</v>
      </c>
      <c r="Z138" s="64" t="str">
        <f>IFERROR(INDEX(입력!$N$2:$N$500, MATCH($BO138, 입력!$Z$2:$Z$500, 0)) &amp; "", "")</f>
        <v>3</v>
      </c>
      <c r="AA138" s="64">
        <f>MAX(0, 표1[[#This Row],[의무_시설]]-표1[[#This Row],[시설합]])</f>
        <v>0</v>
      </c>
      <c r="AB138" s="17" t="str">
        <f t="shared" si="23"/>
        <v>이행완료</v>
      </c>
      <c r="AC138" s="64" t="str">
        <f>IFERROR(INDEX(입력!$P$2:$P$500, MATCH($BO138, 입력!$Z$2:$Z$500, 0)) &amp; "", "")</f>
        <v/>
      </c>
      <c r="AD138" s="64" t="str">
        <f>IFERROR(INDEX(입력!$Q$2:$Q$500, MATCH($BO138, 입력!$Z$2:$Z$500, 0)) &amp; "", "")</f>
        <v/>
      </c>
      <c r="AE138" s="64" t="str">
        <f>IFERROR(INDEX(입력!$R$2:$R$500, MATCH($BO138, 입력!$Z$2:$Z$500, 0)) &amp; "", "")</f>
        <v/>
      </c>
      <c r="AF138" s="64" t="str">
        <f>IFERROR(INDEX(입력!$S$2:$S$500, MATCH($BO138, 입력!$Z$2:$Z$500, 0)) &amp; "", "")</f>
        <v/>
      </c>
      <c r="AG138" s="64" t="str">
        <f>IFERROR(INDEX(입력!$T$2:$T$500, MATCH($BO138, 입력!$Z$2:$Z$500, 0)) &amp; "", "")</f>
        <v>부</v>
      </c>
      <c r="AH138" s="64" t="str">
        <f>IFERROR(INDEX(입력!$U$2:$U$500, MATCH($BO138, 입력!$Z$2:$Z$500, 0)) &amp; "", "")</f>
        <v/>
      </c>
      <c r="AI138" s="64" t="str">
        <f>IFERROR(INDEX(입력!$V$2:$V$500, MATCH($BO138, 입력!$Z$2:$Z$500, 0)) &amp; "", "")</f>
        <v>여</v>
      </c>
      <c r="AJ138" s="44" t="str">
        <f>IFERROR(INDEX(입력!$W$2:$W$500, MATCH($BO138, 입력!$Z$2:$Z$500, 0)) &amp; "", "")</f>
        <v>배민규</v>
      </c>
      <c r="AK138" s="44" t="str">
        <f>IFERROR(INDEX(입력!$X$2:$X$500, MATCH($BO138, 입력!$Z$2:$Z$500, 0)) &amp; "", "")</f>
        <v>010-2114-3538</v>
      </c>
      <c r="AL138" s="2" t="s">
        <v>1511</v>
      </c>
      <c r="AM138" s="17" t="s">
        <v>1398</v>
      </c>
      <c r="AN138" s="83"/>
      <c r="AO138" s="17" t="s">
        <v>1059</v>
      </c>
      <c r="AP138" s="2" t="s">
        <v>1512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3137</v>
      </c>
      <c r="AZ138" s="71" t="str">
        <f>IFERROR(IF(INDEX(입력!$C$2:$C$500, MATCH($BO138, 입력!$Z$2:$Z$500, 0))="", "", TEXT(INDEX(입력!$C$2:$C$500, MATCH($BO138, 입력!$Z$2:$Z$500, 0)), "yyyy-mm-dd")), "")</f>
        <v>2026-04-17</v>
      </c>
      <c r="BA138" s="44" t="str">
        <f>IFERROR(INDEX(입력!$B$2:$B$500, MATCH($BO138, 입력!$Z$2:$Z$500, 0)) &amp; "", "")</f>
        <v>이승수</v>
      </c>
      <c r="BB138" s="83" t="str">
        <f>IFERROR(INDEX(입력!$Y$2:$Y$500, MATCH($BO138, 입력!$Z$2:$Z$500, 0)) &amp; "", "")</f>
        <v/>
      </c>
      <c r="BC138" s="83" t="s">
        <v>3112</v>
      </c>
      <c r="BD138" s="83"/>
      <c r="BE138" s="101"/>
      <c r="BF138" s="101"/>
      <c r="BG138" s="101"/>
      <c r="BH138" s="101"/>
      <c r="BI138" s="101"/>
      <c r="BJ138" s="101"/>
      <c r="BK138" s="110"/>
      <c r="BL138" s="21"/>
      <c r="BM138" s="22"/>
      <c r="BN138" s="23"/>
      <c r="BO138" s="47" t="s">
        <v>398</v>
      </c>
    </row>
    <row r="139" spans="1:67" s="97" customFormat="1" x14ac:dyDescent="0.45">
      <c r="A139" s="85">
        <v>138</v>
      </c>
      <c r="B139" s="88" t="s">
        <v>1175</v>
      </c>
      <c r="C139" s="87" t="s">
        <v>3111</v>
      </c>
      <c r="D139" s="87" t="str">
        <f t="shared" si="22"/>
        <v>조사완료</v>
      </c>
      <c r="E139" s="99" t="s">
        <v>1513</v>
      </c>
      <c r="F139" s="99" t="s">
        <v>399</v>
      </c>
      <c r="G139" s="99" t="s">
        <v>1514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MATCH($BO139, 입력!$Z$2:$Z$500, 0)) &amp; "", "")</f>
        <v/>
      </c>
      <c r="S139" s="91" t="str">
        <f>IFERROR(INDEX(입력!$K$2:$K$500, MATCH($BO139,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88" t="str">
        <f t="shared" si="21"/>
        <v/>
      </c>
      <c r="X139" s="88">
        <v>0</v>
      </c>
      <c r="Y139" s="91" t="str">
        <f>IFERROR(INDEX(입력!$M$2:$M$500, MATCH($BO139, 입력!$Z$2:$Z$500, 0)) &amp; "", "")</f>
        <v/>
      </c>
      <c r="Z139" s="91" t="str">
        <f>IFERROR(INDEX(입력!$N$2:$N$500, MATCH($BO139, 입력!$Z$2:$Z$500, 0)) &amp; "", "")</f>
        <v/>
      </c>
      <c r="AA139" s="91">
        <f>MAX(0, 표1[[#This Row],[의무_시설]]-표1[[#This Row],[시설합]])</f>
        <v>2</v>
      </c>
      <c r="AB139" s="87" t="str">
        <f t="shared" si="23"/>
        <v>미이행</v>
      </c>
      <c r="AC139" s="91" t="str">
        <f>IFERROR(INDEX(입력!$P$2:$P$500, MATCH($BO139, 입력!$Z$2:$Z$500, 0)) &amp; "", "")</f>
        <v/>
      </c>
      <c r="AD139" s="91" t="str">
        <f>IFERROR(INDEX(입력!$Q$2:$Q$500, MATCH($BO139, 입력!$Z$2:$Z$500, 0)) &amp; "", "")</f>
        <v/>
      </c>
      <c r="AE139" s="91" t="str">
        <f>IFERROR(INDEX(입력!$R$2:$R$500, MATCH($BO139, 입력!$Z$2:$Z$500, 0)) &amp; "", "")</f>
        <v/>
      </c>
      <c r="AF139" s="91" t="str">
        <f>IFERROR(INDEX(입력!$S$2:$S$500, MATCH($BO139, 입력!$Z$2:$Z$500, 0)) &amp; "", "")</f>
        <v/>
      </c>
      <c r="AG139" s="91" t="str">
        <f>IFERROR(INDEX(입력!$T$2:$T$500, MATCH($BO139, 입력!$Z$2:$Z$500, 0)) &amp; "", "")</f>
        <v/>
      </c>
      <c r="AH139" s="91" t="str">
        <f>IFERROR(INDEX(입력!$U$2:$U$500, MATCH($BO139, 입력!$Z$2:$Z$500, 0)) &amp; "", "")</f>
        <v/>
      </c>
      <c r="AI139" s="91" t="str">
        <f>IFERROR(INDEX(입력!$V$2:$V$500, MATCH($BO139, 입력!$Z$2:$Z$500, 0)) &amp; "", "")</f>
        <v>여</v>
      </c>
      <c r="AJ139" s="92" t="str">
        <f>IFERROR(INDEX(입력!$W$2:$W$500, MATCH($BO139, 입력!$Z$2:$Z$500, 0)) &amp; "", "")</f>
        <v>강경화</v>
      </c>
      <c r="AK139" s="92" t="str">
        <f>IFERROR(INDEX(입력!$X$2:$X$500, MATCH($BO139, 입력!$Z$2:$Z$500, 0)) &amp; "", "")</f>
        <v>010-7171-9285</v>
      </c>
      <c r="AL139" s="86" t="s">
        <v>1515</v>
      </c>
      <c r="AM139" s="17" t="s">
        <v>3167</v>
      </c>
      <c r="AN139" s="113">
        <v>46045</v>
      </c>
      <c r="AO139" s="17" t="s">
        <v>1089</v>
      </c>
      <c r="AP139" s="101" t="s">
        <v>1516</v>
      </c>
      <c r="AQ139" s="108" t="s">
        <v>3159</v>
      </c>
      <c r="AR139" s="22"/>
      <c r="AS139" s="101" t="s">
        <v>3124</v>
      </c>
      <c r="AT139" s="109">
        <v>46104</v>
      </c>
      <c r="AU139" s="101" t="s">
        <v>3126</v>
      </c>
      <c r="AV139" s="101" t="s">
        <v>3255</v>
      </c>
      <c r="AW139" s="101" t="s">
        <v>3239</v>
      </c>
      <c r="AX139" s="101" t="s">
        <v>3256</v>
      </c>
      <c r="AY139" s="83" t="s">
        <v>3137</v>
      </c>
      <c r="AZ139" s="71" t="str">
        <f>IFERROR(IF(INDEX(입력!$C$2:$C$500, MATCH($BO139, 입력!$Z$2:$Z$500, 0))="", "", TEXT(INDEX(입력!$C$2:$C$500, MATCH($BO139, 입력!$Z$2:$Z$500, 0)), "yyyy-mm-dd")), "")</f>
        <v>2026-04-15</v>
      </c>
      <c r="BA139" s="44" t="str">
        <f>IFERROR(INDEX(입력!$B$2:$B$500, MATCH($BO139, 입력!$Z$2:$Z$500, 0)) &amp; "", "")</f>
        <v>노기섭</v>
      </c>
      <c r="BB139" s="83" t="str">
        <f>IFERROR(INDEX(입력!$Y$2:$Y$500, MATCH($BO139, 입력!$Z$2:$Z$500, 0)) &amp; "", "")</f>
        <v>26.12월 안으로 설치예정.</v>
      </c>
      <c r="BC139" s="83" t="s">
        <v>3169</v>
      </c>
      <c r="BD139" s="83"/>
      <c r="BE139" s="114" t="s">
        <v>3257</v>
      </c>
      <c r="BF139" s="101"/>
      <c r="BG139" s="101"/>
      <c r="BH139" s="101"/>
      <c r="BI139" s="101"/>
      <c r="BJ139" s="101"/>
      <c r="BK139" s="110"/>
      <c r="BL139" s="90"/>
      <c r="BM139" s="94"/>
      <c r="BN139" s="95"/>
      <c r="BO139" s="96" t="s">
        <v>400</v>
      </c>
    </row>
    <row r="140" spans="1:67" x14ac:dyDescent="0.45">
      <c r="A140" s="46">
        <v>139</v>
      </c>
      <c r="B140" s="1" t="s">
        <v>1175</v>
      </c>
      <c r="C140" s="17" t="str">
        <f t="shared" si="16"/>
        <v>미이행</v>
      </c>
      <c r="D140" s="17" t="str">
        <f t="shared" si="22"/>
        <v>조사완료</v>
      </c>
      <c r="E140" s="3" t="s">
        <v>1517</v>
      </c>
      <c r="F140" s="3" t="s">
        <v>401</v>
      </c>
      <c r="G140" s="2" t="s">
        <v>1518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MATCH($BO140, 입력!$Z$2:$Z$500, 0)) &amp; "", "")</f>
        <v/>
      </c>
      <c r="S140" s="64" t="str">
        <f>IFERROR(INDEX(입력!$K$2:$K$500, MATCH($BO140,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si="21"/>
        <v>1</v>
      </c>
      <c r="X140" s="1">
        <v>0</v>
      </c>
      <c r="Y140" s="64" t="str">
        <f>IFERROR(INDEX(입력!$M$2:$M$500, MATCH($BO140, 입력!$Z$2:$Z$500, 0)) &amp; "", "")</f>
        <v/>
      </c>
      <c r="Z140" s="64" t="str">
        <f>IFERROR(INDEX(입력!$N$2:$N$500, MATCH($BO140, 입력!$Z$2:$Z$500, 0)) &amp; "", "")</f>
        <v/>
      </c>
      <c r="AA140" s="64">
        <f>MAX(0, 표1[[#This Row],[의무_시설]]-표1[[#This Row],[시설합]])</f>
        <v>19</v>
      </c>
      <c r="AB140" s="17" t="str">
        <f t="shared" si="23"/>
        <v>미이행</v>
      </c>
      <c r="AC140" s="64" t="str">
        <f>IFERROR(INDEX(입력!$P$2:$P$500, MATCH($BO140, 입력!$Z$2:$Z$500, 0)) &amp; "", "")</f>
        <v/>
      </c>
      <c r="AD140" s="64" t="str">
        <f>IFERROR(INDEX(입력!$Q$2:$Q$500, MATCH($BO140, 입력!$Z$2:$Z$500, 0)) &amp; "", "")</f>
        <v/>
      </c>
      <c r="AE140" s="64" t="str">
        <f>IFERROR(INDEX(입력!$R$2:$R$500, MATCH($BO140, 입력!$Z$2:$Z$500, 0)) &amp; "", "")</f>
        <v/>
      </c>
      <c r="AF140" s="64" t="str">
        <f>IFERROR(INDEX(입력!$S$2:$S$500, MATCH($BO140, 입력!$Z$2:$Z$500, 0)) &amp; "", "")</f>
        <v/>
      </c>
      <c r="AG140" s="64" t="str">
        <f>IFERROR(INDEX(입력!$T$2:$T$500, MATCH($BO140, 입력!$Z$2:$Z$500, 0)) &amp; "", "")</f>
        <v>부</v>
      </c>
      <c r="AH140" s="64" t="str">
        <f>IFERROR(INDEX(입력!$U$2:$U$500, MATCH($BO140, 입력!$Z$2:$Z$500, 0)) &amp; "", "")</f>
        <v/>
      </c>
      <c r="AI140" s="64" t="str">
        <f>IFERROR(INDEX(입력!$V$2:$V$500, MATCH($BO140, 입력!$Z$2:$Z$500, 0)) &amp; "", "")</f>
        <v>여</v>
      </c>
      <c r="AJ140" s="44" t="str">
        <f>IFERROR(INDEX(입력!$W$2:$W$500, MATCH($BO140, 입력!$Z$2:$Z$500, 0)) &amp; "", "")</f>
        <v>백형준</v>
      </c>
      <c r="AK140" s="44" t="str">
        <f>IFERROR(INDEX(입력!$X$2:$X$500, MATCH($BO140, 입력!$Z$2:$Z$500, 0)) &amp; "", "")</f>
        <v>010-3025-4277</v>
      </c>
      <c r="AL140" s="2" t="s">
        <v>1519</v>
      </c>
      <c r="AM140" s="17" t="s">
        <v>1060</v>
      </c>
      <c r="AN140" s="83"/>
      <c r="AO140" s="17" t="s">
        <v>1059</v>
      </c>
      <c r="AP140" s="101" t="s">
        <v>1520</v>
      </c>
      <c r="AQ140" s="108"/>
      <c r="AR140" s="22"/>
      <c r="AS140" s="114" t="s">
        <v>3125</v>
      </c>
      <c r="AT140" s="109">
        <v>46104</v>
      </c>
      <c r="AU140" s="101" t="s">
        <v>3141</v>
      </c>
      <c r="AV140" s="114" t="s">
        <v>3189</v>
      </c>
      <c r="AW140" s="101"/>
      <c r="AX140" s="101"/>
      <c r="AY140" s="83" t="s">
        <v>3131</v>
      </c>
      <c r="AZ140" s="71" t="str">
        <f>IFERROR(IF(INDEX(입력!$C$2:$C$500, MATCH($BO140, 입력!$Z$2:$Z$500, 0))="", "", TEXT(INDEX(입력!$C$2:$C$500, MATCH($BO140, 입력!$Z$2:$Z$500, 0)), "yyyy-mm-dd")), "")</f>
        <v>2026-04-17</v>
      </c>
      <c r="BA140" s="44" t="str">
        <f>IFERROR(INDEX(입력!$B$2:$B$500, MATCH($BO140, 입력!$Z$2:$Z$500, 0)) &amp; "", "")</f>
        <v>이승수</v>
      </c>
      <c r="BB140" s="83" t="str">
        <f>IFERROR(INDEX(입력!$Y$2:$Y$500, MATCH($BO140, 입력!$Z$2:$Z$500, 0)) &amp; "", "")</f>
        <v>주차공간부족. 계획중.</v>
      </c>
      <c r="BC140" s="83" t="s">
        <v>3198</v>
      </c>
      <c r="BD140" s="83"/>
      <c r="BE140" s="101" t="s">
        <v>1179</v>
      </c>
      <c r="BF140" s="109">
        <v>46164</v>
      </c>
      <c r="BG140" s="101" t="s">
        <v>1059</v>
      </c>
      <c r="BH140" s="101" t="s">
        <v>3955</v>
      </c>
      <c r="BI140" s="101" t="s">
        <v>3974</v>
      </c>
      <c r="BJ140" s="101"/>
      <c r="BK140" s="110" t="s">
        <v>3975</v>
      </c>
      <c r="BL140" s="21"/>
      <c r="BM140" s="22"/>
      <c r="BN140" s="23"/>
      <c r="BO140" s="47" t="s">
        <v>402</v>
      </c>
    </row>
    <row r="141" spans="1:67" x14ac:dyDescent="0.45">
      <c r="A141" s="19">
        <v>140</v>
      </c>
      <c r="B141" s="1" t="s">
        <v>1175</v>
      </c>
      <c r="C141" s="17" t="str">
        <f t="shared" si="16"/>
        <v>이행완료</v>
      </c>
      <c r="D141" s="17" t="str">
        <f t="shared" si="22"/>
        <v>조사완료</v>
      </c>
      <c r="E141" s="3" t="s">
        <v>1521</v>
      </c>
      <c r="F141" s="3" t="s">
        <v>403</v>
      </c>
      <c r="G141" s="3" t="s">
        <v>1522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MATCH($BO141, 입력!$Z$2:$Z$500, 0)) &amp; "", "")</f>
        <v>3</v>
      </c>
      <c r="S141" s="64" t="str">
        <f>IFERROR(INDEX(입력!$K$2:$K$500, MATCH($BO141,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 t="str">
        <f t="shared" si="21"/>
        <v/>
      </c>
      <c r="X141" s="1">
        <v>3</v>
      </c>
      <c r="Y141" s="64" t="str">
        <f>IFERROR(INDEX(입력!$M$2:$M$500, MATCH($BO141, 입력!$Z$2:$Z$500, 0)) &amp; "", "")</f>
        <v/>
      </c>
      <c r="Z141" s="64" t="str">
        <f>IFERROR(INDEX(입력!$N$2:$N$500, MATCH($BO141, 입력!$Z$2:$Z$500, 0)) &amp; "", "")</f>
        <v>3</v>
      </c>
      <c r="AA141" s="64">
        <f>MAX(0, 표1[[#This Row],[의무_시설]]-표1[[#This Row],[시설합]])</f>
        <v>0</v>
      </c>
      <c r="AB141" s="17" t="str">
        <f t="shared" si="23"/>
        <v>이행완료</v>
      </c>
      <c r="AC141" s="64" t="str">
        <f>IFERROR(INDEX(입력!$P$2:$P$500, MATCH($BO141, 입력!$Z$2:$Z$500, 0)) &amp; "", "")</f>
        <v/>
      </c>
      <c r="AD141" s="64" t="str">
        <f>IFERROR(INDEX(입력!$Q$2:$Q$500, MATCH($BO141, 입력!$Z$2:$Z$500, 0)) &amp; "", "")</f>
        <v/>
      </c>
      <c r="AE141" s="64" t="str">
        <f>IFERROR(INDEX(입력!$R$2:$R$500, MATCH($BO141, 입력!$Z$2:$Z$500, 0)) &amp; "", "")</f>
        <v>여</v>
      </c>
      <c r="AF141" s="64" t="str">
        <f>IFERROR(INDEX(입력!$S$2:$S$500, MATCH($BO141, 입력!$Z$2:$Z$500, 0)) &amp; "", "")</f>
        <v>여</v>
      </c>
      <c r="AG141" s="64" t="str">
        <f>IFERROR(INDEX(입력!$T$2:$T$500, MATCH($BO141, 입력!$Z$2:$Z$500, 0)) &amp; "", "")</f>
        <v/>
      </c>
      <c r="AH141" s="64" t="str">
        <f>IFERROR(INDEX(입력!$U$2:$U$500, MATCH($BO141, 입력!$Z$2:$Z$500, 0)) &amp; "", "")</f>
        <v/>
      </c>
      <c r="AI141" s="64" t="str">
        <f>IFERROR(INDEX(입력!$V$2:$V$500, MATCH($BO141, 입력!$Z$2:$Z$500, 0)) &amp; "", "")</f>
        <v>여</v>
      </c>
      <c r="AJ141" s="44" t="str">
        <f>IFERROR(INDEX(입력!$W$2:$W$500, MATCH($BO141, 입력!$Z$2:$Z$500, 0)) &amp; "", "")</f>
        <v>박조익</v>
      </c>
      <c r="AK141" s="44" t="str">
        <f>IFERROR(INDEX(입력!$X$2:$X$500, MATCH($BO141, 입력!$Z$2:$Z$500, 0)) &amp; "", "")</f>
        <v>010-2873-0748</v>
      </c>
      <c r="AL141" s="2" t="s">
        <v>1523</v>
      </c>
      <c r="AM141" s="17" t="s">
        <v>1060</v>
      </c>
      <c r="AN141" s="83"/>
      <c r="AO141" s="17" t="s">
        <v>1067</v>
      </c>
      <c r="AP141" s="2" t="s">
        <v>1524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3137</v>
      </c>
      <c r="AZ141" s="71" t="str">
        <f>IFERROR(IF(INDEX(입력!$C$2:$C$500, MATCH($BO141, 입력!$Z$2:$Z$500, 0))="", "", TEXT(INDEX(입력!$C$2:$C$500, MATCH($BO141, 입력!$Z$2:$Z$500, 0)), "yyyy-mm-dd")), "")</f>
        <v>2026-05-11</v>
      </c>
      <c r="BA141" s="44" t="str">
        <f>IFERROR(INDEX(입력!$B$2:$B$500, MATCH($BO141, 입력!$Z$2:$Z$500, 0)) &amp; "", "")</f>
        <v>이승수</v>
      </c>
      <c r="BB141" s="83" t="str">
        <f>IFERROR(INDEX(입력!$Y$2:$Y$500, MATCH($BO141, 입력!$Z$2:$Z$500, 0)) &amp; "", "")</f>
        <v/>
      </c>
      <c r="BC141" s="83" t="s">
        <v>3112</v>
      </c>
      <c r="BD141" s="83"/>
      <c r="BE141" s="101"/>
      <c r="BF141" s="101"/>
      <c r="BG141" s="101"/>
      <c r="BH141" s="101"/>
      <c r="BI141" s="101"/>
      <c r="BJ141" s="101"/>
      <c r="BK141" s="110"/>
      <c r="BL141" s="21"/>
      <c r="BM141" s="22"/>
      <c r="BN141" s="23"/>
      <c r="BO141" s="47" t="s">
        <v>404</v>
      </c>
    </row>
    <row r="142" spans="1:67" x14ac:dyDescent="0.45">
      <c r="A142" s="46">
        <v>141</v>
      </c>
      <c r="B142" s="1" t="s">
        <v>1175</v>
      </c>
      <c r="C142" s="17" t="str">
        <f t="shared" si="16"/>
        <v>이행완료</v>
      </c>
      <c r="D142" s="17" t="str">
        <f t="shared" si="22"/>
        <v>조사완료</v>
      </c>
      <c r="E142" s="3" t="s">
        <v>1525</v>
      </c>
      <c r="F142" s="3" t="s">
        <v>405</v>
      </c>
      <c r="G142" s="3" t="s">
        <v>1526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MATCH($BO142, 입력!$Z$2:$Z$500, 0)) &amp; "", "")</f>
        <v>3</v>
      </c>
      <c r="S142" s="64" t="str">
        <f>IFERROR(INDEX(입력!$K$2:$K$500, MATCH($BO142,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 t="str">
        <f t="shared" si="21"/>
        <v/>
      </c>
      <c r="X142" s="1">
        <v>3</v>
      </c>
      <c r="Y142" s="64" t="str">
        <f>IFERROR(INDEX(입력!$M$2:$M$500, MATCH($BO142, 입력!$Z$2:$Z$500, 0)) &amp; "", "")</f>
        <v/>
      </c>
      <c r="Z142" s="64" t="str">
        <f>IFERROR(INDEX(입력!$N$2:$N$500, MATCH($BO142, 입력!$Z$2:$Z$500, 0)) &amp; "", "")</f>
        <v>3</v>
      </c>
      <c r="AA142" s="64">
        <f>MAX(0, 표1[[#This Row],[의무_시설]]-표1[[#This Row],[시설합]])</f>
        <v>0</v>
      </c>
      <c r="AB142" s="17" t="str">
        <f t="shared" si="23"/>
        <v>이행완료</v>
      </c>
      <c r="AC142" s="64" t="str">
        <f>IFERROR(INDEX(입력!$P$2:$P$500, MATCH($BO142, 입력!$Z$2:$Z$500, 0)) &amp; "", "")</f>
        <v/>
      </c>
      <c r="AD142" s="64" t="str">
        <f>IFERROR(INDEX(입력!$Q$2:$Q$500, MATCH($BO142, 입력!$Z$2:$Z$500, 0)) &amp; "", "")</f>
        <v/>
      </c>
      <c r="AE142" s="64" t="str">
        <f>IFERROR(INDEX(입력!$R$2:$R$500, MATCH($BO142, 입력!$Z$2:$Z$500, 0)) &amp; "", "")</f>
        <v>여</v>
      </c>
      <c r="AF142" s="64" t="str">
        <f>IFERROR(INDEX(입력!$S$2:$S$500, MATCH($BO142, 입력!$Z$2:$Z$500, 0)) &amp; "", "")</f>
        <v>여</v>
      </c>
      <c r="AG142" s="64" t="str">
        <f>IFERROR(INDEX(입력!$T$2:$T$500, MATCH($BO142, 입력!$Z$2:$Z$500, 0)) &amp; "", "")</f>
        <v/>
      </c>
      <c r="AH142" s="64" t="str">
        <f>IFERROR(INDEX(입력!$U$2:$U$500, MATCH($BO142, 입력!$Z$2:$Z$500, 0)) &amp; "", "")</f>
        <v/>
      </c>
      <c r="AI142" s="64" t="str">
        <f>IFERROR(INDEX(입력!$V$2:$V$500, MATCH($BO142, 입력!$Z$2:$Z$500, 0)) &amp; "", "")</f>
        <v>여</v>
      </c>
      <c r="AJ142" s="44" t="str">
        <f>IFERROR(INDEX(입력!$W$2:$W$500, MATCH($BO142, 입력!$Z$2:$Z$500, 0)) &amp; "", "")</f>
        <v>유성인</v>
      </c>
      <c r="AK142" s="44" t="str">
        <f>IFERROR(INDEX(입력!$X$2:$X$500, MATCH($BO142, 입력!$Z$2:$Z$500, 0)) &amp; "", "")</f>
        <v>010-3617-8910</v>
      </c>
      <c r="AL142" s="2" t="s">
        <v>1527</v>
      </c>
      <c r="AM142" s="17" t="s">
        <v>1060</v>
      </c>
      <c r="AN142" s="83"/>
      <c r="AO142" s="17" t="s">
        <v>1067</v>
      </c>
      <c r="AP142" s="2" t="s">
        <v>1528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3137</v>
      </c>
      <c r="AZ142" s="71" t="str">
        <f>IFERROR(IF(INDEX(입력!$C$2:$C$500, MATCH($BO142, 입력!$Z$2:$Z$500, 0))="", "", TEXT(INDEX(입력!$C$2:$C$500, MATCH($BO142, 입력!$Z$2:$Z$500, 0)), "yyyy-mm-dd")), "")</f>
        <v>2026-05-04</v>
      </c>
      <c r="BA142" s="44" t="str">
        <f>IFERROR(INDEX(입력!$B$2:$B$500, MATCH($BO142, 입력!$Z$2:$Z$500, 0)) &amp; "", "")</f>
        <v>노기섭</v>
      </c>
      <c r="BB142" s="83" t="str">
        <f>IFERROR(INDEX(입력!$Y$2:$Y$500, MATCH($BO142, 입력!$Z$2:$Z$500, 0)) &amp; "", "")</f>
        <v/>
      </c>
      <c r="BC142" s="83" t="s">
        <v>3112</v>
      </c>
      <c r="BD142" s="83"/>
      <c r="BE142" s="101"/>
      <c r="BF142" s="101"/>
      <c r="BG142" s="101"/>
      <c r="BH142" s="101"/>
      <c r="BI142" s="101"/>
      <c r="BJ142" s="101"/>
      <c r="BK142" s="110"/>
      <c r="BL142" s="21"/>
      <c r="BM142" s="22"/>
      <c r="BN142" s="23"/>
      <c r="BO142" s="47" t="s">
        <v>406</v>
      </c>
    </row>
    <row r="143" spans="1:67" x14ac:dyDescent="0.45">
      <c r="A143" s="19">
        <v>142</v>
      </c>
      <c r="B143" s="1" t="s">
        <v>1175</v>
      </c>
      <c r="C143" s="17" t="str">
        <f t="shared" si="16"/>
        <v>미이행</v>
      </c>
      <c r="D143" s="17" t="str">
        <f t="shared" si="22"/>
        <v>조사완료</v>
      </c>
      <c r="E143" s="3" t="s">
        <v>1529</v>
      </c>
      <c r="F143" s="3" t="s">
        <v>407</v>
      </c>
      <c r="G143" s="9" t="s">
        <v>1530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MATCH($BO143, 입력!$Z$2:$Z$500, 0)) &amp; "", "")</f>
        <v/>
      </c>
      <c r="S143" s="64" t="str">
        <f>IFERROR(INDEX(입력!$K$2:$K$500, MATCH($BO143,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 t="str">
        <f t="shared" si="21"/>
        <v/>
      </c>
      <c r="X143" s="1">
        <v>0</v>
      </c>
      <c r="Y143" s="64" t="str">
        <f>IFERROR(INDEX(입력!$M$2:$M$500, MATCH($BO143, 입력!$Z$2:$Z$500, 0)) &amp; "", "")</f>
        <v/>
      </c>
      <c r="Z143" s="64" t="str">
        <f>IFERROR(INDEX(입력!$N$2:$N$500, MATCH($BO143, 입력!$Z$2:$Z$500, 0)) &amp; "", "")</f>
        <v/>
      </c>
      <c r="AA143" s="64">
        <f>MAX(0, 표1[[#This Row],[의무_시설]]-표1[[#This Row],[시설합]])</f>
        <v>2</v>
      </c>
      <c r="AB143" s="17" t="str">
        <f t="shared" si="23"/>
        <v>미이행</v>
      </c>
      <c r="AC143" s="64" t="str">
        <f>IFERROR(INDEX(입력!$P$2:$P$500, MATCH($BO143, 입력!$Z$2:$Z$500, 0)) &amp; "", "")</f>
        <v/>
      </c>
      <c r="AD143" s="64" t="str">
        <f>IFERROR(INDEX(입력!$Q$2:$Q$500, MATCH($BO143, 입력!$Z$2:$Z$500, 0)) &amp; "", "")</f>
        <v/>
      </c>
      <c r="AE143" s="64" t="str">
        <f>IFERROR(INDEX(입력!$R$2:$R$500, MATCH($BO143, 입력!$Z$2:$Z$500, 0)) &amp; "", "")</f>
        <v/>
      </c>
      <c r="AF143" s="64" t="str">
        <f>IFERROR(INDEX(입력!$S$2:$S$500, MATCH($BO143, 입력!$Z$2:$Z$500, 0)) &amp; "", "")</f>
        <v/>
      </c>
      <c r="AG143" s="64" t="str">
        <f>IFERROR(INDEX(입력!$T$2:$T$500, MATCH($BO143, 입력!$Z$2:$Z$500, 0)) &amp; "", "")</f>
        <v/>
      </c>
      <c r="AH143" s="64" t="str">
        <f>IFERROR(INDEX(입력!$U$2:$U$500, MATCH($BO143, 입력!$Z$2:$Z$500, 0)) &amp; "", "")</f>
        <v/>
      </c>
      <c r="AI143" s="64" t="str">
        <f>IFERROR(INDEX(입력!$V$2:$V$500, MATCH($BO143, 입력!$Z$2:$Z$500, 0)) &amp; "", "")</f>
        <v>여</v>
      </c>
      <c r="AJ143" s="44" t="str">
        <f>IFERROR(INDEX(입력!$W$2:$W$500, MATCH($BO143, 입력!$Z$2:$Z$500, 0)) &amp; "", "")</f>
        <v>이경란</v>
      </c>
      <c r="AK143" s="44" t="str">
        <f>IFERROR(INDEX(입력!$X$2:$X$500, MATCH($BO143, 입력!$Z$2:$Z$500, 0)) &amp; "", "")</f>
        <v>010-4004-8750</v>
      </c>
      <c r="AL143" s="2" t="s">
        <v>3786</v>
      </c>
      <c r="AM143" s="17" t="s">
        <v>1179</v>
      </c>
      <c r="AN143" s="113">
        <v>46045</v>
      </c>
      <c r="AO143" s="17" t="s">
        <v>1059</v>
      </c>
      <c r="AP143" s="101" t="s">
        <v>3258</v>
      </c>
      <c r="AQ143" s="108"/>
      <c r="AR143" s="22" t="s">
        <v>1531</v>
      </c>
      <c r="AS143" s="114" t="s">
        <v>3163</v>
      </c>
      <c r="AT143" s="109">
        <v>46104</v>
      </c>
      <c r="AU143" s="101" t="s">
        <v>3126</v>
      </c>
      <c r="AV143" s="114" t="s">
        <v>3259</v>
      </c>
      <c r="AW143" s="101"/>
      <c r="AX143" s="101" t="s">
        <v>3260</v>
      </c>
      <c r="AY143" s="83" t="s">
        <v>3137</v>
      </c>
      <c r="AZ143" s="71" t="str">
        <f>IFERROR(IF(INDEX(입력!$C$2:$C$500, MATCH($BO143, 입력!$Z$2:$Z$500, 0))="", "", TEXT(INDEX(입력!$C$2:$C$500, MATCH($BO143, 입력!$Z$2:$Z$500, 0)), "yyyy-mm-dd")), "")</f>
        <v>2026-04-22</v>
      </c>
      <c r="BA143" s="44" t="str">
        <f>IFERROR(INDEX(입력!$B$2:$B$500, MATCH($BO143, 입력!$Z$2:$Z$500, 0)) &amp; "", "")</f>
        <v>노기섭</v>
      </c>
      <c r="BB143" s="83" t="str">
        <f>IFERROR(INDEX(입력!$Y$2:$Y$500, MATCH($BO143, 입력!$Z$2:$Z$500, 0)) &amp; "", "")</f>
        <v>26.12월까지 설치예정.</v>
      </c>
      <c r="BC143" s="83" t="s">
        <v>3169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3955</v>
      </c>
      <c r="BI143" s="101" t="s">
        <v>3976</v>
      </c>
      <c r="BJ143" s="101"/>
      <c r="BK143" s="110" t="s">
        <v>3975</v>
      </c>
      <c r="BL143" s="21"/>
      <c r="BM143" s="22"/>
      <c r="BN143" s="27" t="s">
        <v>1532</v>
      </c>
      <c r="BO143" s="47" t="s">
        <v>408</v>
      </c>
    </row>
    <row r="144" spans="1:67" x14ac:dyDescent="0.45">
      <c r="A144" s="46">
        <v>143</v>
      </c>
      <c r="B144" s="1" t="s">
        <v>1175</v>
      </c>
      <c r="C144" s="17" t="str">
        <f t="shared" si="16"/>
        <v>미이행</v>
      </c>
      <c r="D144" s="17" t="str">
        <f t="shared" si="22"/>
        <v>조사완료</v>
      </c>
      <c r="E144" s="4" t="s">
        <v>1533</v>
      </c>
      <c r="F144" s="4" t="s">
        <v>409</v>
      </c>
      <c r="G144" s="4" t="s">
        <v>3990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MATCH($BO144, 입력!$Z$2:$Z$500, 0)) &amp; "", "")</f>
        <v/>
      </c>
      <c r="S144" s="64" t="str">
        <f>IFERROR(INDEX(입력!$K$2:$K$500, MATCH($BO144,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 t="str">
        <f t="shared" si="21"/>
        <v/>
      </c>
      <c r="X144" s="1">
        <v>0</v>
      </c>
      <c r="Y144" s="64" t="str">
        <f>IFERROR(INDEX(입력!$M$2:$M$500, MATCH($BO144, 입력!$Z$2:$Z$500, 0)) &amp; "", "")</f>
        <v/>
      </c>
      <c r="Z144" s="64" t="str">
        <f>IFERROR(INDEX(입력!$N$2:$N$500, MATCH($BO144, 입력!$Z$2:$Z$500, 0)) &amp; "", "")</f>
        <v/>
      </c>
      <c r="AA144" s="64">
        <f>MAX(0, 표1[[#This Row],[의무_시설]]-표1[[#This Row],[시설합]])</f>
        <v>1</v>
      </c>
      <c r="AB144" s="17" t="str">
        <f t="shared" si="23"/>
        <v>미이행</v>
      </c>
      <c r="AC144" s="64" t="str">
        <f>IFERROR(INDEX(입력!$P$2:$P$500, MATCH($BO144, 입력!$Z$2:$Z$500, 0)) &amp; "", "")</f>
        <v/>
      </c>
      <c r="AD144" s="64" t="str">
        <f>IFERROR(INDEX(입력!$Q$2:$Q$500, MATCH($BO144, 입력!$Z$2:$Z$500, 0)) &amp; "", "")</f>
        <v/>
      </c>
      <c r="AE144" s="64" t="str">
        <f>IFERROR(INDEX(입력!$R$2:$R$500, MATCH($BO144, 입력!$Z$2:$Z$500, 0)) &amp; "", "")</f>
        <v/>
      </c>
      <c r="AF144" s="64" t="str">
        <f>IFERROR(INDEX(입력!$S$2:$S$500, MATCH($BO144, 입력!$Z$2:$Z$500, 0)) &amp; "", "")</f>
        <v/>
      </c>
      <c r="AG144" s="64" t="str">
        <f>IFERROR(INDEX(입력!$T$2:$T$500, MATCH($BO144, 입력!$Z$2:$Z$500, 0)) &amp; "", "")</f>
        <v/>
      </c>
      <c r="AH144" s="64" t="str">
        <f>IFERROR(INDEX(입력!$U$2:$U$500, MATCH($BO144, 입력!$Z$2:$Z$500, 0)) &amp; "", "")</f>
        <v/>
      </c>
      <c r="AI144" s="64" t="str">
        <f>IFERROR(INDEX(입력!$V$2:$V$500, MATCH($BO144, 입력!$Z$2:$Z$500, 0)) &amp; "", "")</f>
        <v>여</v>
      </c>
      <c r="AJ144" s="44" t="str">
        <f>IFERROR(INDEX(입력!$W$2:$W$500, MATCH($BO144, 입력!$Z$2:$Z$500, 0)) &amp; "", "")</f>
        <v>조윤형</v>
      </c>
      <c r="AK144" s="44" t="str">
        <f>IFERROR(INDEX(입력!$X$2:$X$500, MATCH($BO144, 입력!$Z$2:$Z$500, 0)) &amp; "", "")</f>
        <v>954-3456</v>
      </c>
      <c r="AL144" s="2" t="s">
        <v>1534</v>
      </c>
      <c r="AM144" s="17" t="s">
        <v>1179</v>
      </c>
      <c r="AN144" s="113">
        <v>46045</v>
      </c>
      <c r="AO144" s="17" t="s">
        <v>1059</v>
      </c>
      <c r="AP144" s="101" t="s">
        <v>3261</v>
      </c>
      <c r="AQ144" s="108"/>
      <c r="AR144" s="22"/>
      <c r="AS144" s="114" t="s">
        <v>3163</v>
      </c>
      <c r="AT144" s="109">
        <v>46104</v>
      </c>
      <c r="AU144" s="101" t="s">
        <v>3126</v>
      </c>
      <c r="AV144" s="114" t="s">
        <v>3186</v>
      </c>
      <c r="AW144" s="101"/>
      <c r="AX144" s="101"/>
      <c r="AY144" s="83" t="s">
        <v>3137</v>
      </c>
      <c r="AZ144" s="71" t="str">
        <f>IFERROR(IF(INDEX(입력!$C$2:$C$500, MATCH($BO144, 입력!$Z$2:$Z$500, 0))="", "", TEXT(INDEX(입력!$C$2:$C$500, MATCH($BO144, 입력!$Z$2:$Z$500, 0)), "yyyy-mm-dd")), "")</f>
        <v>2026-04-23</v>
      </c>
      <c r="BA144" s="44" t="str">
        <f>IFERROR(INDEX(입력!$B$2:$B$500, MATCH($BO144, 입력!$Z$2:$Z$500, 0)) &amp; "", "")</f>
        <v>노기섭</v>
      </c>
      <c r="BB144" s="83" t="str">
        <f>IFERROR(INDEX(입력!$Y$2:$Y$500, MATCH($BO144, 입력!$Z$2:$Z$500, 0)) &amp; "", "")</f>
        <v>26.12월 안으로 설치예정.</v>
      </c>
      <c r="BC144" s="83" t="s">
        <v>3159</v>
      </c>
      <c r="BD144" s="83"/>
      <c r="BE144" s="101" t="s">
        <v>1179</v>
      </c>
      <c r="BF144" s="109">
        <v>46164</v>
      </c>
      <c r="BG144" s="101" t="s">
        <v>1059</v>
      </c>
      <c r="BH144" s="101" t="s">
        <v>3955</v>
      </c>
      <c r="BI144" s="101" t="s">
        <v>3977</v>
      </c>
      <c r="BJ144" s="101"/>
      <c r="BK144" s="110" t="s">
        <v>3975</v>
      </c>
      <c r="BL144" s="21"/>
      <c r="BM144" s="22"/>
      <c r="BN144" s="23"/>
      <c r="BO144" s="47" t="s">
        <v>410</v>
      </c>
    </row>
    <row r="145" spans="1:67" x14ac:dyDescent="0.45">
      <c r="A145" s="19">
        <v>144</v>
      </c>
      <c r="B145" s="1" t="s">
        <v>1175</v>
      </c>
      <c r="C145" s="17" t="str">
        <f t="shared" si="16"/>
        <v>이행완료</v>
      </c>
      <c r="D145" s="17" t="str">
        <f t="shared" si="22"/>
        <v>조사완료</v>
      </c>
      <c r="E145" s="3" t="s">
        <v>1535</v>
      </c>
      <c r="F145" s="3" t="s">
        <v>411</v>
      </c>
      <c r="G145" s="3" t="s">
        <v>1536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MATCH($BO145, 입력!$Z$2:$Z$500, 0)) &amp; "", "")</f>
        <v>16</v>
      </c>
      <c r="S145" s="64" t="str">
        <f>IFERROR(INDEX(입력!$K$2:$K$500, MATCH($BO145,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1"/>
        <v>1</v>
      </c>
      <c r="X145" s="1">
        <v>16</v>
      </c>
      <c r="Y145" s="64" t="str">
        <f>IFERROR(INDEX(입력!$M$2:$M$500, MATCH($BO145, 입력!$Z$2:$Z$500, 0)) &amp; "", "")</f>
        <v>1</v>
      </c>
      <c r="Z145" s="64" t="str">
        <f>IFERROR(INDEX(입력!$N$2:$N$500, MATCH($BO145,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3"/>
        <v>이행완료</v>
      </c>
      <c r="AC145" s="64" t="str">
        <f>IFERROR(INDEX(입력!$P$2:$P$500, MATCH($BO145, 입력!$Z$2:$Z$500, 0)) &amp; "", "")</f>
        <v/>
      </c>
      <c r="AD145" s="64" t="str">
        <f>IFERROR(INDEX(입력!$Q$2:$Q$500, MATCH($BO145, 입력!$Z$2:$Z$500, 0)) &amp; "", "")</f>
        <v/>
      </c>
      <c r="AE145" s="64" t="str">
        <f>IFERROR(INDEX(입력!$R$2:$R$500, MATCH($BO145, 입력!$Z$2:$Z$500, 0)) &amp; "", "")</f>
        <v>부</v>
      </c>
      <c r="AF145" s="64" t="str">
        <f>IFERROR(INDEX(입력!$S$2:$S$500, MATCH($BO145, 입력!$Z$2:$Z$500, 0)) &amp; "", "")</f>
        <v>부</v>
      </c>
      <c r="AG145" s="64" t="str">
        <f>IFERROR(INDEX(입력!$T$2:$T$500, MATCH($BO145, 입력!$Z$2:$Z$500, 0)) &amp; "", "")</f>
        <v/>
      </c>
      <c r="AH145" s="64" t="str">
        <f>IFERROR(INDEX(입력!$U$2:$U$500, MATCH($BO145, 입력!$Z$2:$Z$500, 0)) &amp; "", "")</f>
        <v/>
      </c>
      <c r="AI145" s="64" t="str">
        <f>IFERROR(INDEX(입력!$V$2:$V$500, MATCH($BO145, 입력!$Z$2:$Z$500, 0)) &amp; "", "")</f>
        <v>여</v>
      </c>
      <c r="AJ145" s="44" t="str">
        <f>IFERROR(INDEX(입력!$W$2:$W$500, MATCH($BO145, 입력!$Z$2:$Z$500, 0)) &amp; "", "")</f>
        <v>최정호</v>
      </c>
      <c r="AK145" s="44" t="str">
        <f>IFERROR(INDEX(입력!$X$2:$X$500, MATCH($BO145, 입력!$Z$2:$Z$500, 0)) &amp; "", "")</f>
        <v>010-4550-0430</v>
      </c>
      <c r="AL145" s="2" t="s">
        <v>1537</v>
      </c>
      <c r="AM145" s="17" t="s">
        <v>1060</v>
      </c>
      <c r="AN145" s="83"/>
      <c r="AO145" s="17" t="s">
        <v>1067</v>
      </c>
      <c r="AP145" s="2" t="s">
        <v>1524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3137</v>
      </c>
      <c r="AZ145" s="71" t="str">
        <f>IFERROR(IF(INDEX(입력!$C$2:$C$500, MATCH($BO145, 입력!$Z$2:$Z$500, 0))="", "", TEXT(INDEX(입력!$C$2:$C$500, MATCH($BO145, 입력!$Z$2:$Z$500, 0)), "yyyy-mm-dd")), "")</f>
        <v>2026-05-08</v>
      </c>
      <c r="BA145" s="44" t="str">
        <f>IFERROR(INDEX(입력!$B$2:$B$500, MATCH($BO145, 입력!$Z$2:$Z$500, 0)) &amp; "", "")</f>
        <v>이승수</v>
      </c>
      <c r="BB145" s="83" t="str">
        <f>IFERROR(INDEX(입력!$Y$2:$Y$500, MATCH($BO145, 입력!$Z$2:$Z$500, 0)) &amp; "", "")</f>
        <v/>
      </c>
      <c r="BC145" s="83" t="s">
        <v>3112</v>
      </c>
      <c r="BD145" s="83"/>
      <c r="BE145" s="101"/>
      <c r="BF145" s="101"/>
      <c r="BG145" s="101"/>
      <c r="BH145" s="101"/>
      <c r="BI145" s="101"/>
      <c r="BJ145" s="101"/>
      <c r="BK145" s="110"/>
      <c r="BL145" s="21" t="s">
        <v>1538</v>
      </c>
      <c r="BM145" s="22"/>
      <c r="BN145" s="23"/>
      <c r="BO145" s="47" t="s">
        <v>412</v>
      </c>
    </row>
    <row r="146" spans="1:67" x14ac:dyDescent="0.45">
      <c r="A146" s="46">
        <v>145</v>
      </c>
      <c r="B146" s="1" t="s">
        <v>1175</v>
      </c>
      <c r="C146" s="17" t="str">
        <f t="shared" si="16"/>
        <v>이행완료</v>
      </c>
      <c r="D146" s="17" t="str">
        <f t="shared" si="22"/>
        <v>조사완료</v>
      </c>
      <c r="E146" s="3" t="s">
        <v>1539</v>
      </c>
      <c r="F146" s="3" t="s">
        <v>413</v>
      </c>
      <c r="G146" s="8" t="s">
        <v>1540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MATCH($BO146, 입력!$Z$2:$Z$500, 0)) &amp; "", "")</f>
        <v>3</v>
      </c>
      <c r="S146" s="64" t="str">
        <f>IFERROR(INDEX(입력!$K$2:$K$500, MATCH($BO146,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 t="str">
        <f t="shared" si="21"/>
        <v/>
      </c>
      <c r="X146" s="1">
        <v>3</v>
      </c>
      <c r="Y146" s="64" t="str">
        <f>IFERROR(INDEX(입력!$M$2:$M$500, MATCH($BO146, 입력!$Z$2:$Z$500, 0)) &amp; "", "")</f>
        <v/>
      </c>
      <c r="Z146" s="64" t="str">
        <f>IFERROR(INDEX(입력!$N$2:$N$500, MATCH($BO146, 입력!$Z$2:$Z$500, 0)) &amp; "", "")</f>
        <v>3</v>
      </c>
      <c r="AA146" s="64">
        <f>MAX(0, 표1[[#This Row],[의무_시설]]-표1[[#This Row],[시설합]])</f>
        <v>0</v>
      </c>
      <c r="AB146" s="17" t="str">
        <f t="shared" si="23"/>
        <v>이행완료</v>
      </c>
      <c r="AC146" s="64" t="str">
        <f>IFERROR(INDEX(입력!$P$2:$P$500, MATCH($BO146, 입력!$Z$2:$Z$500, 0)) &amp; "", "")</f>
        <v/>
      </c>
      <c r="AD146" s="64" t="str">
        <f>IFERROR(INDEX(입력!$Q$2:$Q$500, MATCH($BO146, 입력!$Z$2:$Z$500, 0)) &amp; "", "")</f>
        <v/>
      </c>
      <c r="AE146" s="64" t="str">
        <f>IFERROR(INDEX(입력!$R$2:$R$500, MATCH($BO146, 입력!$Z$2:$Z$500, 0)) &amp; "", "")</f>
        <v>여</v>
      </c>
      <c r="AF146" s="64" t="str">
        <f>IFERROR(INDEX(입력!$S$2:$S$500, MATCH($BO146, 입력!$Z$2:$Z$500, 0)) &amp; "", "")</f>
        <v>여</v>
      </c>
      <c r="AG146" s="64" t="str">
        <f>IFERROR(INDEX(입력!$T$2:$T$500, MATCH($BO146, 입력!$Z$2:$Z$500, 0)) &amp; "", "")</f>
        <v/>
      </c>
      <c r="AH146" s="64" t="str">
        <f>IFERROR(INDEX(입력!$U$2:$U$500, MATCH($BO146, 입력!$Z$2:$Z$500, 0)) &amp; "", "")</f>
        <v/>
      </c>
      <c r="AI146" s="64" t="str">
        <f>IFERROR(INDEX(입력!$V$2:$V$500, MATCH($BO146, 입력!$Z$2:$Z$500, 0)) &amp; "", "")</f>
        <v>여</v>
      </c>
      <c r="AJ146" s="44" t="str">
        <f>IFERROR(INDEX(입력!$W$2:$W$500, MATCH($BO146, 입력!$Z$2:$Z$500, 0)) &amp; "", "")</f>
        <v>최옥주</v>
      </c>
      <c r="AK146" s="44" t="str">
        <f>IFERROR(INDEX(입력!$X$2:$X$500, MATCH($BO146, 입력!$Z$2:$Z$500, 0)) &amp; "", "")</f>
        <v>010-7139-1234</v>
      </c>
      <c r="AL146" s="2"/>
      <c r="AM146" s="17" t="s">
        <v>1179</v>
      </c>
      <c r="AN146" s="83"/>
      <c r="AO146" s="17" t="s">
        <v>1089</v>
      </c>
      <c r="AP146" s="2" t="s">
        <v>3262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3131</v>
      </c>
      <c r="AZ146" s="71" t="str">
        <f>IFERROR(IF(INDEX(입력!$C$2:$C$500, MATCH($BO146, 입력!$Z$2:$Z$500, 0))="", "", TEXT(INDEX(입력!$C$2:$C$500, MATCH($BO146, 입력!$Z$2:$Z$500, 0)), "yyyy-mm-dd")), "")</f>
        <v>2026-05-07</v>
      </c>
      <c r="BA146" s="44" t="str">
        <f>IFERROR(INDEX(입력!$B$2:$B$500, MATCH($BO146, 입력!$Z$2:$Z$500, 0)) &amp; "", "")</f>
        <v>노기섭</v>
      </c>
      <c r="BB146" s="83" t="str">
        <f>IFERROR(INDEX(입력!$Y$2:$Y$500, MATCH($BO146, 입력!$Z$2:$Z$500, 0)) &amp; "", "")</f>
        <v/>
      </c>
      <c r="BC146" s="83" t="s">
        <v>3112</v>
      </c>
      <c r="BD146" s="83"/>
      <c r="BE146" s="101"/>
      <c r="BF146" s="101"/>
      <c r="BG146" s="101"/>
      <c r="BH146" s="101"/>
      <c r="BI146" s="101"/>
      <c r="BJ146" s="101"/>
      <c r="BK146" s="110"/>
      <c r="BL146" s="21"/>
      <c r="BM146" s="22"/>
      <c r="BN146" s="23"/>
      <c r="BO146" s="47" t="s">
        <v>414</v>
      </c>
    </row>
    <row r="147" spans="1:67" ht="17" customHeight="1" x14ac:dyDescent="0.45">
      <c r="A147" s="19">
        <v>146</v>
      </c>
      <c r="B147" s="1" t="s">
        <v>1175</v>
      </c>
      <c r="C147" s="17" t="str">
        <f t="shared" si="16"/>
        <v>미이행</v>
      </c>
      <c r="D147" s="17" t="str">
        <f t="shared" si="22"/>
        <v>조사완료</v>
      </c>
      <c r="E147" s="3" t="s">
        <v>1541</v>
      </c>
      <c r="F147" s="3" t="s">
        <v>415</v>
      </c>
      <c r="G147" s="10" t="s">
        <v>1542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MATCH($BO147, 입력!$Z$2:$Z$500, 0)) &amp; "", "")</f>
        <v/>
      </c>
      <c r="S147" s="64" t="str">
        <f>IFERROR(INDEX(입력!$K$2:$K$500, MATCH($BO147,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1"/>
        <v>1</v>
      </c>
      <c r="X147" s="1">
        <v>4</v>
      </c>
      <c r="Y147" s="64" t="str">
        <f>IFERROR(INDEX(입력!$M$2:$M$500, MATCH($BO147, 입력!$Z$2:$Z$500, 0)) &amp; "", "")</f>
        <v>2</v>
      </c>
      <c r="Z147" s="64" t="str">
        <f>IFERROR(INDEX(입력!$N$2:$N$500, MATCH($BO147, 입력!$Z$2:$Z$500, 0)) &amp; "", "")</f>
        <v>2</v>
      </c>
      <c r="AA147" s="64">
        <f>MAX(0, 표1[[#This Row],[의무_시설]]-표1[[#This Row],[시설합]])</f>
        <v>1</v>
      </c>
      <c r="AB147" s="17" t="str">
        <f t="shared" si="23"/>
        <v>미이행</v>
      </c>
      <c r="AC147" s="64" t="str">
        <f>IFERROR(INDEX(입력!$P$2:$P$500, MATCH($BO147, 입력!$Z$2:$Z$500, 0)) &amp; "", "")</f>
        <v/>
      </c>
      <c r="AD147" s="64" t="str">
        <f>IFERROR(INDEX(입력!$Q$2:$Q$500, MATCH($BO147, 입력!$Z$2:$Z$500, 0)) &amp; "", "")</f>
        <v/>
      </c>
      <c r="AE147" s="64" t="str">
        <f>IFERROR(INDEX(입력!$R$2:$R$500, MATCH($BO147, 입력!$Z$2:$Z$500, 0)) &amp; "", "")</f>
        <v>여</v>
      </c>
      <c r="AF147" s="64" t="str">
        <f>IFERROR(INDEX(입력!$S$2:$S$500, MATCH($BO147, 입력!$Z$2:$Z$500, 0)) &amp; "", "")</f>
        <v>여</v>
      </c>
      <c r="AG147" s="64" t="str">
        <f>IFERROR(INDEX(입력!$T$2:$T$500, MATCH($BO147, 입력!$Z$2:$Z$500, 0)) &amp; "", "")</f>
        <v/>
      </c>
      <c r="AH147" s="64" t="str">
        <f>IFERROR(INDEX(입력!$U$2:$U$500, MATCH($BO147, 입력!$Z$2:$Z$500, 0)) &amp; "", "")</f>
        <v/>
      </c>
      <c r="AI147" s="64" t="str">
        <f>IFERROR(INDEX(입력!$V$2:$V$500, MATCH($BO147, 입력!$Z$2:$Z$500, 0)) &amp; "", "")</f>
        <v>여</v>
      </c>
      <c r="AJ147" s="44" t="str">
        <f>IFERROR(INDEX(입력!$W$2:$W$500, MATCH($BO147, 입력!$Z$2:$Z$500, 0)) &amp; "", "")</f>
        <v>박복희</v>
      </c>
      <c r="AK147" s="44" t="str">
        <f>IFERROR(INDEX(입력!$X$2:$X$500, MATCH($BO147, 입력!$Z$2:$Z$500, 0)) &amp; "", "")</f>
        <v>951-1696</v>
      </c>
      <c r="AL147" s="2" t="s">
        <v>1543</v>
      </c>
      <c r="AM147" s="17" t="s">
        <v>3167</v>
      </c>
      <c r="AN147" s="113">
        <v>46114</v>
      </c>
      <c r="AO147" s="17" t="s">
        <v>1089</v>
      </c>
      <c r="AP147" s="116" t="s">
        <v>3263</v>
      </c>
      <c r="AQ147" s="108"/>
      <c r="AR147" s="22" t="s">
        <v>3264</v>
      </c>
      <c r="AS147" s="101" t="s">
        <v>3163</v>
      </c>
      <c r="AT147" s="109">
        <v>46104</v>
      </c>
      <c r="AU147" s="101" t="s">
        <v>3141</v>
      </c>
      <c r="AV147" s="101" t="s">
        <v>3253</v>
      </c>
      <c r="AW147" s="101" t="s">
        <v>3265</v>
      </c>
      <c r="AX147" s="101"/>
      <c r="AY147" s="83" t="s">
        <v>3131</v>
      </c>
      <c r="AZ147" s="71" t="str">
        <f>IFERROR(IF(INDEX(입력!$C$2:$C$500, MATCH($BO147, 입력!$Z$2:$Z$500, 0))="", "", TEXT(INDEX(입력!$C$2:$C$500, MATCH($BO147, 입력!$Z$2:$Z$500, 0)), "yyyy-mm-dd")), "")</f>
        <v>2026-04-21</v>
      </c>
      <c r="BA147" s="44" t="str">
        <f>IFERROR(INDEX(입력!$B$2:$B$500, MATCH($BO147, 입력!$Z$2:$Z$500, 0)) &amp; "", "")</f>
        <v>노기섭</v>
      </c>
      <c r="BB147" s="83" t="str">
        <f>IFERROR(INDEX(입력!$Y$2:$Y$500, MATCH($BO147, 입력!$Z$2:$Z$500, 0)) &amp; "", "")</f>
        <v>업체 계약완료. 조만간 설치예정.</v>
      </c>
      <c r="BC147" s="83" t="s">
        <v>3169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1768</v>
      </c>
      <c r="BI147" s="101" t="s">
        <v>3978</v>
      </c>
      <c r="BJ147" s="101"/>
      <c r="BK147" s="110" t="s">
        <v>3979</v>
      </c>
      <c r="BL147" s="21"/>
      <c r="BM147" s="22"/>
      <c r="BN147" s="27" t="s">
        <v>1544</v>
      </c>
      <c r="BO147" s="47" t="s">
        <v>416</v>
      </c>
    </row>
    <row r="148" spans="1:67" x14ac:dyDescent="0.45">
      <c r="A148" s="46">
        <v>147</v>
      </c>
      <c r="B148" s="1" t="s">
        <v>1175</v>
      </c>
      <c r="C148" s="17" t="str">
        <f t="shared" si="16"/>
        <v>이행완료</v>
      </c>
      <c r="D148" s="17" t="str">
        <f t="shared" si="22"/>
        <v>조사완료</v>
      </c>
      <c r="E148" s="141" t="s">
        <v>1545</v>
      </c>
      <c r="F148" s="3" t="s">
        <v>417</v>
      </c>
      <c r="G148" s="3" t="s">
        <v>1546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MATCH($BO148, 입력!$Z$2:$Z$500, 0)) &amp; "", "")</f>
        <v>7</v>
      </c>
      <c r="S148" s="64" t="str">
        <f>IFERROR(INDEX(입력!$K$2:$K$500, MATCH($BO148,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1"/>
        <v>1</v>
      </c>
      <c r="X148" s="1">
        <v>7</v>
      </c>
      <c r="Y148" s="64" t="str">
        <f>IFERROR(INDEX(입력!$M$2:$M$500, MATCH($BO148, 입력!$Z$2:$Z$500, 0)) &amp; "", "")</f>
        <v/>
      </c>
      <c r="Z148" s="64" t="str">
        <f>IFERROR(INDEX(입력!$N$2:$N$500, MATCH($BO148, 입력!$Z$2:$Z$500, 0)) &amp; "", "")</f>
        <v>7</v>
      </c>
      <c r="AA148" s="64">
        <f>MAX(0, 표1[[#This Row],[의무_시설]]-표1[[#This Row],[시설합]])</f>
        <v>0</v>
      </c>
      <c r="AB148" s="17" t="str">
        <f t="shared" si="23"/>
        <v>이행완료</v>
      </c>
      <c r="AC148" s="64" t="str">
        <f>IFERROR(INDEX(입력!$P$2:$P$500, MATCH($BO148, 입력!$Z$2:$Z$500, 0)) &amp; "", "")</f>
        <v/>
      </c>
      <c r="AD148" s="64" t="str">
        <f>IFERROR(INDEX(입력!$Q$2:$Q$500, MATCH($BO148, 입력!$Z$2:$Z$500, 0)) &amp; "", "")</f>
        <v/>
      </c>
      <c r="AE148" s="64" t="str">
        <f>IFERROR(INDEX(입력!$R$2:$R$500, MATCH($BO148, 입력!$Z$2:$Z$500, 0)) &amp; "", "")</f>
        <v>여</v>
      </c>
      <c r="AF148" s="64" t="str">
        <f>IFERROR(INDEX(입력!$S$2:$S$500, MATCH($BO148, 입력!$Z$2:$Z$500, 0)) &amp; "", "")</f>
        <v>여</v>
      </c>
      <c r="AG148" s="64" t="str">
        <f>IFERROR(INDEX(입력!$T$2:$T$500, MATCH($BO148, 입력!$Z$2:$Z$500, 0)) &amp; "", "")</f>
        <v/>
      </c>
      <c r="AH148" s="64" t="str">
        <f>IFERROR(INDEX(입력!$U$2:$U$500, MATCH($BO148, 입력!$Z$2:$Z$500, 0)) &amp; "", "")</f>
        <v/>
      </c>
      <c r="AI148" s="64" t="str">
        <f>IFERROR(INDEX(입력!$V$2:$V$500, MATCH($BO148, 입력!$Z$2:$Z$500, 0)) &amp; "", "")</f>
        <v>여</v>
      </c>
      <c r="AJ148" s="44" t="str">
        <f>IFERROR(INDEX(입력!$W$2:$W$500, MATCH($BO148, 입력!$Z$2:$Z$500, 0)) &amp; "", "")</f>
        <v>이병은</v>
      </c>
      <c r="AK148" s="44" t="str">
        <f>IFERROR(INDEX(입력!$X$2:$X$500, MATCH($BO148, 입력!$Z$2:$Z$500, 0)) &amp; "", "")</f>
        <v>952-1455</v>
      </c>
      <c r="AL148" s="2"/>
      <c r="AM148" s="17" t="s">
        <v>1179</v>
      </c>
      <c r="AN148" s="83"/>
      <c r="AO148" s="17" t="s">
        <v>1089</v>
      </c>
      <c r="AP148" s="2" t="s">
        <v>1547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3131</v>
      </c>
      <c r="AZ148" s="71" t="str">
        <f>IFERROR(IF(INDEX(입력!$C$2:$C$500, MATCH($BO148, 입력!$Z$2:$Z$500, 0))="", "", TEXT(INDEX(입력!$C$2:$C$500, MATCH($BO148, 입력!$Z$2:$Z$500, 0)), "yyyy-mm-dd")), "")</f>
        <v>2026-05-11</v>
      </c>
      <c r="BA148" s="44" t="str">
        <f>IFERROR(INDEX(입력!$B$2:$B$500, MATCH($BO148, 입력!$Z$2:$Z$500, 0)) &amp; "", "")</f>
        <v>노기섭</v>
      </c>
      <c r="BB148" s="83" t="str">
        <f>IFERROR(INDEX(입력!$Y$2:$Y$500, MATCH($BO148, 입력!$Z$2:$Z$500, 0)) &amp; "", "")</f>
        <v/>
      </c>
      <c r="BC148" s="83" t="s">
        <v>3112</v>
      </c>
      <c r="BD148" s="83"/>
      <c r="BE148" s="101"/>
      <c r="BF148" s="101"/>
      <c r="BG148" s="101"/>
      <c r="BH148" s="101"/>
      <c r="BI148" s="101"/>
      <c r="BJ148" s="101"/>
      <c r="BK148" s="110"/>
      <c r="BL148" s="21"/>
      <c r="BM148" s="22"/>
      <c r="BN148" s="23"/>
      <c r="BO148" s="47" t="s">
        <v>418</v>
      </c>
    </row>
    <row r="149" spans="1:67" x14ac:dyDescent="0.45">
      <c r="A149" s="19">
        <v>148</v>
      </c>
      <c r="B149" s="1" t="s">
        <v>1175</v>
      </c>
      <c r="C149" s="17" t="str">
        <f t="shared" si="16"/>
        <v>이행완료</v>
      </c>
      <c r="D149" s="17" t="str">
        <f t="shared" si="22"/>
        <v>조사완료</v>
      </c>
      <c r="E149" s="3" t="s">
        <v>1548</v>
      </c>
      <c r="F149" s="3" t="s">
        <v>419</v>
      </c>
      <c r="G149" s="3" t="s">
        <v>1549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MATCH($BO149, 입력!$Z$2:$Z$500, 0)) &amp; "", "")</f>
        <v>1</v>
      </c>
      <c r="S149" s="64" t="str">
        <f>IFERROR(INDEX(입력!$K$2:$K$500, MATCH($BO149,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 t="str">
        <f t="shared" si="21"/>
        <v/>
      </c>
      <c r="X149" s="1">
        <v>1</v>
      </c>
      <c r="Y149" s="64" t="str">
        <f>IFERROR(INDEX(입력!$M$2:$M$500, MATCH($BO149, 입력!$Z$2:$Z$500, 0)) &amp; "", "")</f>
        <v/>
      </c>
      <c r="Z149" s="64" t="str">
        <f>IFERROR(INDEX(입력!$N$2:$N$500, MATCH($BO149, 입력!$Z$2:$Z$500, 0)) &amp; "", "")</f>
        <v>1</v>
      </c>
      <c r="AA149" s="64">
        <f>MAX(0, 표1[[#This Row],[의무_시설]]-표1[[#This Row],[시설합]])</f>
        <v>0</v>
      </c>
      <c r="AB149" s="17" t="str">
        <f t="shared" si="23"/>
        <v>이행완료</v>
      </c>
      <c r="AC149" s="64" t="str">
        <f>IFERROR(INDEX(입력!$P$2:$P$500, MATCH($BO149, 입력!$Z$2:$Z$500, 0)) &amp; "", "")</f>
        <v/>
      </c>
      <c r="AD149" s="64" t="str">
        <f>IFERROR(INDEX(입력!$Q$2:$Q$500, MATCH($BO149, 입력!$Z$2:$Z$500, 0)) &amp; "", "")</f>
        <v/>
      </c>
      <c r="AE149" s="64" t="str">
        <f>IFERROR(INDEX(입력!$R$2:$R$500, MATCH($BO149, 입력!$Z$2:$Z$500, 0)) &amp; "", "")</f>
        <v>여</v>
      </c>
      <c r="AF149" s="64" t="str">
        <f>IFERROR(INDEX(입력!$S$2:$S$500, MATCH($BO149, 입력!$Z$2:$Z$500, 0)) &amp; "", "")</f>
        <v>여</v>
      </c>
      <c r="AG149" s="64" t="str">
        <f>IFERROR(INDEX(입력!$T$2:$T$500, MATCH($BO149, 입력!$Z$2:$Z$500, 0)) &amp; "", "")</f>
        <v/>
      </c>
      <c r="AH149" s="64" t="str">
        <f>IFERROR(INDEX(입력!$U$2:$U$500, MATCH($BO149, 입력!$Z$2:$Z$500, 0)) &amp; "", "")</f>
        <v/>
      </c>
      <c r="AI149" s="64" t="str">
        <f>IFERROR(INDEX(입력!$V$2:$V$500, MATCH($BO149, 입력!$Z$2:$Z$500, 0)) &amp; "", "")</f>
        <v>여</v>
      </c>
      <c r="AJ149" s="44" t="str">
        <f>IFERROR(INDEX(입력!$W$2:$W$500, MATCH($BO149, 입력!$Z$2:$Z$500, 0)) &amp; "", "")</f>
        <v>이관열</v>
      </c>
      <c r="AK149" s="44" t="str">
        <f>IFERROR(INDEX(입력!$X$2:$X$500, MATCH($BO149, 입력!$Z$2:$Z$500, 0)) &amp; "", "")</f>
        <v>949-2804</v>
      </c>
      <c r="AL149" s="2" t="s">
        <v>1550</v>
      </c>
      <c r="AM149" s="17" t="s">
        <v>1060</v>
      </c>
      <c r="AN149" s="83"/>
      <c r="AO149" s="17" t="s">
        <v>1067</v>
      </c>
      <c r="AP149" s="2" t="s">
        <v>1551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3131</v>
      </c>
      <c r="AZ149" s="71" t="str">
        <f>IFERROR(IF(INDEX(입력!$C$2:$C$500, MATCH($BO149, 입력!$Z$2:$Z$500, 0))="", "", TEXT(INDEX(입력!$C$2:$C$500, MATCH($BO149, 입력!$Z$2:$Z$500, 0)), "yyyy-mm-dd")), "")</f>
        <v>2026-05-06</v>
      </c>
      <c r="BA149" s="44" t="str">
        <f>IFERROR(INDEX(입력!$B$2:$B$500, MATCH($BO149, 입력!$Z$2:$Z$500, 0)) &amp; "", "")</f>
        <v>노기섭</v>
      </c>
      <c r="BB149" s="83" t="str">
        <f>IFERROR(INDEX(입력!$Y$2:$Y$500, MATCH($BO149, 입력!$Z$2:$Z$500, 0)) &amp; "", "")</f>
        <v/>
      </c>
      <c r="BC149" s="83" t="s">
        <v>3112</v>
      </c>
      <c r="BD149" s="83"/>
      <c r="BE149" s="101"/>
      <c r="BF149" s="101"/>
      <c r="BG149" s="101"/>
      <c r="BH149" s="101"/>
      <c r="BI149" s="101"/>
      <c r="BJ149" s="101"/>
      <c r="BK149" s="110"/>
      <c r="BL149" s="21" t="s">
        <v>1080</v>
      </c>
      <c r="BM149" s="22"/>
      <c r="BN149" s="23"/>
      <c r="BO149" s="47" t="s">
        <v>420</v>
      </c>
    </row>
    <row r="150" spans="1:67" x14ac:dyDescent="0.45">
      <c r="A150" s="46">
        <v>149</v>
      </c>
      <c r="B150" s="1" t="s">
        <v>1175</v>
      </c>
      <c r="C150" s="17" t="str">
        <f t="shared" si="16"/>
        <v>이행완료</v>
      </c>
      <c r="D150" s="17" t="str">
        <f t="shared" si="22"/>
        <v>조사완료</v>
      </c>
      <c r="E150" s="3" t="s">
        <v>1552</v>
      </c>
      <c r="F150" s="3" t="s">
        <v>421</v>
      </c>
      <c r="G150" s="3" t="s">
        <v>1553</v>
      </c>
      <c r="H150" s="18" t="s">
        <v>1172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MATCH($BO150, 입력!$Z$2:$Z$500, 0)) &amp; "", "")</f>
        <v>1</v>
      </c>
      <c r="S150" s="64" t="str">
        <f>IFERROR(INDEX(입력!$K$2:$K$500, MATCH($BO150,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 t="str">
        <f t="shared" si="21"/>
        <v/>
      </c>
      <c r="X150" s="1">
        <v>1</v>
      </c>
      <c r="Y150" s="64" t="str">
        <f>IFERROR(INDEX(입력!$M$2:$M$500, MATCH($BO150, 입력!$Z$2:$Z$500, 0)) &amp; "", "")</f>
        <v/>
      </c>
      <c r="Z150" s="64" t="str">
        <f>IFERROR(INDEX(입력!$N$2:$N$500, MATCH($BO150, 입력!$Z$2:$Z$500, 0)) &amp; "", "")</f>
        <v>1</v>
      </c>
      <c r="AA150" s="64">
        <f>MAX(0, 표1[[#This Row],[의무_시설]]-표1[[#This Row],[시설합]])</f>
        <v>0</v>
      </c>
      <c r="AB150" s="17" t="str">
        <f t="shared" si="23"/>
        <v>이행완료</v>
      </c>
      <c r="AC150" s="64" t="str">
        <f>IFERROR(INDEX(입력!$P$2:$P$500, MATCH($BO150, 입력!$Z$2:$Z$500, 0)) &amp; "", "")</f>
        <v/>
      </c>
      <c r="AD150" s="64" t="str">
        <f>IFERROR(INDEX(입력!$Q$2:$Q$500, MATCH($BO150, 입력!$Z$2:$Z$500, 0)) &amp; "", "")</f>
        <v/>
      </c>
      <c r="AE150" s="64" t="str">
        <f>IFERROR(INDEX(입력!$R$2:$R$500, MATCH($BO150, 입력!$Z$2:$Z$500, 0)) &amp; "", "")</f>
        <v>여</v>
      </c>
      <c r="AF150" s="64" t="str">
        <f>IFERROR(INDEX(입력!$S$2:$S$500, MATCH($BO150, 입력!$Z$2:$Z$500, 0)) &amp; "", "")</f>
        <v>여</v>
      </c>
      <c r="AG150" s="64" t="str">
        <f>IFERROR(INDEX(입력!$T$2:$T$500, MATCH($BO150, 입력!$Z$2:$Z$500, 0)) &amp; "", "")</f>
        <v/>
      </c>
      <c r="AH150" s="64" t="str">
        <f>IFERROR(INDEX(입력!$U$2:$U$500, MATCH($BO150, 입력!$Z$2:$Z$500, 0)) &amp; "", "")</f>
        <v/>
      </c>
      <c r="AI150" s="64" t="str">
        <f>IFERROR(INDEX(입력!$V$2:$V$500, MATCH($BO150, 입력!$Z$2:$Z$500, 0)) &amp; "", "")</f>
        <v>여</v>
      </c>
      <c r="AJ150" s="44" t="str">
        <f>IFERROR(INDEX(입력!$W$2:$W$500, MATCH($BO150, 입력!$Z$2:$Z$500, 0)) &amp; "", "")</f>
        <v>강희영</v>
      </c>
      <c r="AK150" s="44" t="str">
        <f>IFERROR(INDEX(입력!$X$2:$X$500, MATCH($BO150, 입력!$Z$2:$Z$500, 0)) &amp; "", "")</f>
        <v>970-4809</v>
      </c>
      <c r="AL150" s="2" t="s">
        <v>1554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3131</v>
      </c>
      <c r="AZ150" s="71" t="str">
        <f>IFERROR(IF(INDEX(입력!$C$2:$C$500, MATCH($BO150, 입력!$Z$2:$Z$500, 0))="", "", TEXT(INDEX(입력!$C$2:$C$500, MATCH($BO150, 입력!$Z$2:$Z$500, 0)), "yyyy-mm-dd")), "")</f>
        <v>2026-04-27</v>
      </c>
      <c r="BA150" s="44" t="str">
        <f>IFERROR(INDEX(입력!$B$2:$B$500, MATCH($BO150, 입력!$Z$2:$Z$500, 0)) &amp; "", "")</f>
        <v>이승수</v>
      </c>
      <c r="BB150" s="83" t="str">
        <f>IFERROR(INDEX(입력!$Y$2:$Y$500, MATCH($BO150, 입력!$Z$2:$Z$500, 0)) &amp; "", "")</f>
        <v/>
      </c>
      <c r="BC150" s="83" t="s">
        <v>3112</v>
      </c>
      <c r="BD150" s="83"/>
      <c r="BE150" s="101"/>
      <c r="BF150" s="101"/>
      <c r="BG150" s="101"/>
      <c r="BH150" s="101"/>
      <c r="BI150" s="101"/>
      <c r="BJ150" s="101"/>
      <c r="BK150" s="110"/>
      <c r="BL150" s="21" t="s">
        <v>1080</v>
      </c>
      <c r="BM150" s="22"/>
      <c r="BN150" s="23"/>
      <c r="BO150" s="47" t="s">
        <v>422</v>
      </c>
    </row>
    <row r="151" spans="1:67" x14ac:dyDescent="0.45">
      <c r="A151" s="19">
        <v>150</v>
      </c>
      <c r="B151" s="1" t="s">
        <v>1175</v>
      </c>
      <c r="C151" s="17" t="str">
        <f t="shared" si="16"/>
        <v>이행완료</v>
      </c>
      <c r="D151" s="17" t="str">
        <f t="shared" si="22"/>
        <v>조사완료</v>
      </c>
      <c r="E151" s="3" t="s">
        <v>1555</v>
      </c>
      <c r="F151" s="3" t="s">
        <v>423</v>
      </c>
      <c r="G151" s="3" t="s">
        <v>1556</v>
      </c>
      <c r="H151" s="18" t="s">
        <v>1202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MATCH($BO151, 입력!$Z$2:$Z$500, 0)) &amp; "", "")</f>
        <v>1</v>
      </c>
      <c r="S151" s="64" t="str">
        <f>IFERROR(INDEX(입력!$K$2:$K$500, MATCH($BO151,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 t="str">
        <f t="shared" si="21"/>
        <v/>
      </c>
      <c r="X151" s="1">
        <v>1</v>
      </c>
      <c r="Y151" s="64" t="str">
        <f>IFERROR(INDEX(입력!$M$2:$M$500, MATCH($BO151, 입력!$Z$2:$Z$500, 0)) &amp; "", "")</f>
        <v/>
      </c>
      <c r="Z151" s="64" t="str">
        <f>IFERROR(INDEX(입력!$N$2:$N$500, MATCH($BO151, 입력!$Z$2:$Z$500, 0)) &amp; "", "")</f>
        <v>1</v>
      </c>
      <c r="AA151" s="64">
        <f>MAX(0, 표1[[#This Row],[의무_시설]]-표1[[#This Row],[시설합]])</f>
        <v>0</v>
      </c>
      <c r="AB151" s="17" t="str">
        <f t="shared" si="23"/>
        <v>이행완료</v>
      </c>
      <c r="AC151" s="64" t="str">
        <f>IFERROR(INDEX(입력!$P$2:$P$500, MATCH($BO151, 입력!$Z$2:$Z$500, 0)) &amp; "", "")</f>
        <v/>
      </c>
      <c r="AD151" s="64" t="str">
        <f>IFERROR(INDEX(입력!$Q$2:$Q$500, MATCH($BO151, 입력!$Z$2:$Z$500, 0)) &amp; "", "")</f>
        <v/>
      </c>
      <c r="AE151" s="64" t="str">
        <f>IFERROR(INDEX(입력!$R$2:$R$500, MATCH($BO151, 입력!$Z$2:$Z$500, 0)) &amp; "", "")</f>
        <v>여</v>
      </c>
      <c r="AF151" s="64" t="str">
        <f>IFERROR(INDEX(입력!$S$2:$S$500, MATCH($BO151, 입력!$Z$2:$Z$500, 0)) &amp; "", "")</f>
        <v>여</v>
      </c>
      <c r="AG151" s="64" t="str">
        <f>IFERROR(INDEX(입력!$T$2:$T$500, MATCH($BO151, 입력!$Z$2:$Z$500, 0)) &amp; "", "")</f>
        <v/>
      </c>
      <c r="AH151" s="64" t="str">
        <f>IFERROR(INDEX(입력!$U$2:$U$500, MATCH($BO151, 입력!$Z$2:$Z$500, 0)) &amp; "", "")</f>
        <v/>
      </c>
      <c r="AI151" s="64" t="str">
        <f>IFERROR(INDEX(입력!$V$2:$V$500, MATCH($BO151, 입력!$Z$2:$Z$500, 0)) &amp; "", "")</f>
        <v>여</v>
      </c>
      <c r="AJ151" s="44" t="str">
        <f>IFERROR(INDEX(입력!$W$2:$W$500, MATCH($BO151, 입력!$Z$2:$Z$500, 0)) &amp; "", "")</f>
        <v>전영욱</v>
      </c>
      <c r="AK151" s="44" t="str">
        <f>IFERROR(INDEX(입력!$X$2:$X$500, MATCH($BO151, 입력!$Z$2:$Z$500, 0)) &amp; "", "")</f>
        <v>010-3582-8343</v>
      </c>
      <c r="AL151" s="2" t="s">
        <v>1557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3137</v>
      </c>
      <c r="AZ151" s="71" t="str">
        <f>IFERROR(IF(INDEX(입력!$C$2:$C$500, MATCH($BO151, 입력!$Z$2:$Z$500, 0))="", "", TEXT(INDEX(입력!$C$2:$C$500, MATCH($BO151, 입력!$Z$2:$Z$500, 0)), "yyyy-mm-dd")), "")</f>
        <v>2026-05-06</v>
      </c>
      <c r="BA151" s="44" t="str">
        <f>IFERROR(INDEX(입력!$B$2:$B$500, MATCH($BO151, 입력!$Z$2:$Z$500, 0)) &amp; "", "")</f>
        <v>정은진</v>
      </c>
      <c r="BB151" s="83" t="str">
        <f>IFERROR(INDEX(입력!$Y$2:$Y$500, MATCH($BO151, 입력!$Z$2:$Z$500, 0)) &amp; "", "")</f>
        <v/>
      </c>
      <c r="BC151" s="83" t="s">
        <v>3112</v>
      </c>
      <c r="BD151" s="83"/>
      <c r="BE151" s="101"/>
      <c r="BF151" s="101"/>
      <c r="BG151" s="101"/>
      <c r="BH151" s="101"/>
      <c r="BI151" s="101"/>
      <c r="BJ151" s="101"/>
      <c r="BK151" s="110"/>
      <c r="BL151" s="21" t="s">
        <v>1080</v>
      </c>
      <c r="BM151" s="22"/>
      <c r="BN151" s="23"/>
      <c r="BO151" s="47" t="s">
        <v>424</v>
      </c>
    </row>
    <row r="152" spans="1:67" x14ac:dyDescent="0.45">
      <c r="A152" s="46">
        <v>151</v>
      </c>
      <c r="B152" s="1" t="s">
        <v>1175</v>
      </c>
      <c r="C152" s="17" t="str">
        <f t="shared" si="16"/>
        <v>이행완료</v>
      </c>
      <c r="D152" s="17" t="str">
        <f t="shared" si="22"/>
        <v>조사완료</v>
      </c>
      <c r="E152" s="3" t="s">
        <v>1558</v>
      </c>
      <c r="F152" s="3" t="s">
        <v>2584</v>
      </c>
      <c r="G152" s="3" t="s">
        <v>1559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MATCH($BO152, 입력!$Z$2:$Z$500, 0)) &amp; "", "")</f>
        <v>1</v>
      </c>
      <c r="S152" s="64" t="str">
        <f>IFERROR(INDEX(입력!$K$2:$K$500, MATCH($BO152,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 t="str">
        <f t="shared" si="21"/>
        <v/>
      </c>
      <c r="X152" s="1">
        <v>1</v>
      </c>
      <c r="Y152" s="64" t="str">
        <f>IFERROR(INDEX(입력!$M$2:$M$500, MATCH($BO152, 입력!$Z$2:$Z$500, 0)) &amp; "", "")</f>
        <v/>
      </c>
      <c r="Z152" s="64" t="str">
        <f>IFERROR(INDEX(입력!$N$2:$N$500, MATCH($BO152, 입력!$Z$2:$Z$500, 0)) &amp; "", "")</f>
        <v>1</v>
      </c>
      <c r="AA152" s="64">
        <f>MAX(0, 표1[[#This Row],[의무_시설]]-표1[[#This Row],[시설합]])</f>
        <v>0</v>
      </c>
      <c r="AB152" s="17" t="str">
        <f t="shared" si="23"/>
        <v>이행완료</v>
      </c>
      <c r="AC152" s="64" t="str">
        <f>IFERROR(INDEX(입력!$P$2:$P$500, MATCH($BO152, 입력!$Z$2:$Z$500, 0)) &amp; "", "")</f>
        <v/>
      </c>
      <c r="AD152" s="64" t="str">
        <f>IFERROR(INDEX(입력!$Q$2:$Q$500, MATCH($BO152, 입력!$Z$2:$Z$500, 0)) &amp; "", "")</f>
        <v/>
      </c>
      <c r="AE152" s="64" t="str">
        <f>IFERROR(INDEX(입력!$R$2:$R$500, MATCH($BO152, 입력!$Z$2:$Z$500, 0)) &amp; "", "")</f>
        <v/>
      </c>
      <c r="AF152" s="64" t="str">
        <f>IFERROR(INDEX(입력!$S$2:$S$500, MATCH($BO152, 입력!$Z$2:$Z$500, 0)) &amp; "", "")</f>
        <v/>
      </c>
      <c r="AG152" s="64" t="str">
        <f>IFERROR(INDEX(입력!$T$2:$T$500, MATCH($BO152, 입력!$Z$2:$Z$500, 0)) &amp; "", "")</f>
        <v>부</v>
      </c>
      <c r="AH152" s="64" t="str">
        <f>IFERROR(INDEX(입력!$U$2:$U$500, MATCH($BO152, 입력!$Z$2:$Z$500, 0)) &amp; "", "")</f>
        <v/>
      </c>
      <c r="AI152" s="64" t="str">
        <f>IFERROR(INDEX(입력!$V$2:$V$500, MATCH($BO152, 입력!$Z$2:$Z$500, 0)) &amp; "", "")</f>
        <v>여</v>
      </c>
      <c r="AJ152" s="44" t="str">
        <f>IFERROR(INDEX(입력!$W$2:$W$500, MATCH($BO152, 입력!$Z$2:$Z$500, 0)) &amp; "", "")</f>
        <v>김조신</v>
      </c>
      <c r="AK152" s="44" t="str">
        <f>IFERROR(INDEX(입력!$X$2:$X$500, MATCH($BO152, 입력!$Z$2:$Z$500, 0)) &amp; "", "")</f>
        <v>717-9306</v>
      </c>
      <c r="AL152" s="2" t="s">
        <v>1560</v>
      </c>
      <c r="AM152" s="17" t="s">
        <v>1060</v>
      </c>
      <c r="AN152" s="83"/>
      <c r="AO152" s="17" t="s">
        <v>1067</v>
      </c>
      <c r="AP152" s="2" t="s">
        <v>1524</v>
      </c>
      <c r="AQ152" s="21"/>
      <c r="AR152" s="22" t="s">
        <v>3266</v>
      </c>
      <c r="AS152" s="101"/>
      <c r="AT152" s="101"/>
      <c r="AU152" s="101"/>
      <c r="AV152" s="101"/>
      <c r="AW152" s="101"/>
      <c r="AX152" s="101"/>
      <c r="AY152" s="83" t="s">
        <v>3131</v>
      </c>
      <c r="AZ152" s="71" t="str">
        <f>IFERROR(IF(INDEX(입력!$C$2:$C$500, MATCH($BO152, 입력!$Z$2:$Z$500, 0))="", "", TEXT(INDEX(입력!$C$2:$C$500, MATCH($BO152, 입력!$Z$2:$Z$500, 0)), "yyyy-mm-dd")), "")</f>
        <v>2026-05-04</v>
      </c>
      <c r="BA152" s="44" t="str">
        <f>IFERROR(INDEX(입력!$B$2:$B$500, MATCH($BO152, 입력!$Z$2:$Z$500, 0)) &amp; "", "")</f>
        <v>노기섭</v>
      </c>
      <c r="BB152" s="83" t="str">
        <f>IFERROR(INDEX(입력!$Y$2:$Y$500, MATCH($BO152, 입력!$Z$2:$Z$500, 0)) &amp; "", "")</f>
        <v/>
      </c>
      <c r="BC152" s="83" t="s">
        <v>3112</v>
      </c>
      <c r="BD152" s="83"/>
      <c r="BE152" s="101"/>
      <c r="BF152" s="101"/>
      <c r="BG152" s="101"/>
      <c r="BH152" s="101"/>
      <c r="BI152" s="101"/>
      <c r="BJ152" s="101"/>
      <c r="BK152" s="110"/>
      <c r="BL152" s="21" t="s">
        <v>1080</v>
      </c>
      <c r="BM152" s="22"/>
      <c r="BN152" s="23"/>
      <c r="BO152" s="47" t="s">
        <v>425</v>
      </c>
    </row>
    <row r="153" spans="1:67" x14ac:dyDescent="0.45">
      <c r="A153" s="19">
        <v>152</v>
      </c>
      <c r="B153" s="1" t="s">
        <v>1175</v>
      </c>
      <c r="C153" s="17" t="str">
        <f t="shared" si="16"/>
        <v>이행완료</v>
      </c>
      <c r="D153" s="17" t="str">
        <f t="shared" si="22"/>
        <v>조사완료</v>
      </c>
      <c r="E153" s="3" t="s">
        <v>1561</v>
      </c>
      <c r="F153" s="3" t="s">
        <v>426</v>
      </c>
      <c r="G153" s="3" t="s">
        <v>1562</v>
      </c>
      <c r="H153" s="18" t="s">
        <v>1202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MATCH($BO153, 입력!$Z$2:$Z$500, 0)) &amp; "", "")</f>
        <v>1</v>
      </c>
      <c r="S153" s="64" t="str">
        <f>IFERROR(INDEX(입력!$K$2:$K$500, MATCH($BO153,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 t="str">
        <f t="shared" si="21"/>
        <v/>
      </c>
      <c r="X153" s="1">
        <v>1</v>
      </c>
      <c r="Y153" s="64" t="str">
        <f>IFERROR(INDEX(입력!$M$2:$M$500, MATCH($BO153, 입력!$Z$2:$Z$500, 0)) &amp; "", "")</f>
        <v/>
      </c>
      <c r="Z153" s="64" t="str">
        <f>IFERROR(INDEX(입력!$N$2:$N$500, MATCH($BO153, 입력!$Z$2:$Z$500, 0)) &amp; "", "")</f>
        <v>1</v>
      </c>
      <c r="AA153" s="64">
        <f>MAX(0, 표1[[#This Row],[의무_시설]]-표1[[#This Row],[시설합]])</f>
        <v>0</v>
      </c>
      <c r="AB153" s="17" t="str">
        <f t="shared" si="23"/>
        <v>이행완료</v>
      </c>
      <c r="AC153" s="64" t="str">
        <f>IFERROR(INDEX(입력!$P$2:$P$500, MATCH($BO153, 입력!$Z$2:$Z$500, 0)) &amp; "", "")</f>
        <v/>
      </c>
      <c r="AD153" s="64" t="str">
        <f>IFERROR(INDEX(입력!$Q$2:$Q$500, MATCH($BO153, 입력!$Z$2:$Z$500, 0)) &amp; "", "")</f>
        <v/>
      </c>
      <c r="AE153" s="64" t="str">
        <f>IFERROR(INDEX(입력!$R$2:$R$500, MATCH($BO153, 입력!$Z$2:$Z$500, 0)) &amp; "", "")</f>
        <v>여</v>
      </c>
      <c r="AF153" s="64" t="str">
        <f>IFERROR(INDEX(입력!$S$2:$S$500, MATCH($BO153, 입력!$Z$2:$Z$500, 0)) &amp; "", "")</f>
        <v>여</v>
      </c>
      <c r="AG153" s="64" t="str">
        <f>IFERROR(INDEX(입력!$T$2:$T$500, MATCH($BO153, 입력!$Z$2:$Z$500, 0)) &amp; "", "")</f>
        <v/>
      </c>
      <c r="AH153" s="64" t="str">
        <f>IFERROR(INDEX(입력!$U$2:$U$500, MATCH($BO153, 입력!$Z$2:$Z$500, 0)) &amp; "", "")</f>
        <v/>
      </c>
      <c r="AI153" s="64" t="str">
        <f>IFERROR(INDEX(입력!$V$2:$V$500, MATCH($BO153, 입력!$Z$2:$Z$500, 0)) &amp; "", "")</f>
        <v>여</v>
      </c>
      <c r="AJ153" s="44" t="str">
        <f>IFERROR(INDEX(입력!$W$2:$W$500, MATCH($BO153, 입력!$Z$2:$Z$500, 0)) &amp; "", "")</f>
        <v>정유리</v>
      </c>
      <c r="AK153" s="44" t="str">
        <f>IFERROR(INDEX(입력!$X$2:$X$500, MATCH($BO153, 입력!$Z$2:$Z$500, 0)) &amp; "", "")</f>
        <v>713-6208</v>
      </c>
      <c r="AL153" s="2" t="s">
        <v>1563</v>
      </c>
      <c r="AM153" s="17" t="s">
        <v>1251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3131</v>
      </c>
      <c r="AZ153" s="71" t="str">
        <f>IFERROR(IF(INDEX(입력!$C$2:$C$500, MATCH($BO153, 입력!$Z$2:$Z$500, 0))="", "", TEXT(INDEX(입력!$C$2:$C$500, MATCH($BO153, 입력!$Z$2:$Z$500, 0)), "yyyy-mm-dd")), "")</f>
        <v>2026-04-29</v>
      </c>
      <c r="BA153" s="44" t="str">
        <f>IFERROR(INDEX(입력!$B$2:$B$500, MATCH($BO153, 입력!$Z$2:$Z$500, 0)) &amp; "", "")</f>
        <v>정은진</v>
      </c>
      <c r="BB153" s="83" t="str">
        <f>IFERROR(INDEX(입력!$Y$2:$Y$500, MATCH($BO153, 입력!$Z$2:$Z$500, 0)) &amp; "", "")</f>
        <v/>
      </c>
      <c r="BC153" s="83" t="s">
        <v>3112</v>
      </c>
      <c r="BD153" s="83"/>
      <c r="BE153" s="101"/>
      <c r="BF153" s="101"/>
      <c r="BG153" s="101"/>
      <c r="BH153" s="101"/>
      <c r="BI153" s="101"/>
      <c r="BJ153" s="101"/>
      <c r="BK153" s="110"/>
      <c r="BL153" s="21" t="s">
        <v>1080</v>
      </c>
      <c r="BM153" s="22"/>
      <c r="BN153" s="23"/>
      <c r="BO153" s="47" t="s">
        <v>427</v>
      </c>
    </row>
    <row r="154" spans="1:67" x14ac:dyDescent="0.45">
      <c r="A154" s="46">
        <v>153</v>
      </c>
      <c r="B154" s="1" t="s">
        <v>1175</v>
      </c>
      <c r="C154" s="17" t="str">
        <f t="shared" si="16"/>
        <v>이행완료</v>
      </c>
      <c r="D154" s="17" t="str">
        <f t="shared" si="22"/>
        <v>조사완료</v>
      </c>
      <c r="E154" s="3" t="s">
        <v>1564</v>
      </c>
      <c r="F154" s="3" t="s">
        <v>428</v>
      </c>
      <c r="G154" s="3" t="s">
        <v>1565</v>
      </c>
      <c r="H154" s="18" t="s">
        <v>1566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MATCH($BO154, 입력!$Z$2:$Z$500, 0)) &amp; "", "")</f>
        <v>1</v>
      </c>
      <c r="S154" s="64" t="str">
        <f>IFERROR(INDEX(입력!$K$2:$K$500, MATCH($BO154,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 t="str">
        <f t="shared" si="21"/>
        <v/>
      </c>
      <c r="X154" s="1">
        <v>1</v>
      </c>
      <c r="Y154" s="64" t="str">
        <f>IFERROR(INDEX(입력!$M$2:$M$500, MATCH($BO154, 입력!$Z$2:$Z$500, 0)) &amp; "", "")</f>
        <v/>
      </c>
      <c r="Z154" s="64" t="str">
        <f>IFERROR(INDEX(입력!$N$2:$N$500, MATCH($BO154, 입력!$Z$2:$Z$500, 0)) &amp; "", "")</f>
        <v>1</v>
      </c>
      <c r="AA154" s="64">
        <f>MAX(0, 표1[[#This Row],[의무_시설]]-표1[[#This Row],[시설합]])</f>
        <v>0</v>
      </c>
      <c r="AB154" s="17" t="str">
        <f t="shared" si="23"/>
        <v>이행완료</v>
      </c>
      <c r="AC154" s="64" t="str">
        <f>IFERROR(INDEX(입력!$P$2:$P$500, MATCH($BO154, 입력!$Z$2:$Z$500, 0)) &amp; "", "")</f>
        <v/>
      </c>
      <c r="AD154" s="64" t="str">
        <f>IFERROR(INDEX(입력!$Q$2:$Q$500, MATCH($BO154, 입력!$Z$2:$Z$500, 0)) &amp; "", "")</f>
        <v/>
      </c>
      <c r="AE154" s="64" t="str">
        <f>IFERROR(INDEX(입력!$R$2:$R$500, MATCH($BO154, 입력!$Z$2:$Z$500, 0)) &amp; "", "")</f>
        <v>여</v>
      </c>
      <c r="AF154" s="64" t="str">
        <f>IFERROR(INDEX(입력!$S$2:$S$500, MATCH($BO154, 입력!$Z$2:$Z$500, 0)) &amp; "", "")</f>
        <v>여</v>
      </c>
      <c r="AG154" s="64" t="str">
        <f>IFERROR(INDEX(입력!$T$2:$T$500, MATCH($BO154, 입력!$Z$2:$Z$500, 0)) &amp; "", "")</f>
        <v/>
      </c>
      <c r="AH154" s="64" t="str">
        <f>IFERROR(INDEX(입력!$U$2:$U$500, MATCH($BO154, 입력!$Z$2:$Z$500, 0)) &amp; "", "")</f>
        <v/>
      </c>
      <c r="AI154" s="64" t="str">
        <f>IFERROR(INDEX(입력!$V$2:$V$500, MATCH($BO154, 입력!$Z$2:$Z$500, 0)) &amp; "", "")</f>
        <v>여</v>
      </c>
      <c r="AJ154" s="44" t="str">
        <f>IFERROR(INDEX(입력!$W$2:$W$500, MATCH($BO154, 입력!$Z$2:$Z$500, 0)) &amp; "", "")</f>
        <v>남효경</v>
      </c>
      <c r="AK154" s="44" t="str">
        <f>IFERROR(INDEX(입력!$X$2:$X$500, MATCH($BO154, 입력!$Z$2:$Z$500, 0)) &amp; "", "")</f>
        <v>949-2308</v>
      </c>
      <c r="AL154" s="2" t="s">
        <v>1567</v>
      </c>
      <c r="AM154" s="17" t="s">
        <v>1060</v>
      </c>
      <c r="AN154" s="83"/>
      <c r="AO154" s="17" t="s">
        <v>1067</v>
      </c>
      <c r="AP154" s="2" t="s">
        <v>1551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3137</v>
      </c>
      <c r="AZ154" s="71" t="str">
        <f>IFERROR(IF(INDEX(입력!$C$2:$C$500, MATCH($BO154, 입력!$Z$2:$Z$500, 0))="", "", TEXT(INDEX(입력!$C$2:$C$500, MATCH($BO154, 입력!$Z$2:$Z$500, 0)), "yyyy-mm-dd")), "")</f>
        <v>2026-04-27</v>
      </c>
      <c r="BA154" s="44" t="str">
        <f>IFERROR(INDEX(입력!$B$2:$B$500, MATCH($BO154, 입력!$Z$2:$Z$500, 0)) &amp; "", "")</f>
        <v>정은진</v>
      </c>
      <c r="BB154" s="83" t="str">
        <f>IFERROR(INDEX(입력!$Y$2:$Y$500, MATCH($BO154, 입력!$Z$2:$Z$500, 0)) &amp; "", "")</f>
        <v/>
      </c>
      <c r="BC154" s="83" t="s">
        <v>3112</v>
      </c>
      <c r="BD154" s="83"/>
      <c r="BE154" s="101"/>
      <c r="BF154" s="101"/>
      <c r="BG154" s="101"/>
      <c r="BH154" s="101"/>
      <c r="BI154" s="101"/>
      <c r="BJ154" s="101"/>
      <c r="BK154" s="110"/>
      <c r="BL154" s="21" t="s">
        <v>1080</v>
      </c>
      <c r="BM154" s="22"/>
      <c r="BN154" s="23"/>
      <c r="BO154" s="47" t="s">
        <v>429</v>
      </c>
    </row>
    <row r="155" spans="1:67" x14ac:dyDescent="0.45">
      <c r="A155" s="19">
        <v>154</v>
      </c>
      <c r="B155" s="1" t="s">
        <v>1175</v>
      </c>
      <c r="C155" s="17" t="str">
        <f t="shared" si="16"/>
        <v>이행완료</v>
      </c>
      <c r="D155" s="17" t="str">
        <f t="shared" si="22"/>
        <v>조사완료</v>
      </c>
      <c r="E155" s="3" t="s">
        <v>1568</v>
      </c>
      <c r="F155" s="3" t="s">
        <v>430</v>
      </c>
      <c r="G155" s="3" t="s">
        <v>1569</v>
      </c>
      <c r="H155" s="18" t="s">
        <v>1152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MATCH($BO155, 입력!$Z$2:$Z$500, 0)) &amp; "", "")</f>
        <v>1</v>
      </c>
      <c r="S155" s="64" t="str">
        <f>IFERROR(INDEX(입력!$K$2:$K$500, MATCH($BO155,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 t="str">
        <f t="shared" si="21"/>
        <v/>
      </c>
      <c r="X155" s="1">
        <v>1</v>
      </c>
      <c r="Y155" s="64" t="str">
        <f>IFERROR(INDEX(입력!$M$2:$M$500, MATCH($BO155, 입력!$Z$2:$Z$500, 0)) &amp; "", "")</f>
        <v/>
      </c>
      <c r="Z155" s="64" t="str">
        <f>IFERROR(INDEX(입력!$N$2:$N$500, MATCH($BO155, 입력!$Z$2:$Z$500, 0)) &amp; "", "")</f>
        <v>1</v>
      </c>
      <c r="AA155" s="64">
        <f>MAX(0, 표1[[#This Row],[의무_시설]]-표1[[#This Row],[시설합]])</f>
        <v>0</v>
      </c>
      <c r="AB155" s="17" t="str">
        <f t="shared" si="23"/>
        <v>이행완료</v>
      </c>
      <c r="AC155" s="64" t="str">
        <f>IFERROR(INDEX(입력!$P$2:$P$500, MATCH($BO155, 입력!$Z$2:$Z$500, 0)) &amp; "", "")</f>
        <v/>
      </c>
      <c r="AD155" s="64" t="str">
        <f>IFERROR(INDEX(입력!$Q$2:$Q$500, MATCH($BO155, 입력!$Z$2:$Z$500, 0)) &amp; "", "")</f>
        <v/>
      </c>
      <c r="AE155" s="64" t="str">
        <f>IFERROR(INDEX(입력!$R$2:$R$500, MATCH($BO155, 입력!$Z$2:$Z$500, 0)) &amp; "", "")</f>
        <v>여</v>
      </c>
      <c r="AF155" s="64" t="str">
        <f>IFERROR(INDEX(입력!$S$2:$S$500, MATCH($BO155, 입력!$Z$2:$Z$500, 0)) &amp; "", "")</f>
        <v>여</v>
      </c>
      <c r="AG155" s="64" t="str">
        <f>IFERROR(INDEX(입력!$T$2:$T$500, MATCH($BO155, 입력!$Z$2:$Z$500, 0)) &amp; "", "")</f>
        <v/>
      </c>
      <c r="AH155" s="64" t="str">
        <f>IFERROR(INDEX(입력!$U$2:$U$500, MATCH($BO155, 입력!$Z$2:$Z$500, 0)) &amp; "", "")</f>
        <v/>
      </c>
      <c r="AI155" s="64" t="str">
        <f>IFERROR(INDEX(입력!$V$2:$V$500, MATCH($BO155, 입력!$Z$2:$Z$500, 0)) &amp; "", "")</f>
        <v>여</v>
      </c>
      <c r="AJ155" s="44" t="str">
        <f>IFERROR(INDEX(입력!$W$2:$W$500, MATCH($BO155, 입력!$Z$2:$Z$500, 0)) &amp; "", "")</f>
        <v>채지민</v>
      </c>
      <c r="AK155" s="44" t="str">
        <f>IFERROR(INDEX(입력!$X$2:$X$500, MATCH($BO155, 입력!$Z$2:$Z$500, 0)) &amp; "", "")</f>
        <v>949-7504</v>
      </c>
      <c r="AL155" s="2" t="s">
        <v>1570</v>
      </c>
      <c r="AM155" s="17" t="s">
        <v>1060</v>
      </c>
      <c r="AN155" s="83"/>
      <c r="AO155" s="17" t="s">
        <v>1067</v>
      </c>
      <c r="AP155" s="2" t="s">
        <v>1571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3131</v>
      </c>
      <c r="AZ155" s="71" t="str">
        <f>IFERROR(IF(INDEX(입력!$C$2:$C$500, MATCH($BO155, 입력!$Z$2:$Z$500, 0))="", "", TEXT(INDEX(입력!$C$2:$C$500, MATCH($BO155, 입력!$Z$2:$Z$500, 0)), "yyyy-mm-dd")), "")</f>
        <v>2026-04-27</v>
      </c>
      <c r="BA155" s="44" t="str">
        <f>IFERROR(INDEX(입력!$B$2:$B$500, MATCH($BO155, 입력!$Z$2:$Z$500, 0)) &amp; "", "")</f>
        <v>정은진</v>
      </c>
      <c r="BB155" s="83" t="str">
        <f>IFERROR(INDEX(입력!$Y$2:$Y$500, MATCH($BO155, 입력!$Z$2:$Z$500, 0)) &amp; "", "")</f>
        <v/>
      </c>
      <c r="BC155" s="83" t="s">
        <v>3112</v>
      </c>
      <c r="BD155" s="83"/>
      <c r="BE155" s="101"/>
      <c r="BF155" s="101"/>
      <c r="BG155" s="101"/>
      <c r="BH155" s="101"/>
      <c r="BI155" s="101"/>
      <c r="BJ155" s="101"/>
      <c r="BK155" s="110"/>
      <c r="BL155" s="21" t="s">
        <v>1080</v>
      </c>
      <c r="BM155" s="22"/>
      <c r="BN155" s="23"/>
      <c r="BO155" s="47" t="s">
        <v>431</v>
      </c>
    </row>
    <row r="156" spans="1:67" x14ac:dyDescent="0.45">
      <c r="A156" s="46">
        <v>155</v>
      </c>
      <c r="B156" s="1" t="s">
        <v>1175</v>
      </c>
      <c r="C156" s="17" t="str">
        <f t="shared" si="16"/>
        <v>이행완료</v>
      </c>
      <c r="D156" s="17" t="str">
        <f t="shared" si="22"/>
        <v>조사완료</v>
      </c>
      <c r="E156" s="3" t="s">
        <v>1572</v>
      </c>
      <c r="F156" s="3" t="s">
        <v>432</v>
      </c>
      <c r="G156" s="3" t="s">
        <v>1573</v>
      </c>
      <c r="H156" s="18" t="s">
        <v>1172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MATCH($BO156, 입력!$Z$2:$Z$500, 0)) &amp; "", "")</f>
        <v>1</v>
      </c>
      <c r="S156" s="64" t="str">
        <f>IFERROR(INDEX(입력!$K$2:$K$500, MATCH($BO156,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 t="str">
        <f t="shared" si="21"/>
        <v/>
      </c>
      <c r="X156" s="1">
        <v>1</v>
      </c>
      <c r="Y156" s="64" t="str">
        <f>IFERROR(INDEX(입력!$M$2:$M$500, MATCH($BO156, 입력!$Z$2:$Z$500, 0)) &amp; "", "")</f>
        <v/>
      </c>
      <c r="Z156" s="64" t="str">
        <f>IFERROR(INDEX(입력!$N$2:$N$500, MATCH($BO156, 입력!$Z$2:$Z$500, 0)) &amp; "", "")</f>
        <v>1</v>
      </c>
      <c r="AA156" s="64">
        <f>MAX(0, 표1[[#This Row],[의무_시설]]-표1[[#This Row],[시설합]])</f>
        <v>0</v>
      </c>
      <c r="AB156" s="17" t="str">
        <f t="shared" si="23"/>
        <v>이행완료</v>
      </c>
      <c r="AC156" s="64" t="str">
        <f>IFERROR(INDEX(입력!$P$2:$P$500, MATCH($BO156, 입력!$Z$2:$Z$500, 0)) &amp; "", "")</f>
        <v/>
      </c>
      <c r="AD156" s="64" t="str">
        <f>IFERROR(INDEX(입력!$Q$2:$Q$500, MATCH($BO156, 입력!$Z$2:$Z$500, 0)) &amp; "", "")</f>
        <v/>
      </c>
      <c r="AE156" s="64" t="str">
        <f>IFERROR(INDEX(입력!$R$2:$R$500, MATCH($BO156, 입력!$Z$2:$Z$500, 0)) &amp; "", "")</f>
        <v>여</v>
      </c>
      <c r="AF156" s="64" t="str">
        <f>IFERROR(INDEX(입력!$S$2:$S$500, MATCH($BO156, 입력!$Z$2:$Z$500, 0)) &amp; "", "")</f>
        <v>여</v>
      </c>
      <c r="AG156" s="64" t="str">
        <f>IFERROR(INDEX(입력!$T$2:$T$500, MATCH($BO156, 입력!$Z$2:$Z$500, 0)) &amp; "", "")</f>
        <v/>
      </c>
      <c r="AH156" s="64" t="str">
        <f>IFERROR(INDEX(입력!$U$2:$U$500, MATCH($BO156, 입력!$Z$2:$Z$500, 0)) &amp; "", "")</f>
        <v/>
      </c>
      <c r="AI156" s="64" t="str">
        <f>IFERROR(INDEX(입력!$V$2:$V$500, MATCH($BO156, 입력!$Z$2:$Z$500, 0)) &amp; "", "")</f>
        <v>여</v>
      </c>
      <c r="AJ156" s="44" t="str">
        <f>IFERROR(INDEX(입력!$W$2:$W$500, MATCH($BO156, 입력!$Z$2:$Z$500, 0)) &amp; "", "")</f>
        <v>김선자</v>
      </c>
      <c r="AK156" s="44" t="str">
        <f>IFERROR(INDEX(입력!$X$2:$X$500, MATCH($BO156, 입력!$Z$2:$Z$500, 0)) &amp; "", "")</f>
        <v>970-9506</v>
      </c>
      <c r="AL156" s="2" t="s">
        <v>1574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3131</v>
      </c>
      <c r="AZ156" s="71" t="str">
        <f>IFERROR(IF(INDEX(입력!$C$2:$C$500, MATCH($BO156, 입력!$Z$2:$Z$500, 0))="", "", TEXT(INDEX(입력!$C$2:$C$500, MATCH($BO156, 입력!$Z$2:$Z$500, 0)), "yyyy-mm-dd")), "")</f>
        <v>2026-04-27</v>
      </c>
      <c r="BA156" s="44" t="str">
        <f>IFERROR(INDEX(입력!$B$2:$B$500, MATCH($BO156, 입력!$Z$2:$Z$500, 0)) &amp; "", "")</f>
        <v>이승수</v>
      </c>
      <c r="BB156" s="83" t="str">
        <f>IFERROR(INDEX(입력!$Y$2:$Y$500, MATCH($BO156, 입력!$Z$2:$Z$500, 0)) &amp; "", "")</f>
        <v/>
      </c>
      <c r="BC156" s="83" t="s">
        <v>3112</v>
      </c>
      <c r="BD156" s="83"/>
      <c r="BE156" s="101"/>
      <c r="BF156" s="101"/>
      <c r="BG156" s="101"/>
      <c r="BH156" s="101"/>
      <c r="BI156" s="101"/>
      <c r="BJ156" s="101"/>
      <c r="BK156" s="110"/>
      <c r="BL156" s="21" t="s">
        <v>1080</v>
      </c>
      <c r="BM156" s="22"/>
      <c r="BN156" s="23"/>
      <c r="BO156" s="47" t="s">
        <v>433</v>
      </c>
    </row>
    <row r="157" spans="1:67" x14ac:dyDescent="0.45">
      <c r="A157" s="19">
        <v>156</v>
      </c>
      <c r="B157" s="1" t="s">
        <v>1175</v>
      </c>
      <c r="C157" s="17" t="str">
        <f t="shared" si="16"/>
        <v>이행완료</v>
      </c>
      <c r="D157" s="17" t="str">
        <f t="shared" si="22"/>
        <v>조사완료</v>
      </c>
      <c r="E157" s="3" t="s">
        <v>1575</v>
      </c>
      <c r="F157" s="3" t="s">
        <v>434</v>
      </c>
      <c r="G157" s="3" t="s">
        <v>1576</v>
      </c>
      <c r="H157" s="18" t="s">
        <v>1202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MATCH($BO157, 입력!$Z$2:$Z$500, 0)) &amp; "", "")</f>
        <v>1</v>
      </c>
      <c r="S157" s="64" t="str">
        <f>IFERROR(INDEX(입력!$K$2:$K$500, MATCH($BO157,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 t="str">
        <f t="shared" si="21"/>
        <v/>
      </c>
      <c r="X157" s="1">
        <v>1</v>
      </c>
      <c r="Y157" s="64" t="str">
        <f>IFERROR(INDEX(입력!$M$2:$M$500, MATCH($BO157, 입력!$Z$2:$Z$500, 0)) &amp; "", "")</f>
        <v/>
      </c>
      <c r="Z157" s="64" t="str">
        <f>IFERROR(INDEX(입력!$N$2:$N$500, MATCH($BO157, 입력!$Z$2:$Z$500, 0)) &amp; "", "")</f>
        <v>1</v>
      </c>
      <c r="AA157" s="64">
        <f>MAX(0, 표1[[#This Row],[의무_시설]]-표1[[#This Row],[시설합]])</f>
        <v>0</v>
      </c>
      <c r="AB157" s="17" t="str">
        <f t="shared" si="23"/>
        <v>이행완료</v>
      </c>
      <c r="AC157" s="64" t="str">
        <f>IFERROR(INDEX(입력!$P$2:$P$500, MATCH($BO157, 입력!$Z$2:$Z$500, 0)) &amp; "", "")</f>
        <v/>
      </c>
      <c r="AD157" s="64" t="str">
        <f>IFERROR(INDEX(입력!$Q$2:$Q$500, MATCH($BO157, 입력!$Z$2:$Z$500, 0)) &amp; "", "")</f>
        <v/>
      </c>
      <c r="AE157" s="64" t="str">
        <f>IFERROR(INDEX(입력!$R$2:$R$500, MATCH($BO157, 입력!$Z$2:$Z$500, 0)) &amp; "", "")</f>
        <v>여</v>
      </c>
      <c r="AF157" s="64" t="str">
        <f>IFERROR(INDEX(입력!$S$2:$S$500, MATCH($BO157, 입력!$Z$2:$Z$500, 0)) &amp; "", "")</f>
        <v>여</v>
      </c>
      <c r="AG157" s="64" t="str">
        <f>IFERROR(INDEX(입력!$T$2:$T$500, MATCH($BO157, 입력!$Z$2:$Z$500, 0)) &amp; "", "")</f>
        <v/>
      </c>
      <c r="AH157" s="64" t="str">
        <f>IFERROR(INDEX(입력!$U$2:$U$500, MATCH($BO157, 입력!$Z$2:$Z$500, 0)) &amp; "", "")</f>
        <v/>
      </c>
      <c r="AI157" s="64" t="str">
        <f>IFERROR(INDEX(입력!$V$2:$V$500, MATCH($BO157, 입력!$Z$2:$Z$500, 0)) &amp; "", "")</f>
        <v>여</v>
      </c>
      <c r="AJ157" s="44" t="str">
        <f>IFERROR(INDEX(입력!$W$2:$W$500, MATCH($BO157, 입력!$Z$2:$Z$500, 0)) &amp; "", "")</f>
        <v>정은선</v>
      </c>
      <c r="AK157" s="44" t="str">
        <f>IFERROR(INDEX(입력!$X$2:$X$500, MATCH($BO157, 입력!$Z$2:$Z$500, 0)) &amp; "", "")</f>
        <v>950-9804</v>
      </c>
      <c r="AL157" s="2" t="s">
        <v>1577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3137</v>
      </c>
      <c r="AZ157" s="71" t="str">
        <f>IFERROR(IF(INDEX(입력!$C$2:$C$500, MATCH($BO157, 입력!$Z$2:$Z$500, 0))="", "", TEXT(INDEX(입력!$C$2:$C$500, MATCH($BO157, 입력!$Z$2:$Z$500, 0)), "yyyy-mm-dd")), "")</f>
        <v>2026-05-06</v>
      </c>
      <c r="BA157" s="44" t="str">
        <f>IFERROR(INDEX(입력!$B$2:$B$500, MATCH($BO157, 입력!$Z$2:$Z$500, 0)) &amp; "", "")</f>
        <v>정은진</v>
      </c>
      <c r="BB157" s="83" t="str">
        <f>IFERROR(INDEX(입력!$Y$2:$Y$500, MATCH($BO157, 입력!$Z$2:$Z$500, 0)) &amp; "", "")</f>
        <v/>
      </c>
      <c r="BC157" s="83" t="s">
        <v>3112</v>
      </c>
      <c r="BD157" s="83"/>
      <c r="BE157" s="101"/>
      <c r="BF157" s="101"/>
      <c r="BG157" s="101"/>
      <c r="BH157" s="101"/>
      <c r="BI157" s="101"/>
      <c r="BJ157" s="101"/>
      <c r="BK157" s="110"/>
      <c r="BL157" s="21" t="s">
        <v>1080</v>
      </c>
      <c r="BM157" s="22"/>
      <c r="BN157" s="23"/>
      <c r="BO157" s="47" t="s">
        <v>435</v>
      </c>
    </row>
    <row r="158" spans="1:67" x14ac:dyDescent="0.45">
      <c r="A158" s="46">
        <v>157</v>
      </c>
      <c r="B158" s="1" t="s">
        <v>1175</v>
      </c>
      <c r="C158" s="17" t="str">
        <f t="shared" si="16"/>
        <v>이행완료</v>
      </c>
      <c r="D158" s="17" t="str">
        <f t="shared" si="22"/>
        <v>조사완료</v>
      </c>
      <c r="E158" s="3" t="s">
        <v>1578</v>
      </c>
      <c r="F158" s="3" t="s">
        <v>436</v>
      </c>
      <c r="G158" s="3" t="s">
        <v>1579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MATCH($BO158, 입력!$Z$2:$Z$500, 0)) &amp; "", "")</f>
        <v>1</v>
      </c>
      <c r="S158" s="64" t="str">
        <f>IFERROR(INDEX(입력!$K$2:$K$500, MATCH($BO158,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 t="str">
        <f t="shared" si="21"/>
        <v/>
      </c>
      <c r="X158" s="1">
        <v>1</v>
      </c>
      <c r="Y158" s="64" t="str">
        <f>IFERROR(INDEX(입력!$M$2:$M$500, MATCH($BO158, 입력!$Z$2:$Z$500, 0)) &amp; "", "")</f>
        <v/>
      </c>
      <c r="Z158" s="64" t="str">
        <f>IFERROR(INDEX(입력!$N$2:$N$500, MATCH($BO158, 입력!$Z$2:$Z$500, 0)) &amp; "", "")</f>
        <v>1</v>
      </c>
      <c r="AA158" s="64">
        <f>MAX(0, 표1[[#This Row],[의무_시설]]-표1[[#This Row],[시설합]])</f>
        <v>0</v>
      </c>
      <c r="AB158" s="17" t="str">
        <f t="shared" si="23"/>
        <v>이행완료</v>
      </c>
      <c r="AC158" s="64" t="str">
        <f>IFERROR(INDEX(입력!$P$2:$P$500, MATCH($BO158, 입력!$Z$2:$Z$500, 0)) &amp; "", "")</f>
        <v/>
      </c>
      <c r="AD158" s="64" t="str">
        <f>IFERROR(INDEX(입력!$Q$2:$Q$500, MATCH($BO158, 입력!$Z$2:$Z$500, 0)) &amp; "", "")</f>
        <v/>
      </c>
      <c r="AE158" s="64" t="str">
        <f>IFERROR(INDEX(입력!$R$2:$R$500, MATCH($BO158, 입력!$Z$2:$Z$500, 0)) &amp; "", "")</f>
        <v>여</v>
      </c>
      <c r="AF158" s="64" t="str">
        <f>IFERROR(INDEX(입력!$S$2:$S$500, MATCH($BO158, 입력!$Z$2:$Z$500, 0)) &amp; "", "")</f>
        <v>여</v>
      </c>
      <c r="AG158" s="64" t="str">
        <f>IFERROR(INDEX(입력!$T$2:$T$500, MATCH($BO158, 입력!$Z$2:$Z$500, 0)) &amp; "", "")</f>
        <v/>
      </c>
      <c r="AH158" s="64" t="str">
        <f>IFERROR(INDEX(입력!$U$2:$U$500, MATCH($BO158, 입력!$Z$2:$Z$500, 0)) &amp; "", "")</f>
        <v/>
      </c>
      <c r="AI158" s="64" t="str">
        <f>IFERROR(INDEX(입력!$V$2:$V$500, MATCH($BO158, 입력!$Z$2:$Z$500, 0)) &amp; "", "")</f>
        <v>여</v>
      </c>
      <c r="AJ158" s="44" t="str">
        <f>IFERROR(INDEX(입력!$W$2:$W$500, MATCH($BO158, 입력!$Z$2:$Z$500, 0)) &amp; "", "")</f>
        <v>김유현</v>
      </c>
      <c r="AK158" s="44" t="str">
        <f>IFERROR(INDEX(입력!$X$2:$X$500, MATCH($BO158, 입력!$Z$2:$Z$500, 0)) &amp; "", "")</f>
        <v>960-5862</v>
      </c>
      <c r="AL158" s="2" t="s">
        <v>1580</v>
      </c>
      <c r="AM158" s="17" t="s">
        <v>1251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3131</v>
      </c>
      <c r="AZ158" s="71" t="str">
        <f>IFERROR(IF(INDEX(입력!$C$2:$C$500, MATCH($BO158, 입력!$Z$2:$Z$500, 0))="", "", TEXT(INDEX(입력!$C$2:$C$500, MATCH($BO158, 입력!$Z$2:$Z$500, 0)), "yyyy-mm-dd")), "")</f>
        <v>2026-05-11</v>
      </c>
      <c r="BA158" s="44" t="str">
        <f>IFERROR(INDEX(입력!$B$2:$B$500, MATCH($BO158, 입력!$Z$2:$Z$500, 0)) &amp; "", "")</f>
        <v>노기섭</v>
      </c>
      <c r="BB158" s="83" t="str">
        <f>IFERROR(INDEX(입력!$Y$2:$Y$500, MATCH($BO158, 입력!$Z$2:$Z$500, 0)) &amp; "", "")</f>
        <v/>
      </c>
      <c r="BC158" s="83" t="s">
        <v>3112</v>
      </c>
      <c r="BD158" s="83"/>
      <c r="BE158" s="101"/>
      <c r="BF158" s="101"/>
      <c r="BG158" s="101"/>
      <c r="BH158" s="101"/>
      <c r="BI158" s="101"/>
      <c r="BJ158" s="101"/>
      <c r="BK158" s="110"/>
      <c r="BL158" s="21" t="s">
        <v>1080</v>
      </c>
      <c r="BM158" s="22"/>
      <c r="BN158" s="23"/>
      <c r="BO158" s="47" t="s">
        <v>437</v>
      </c>
    </row>
    <row r="159" spans="1:67" x14ac:dyDescent="0.45">
      <c r="A159" s="19">
        <v>158</v>
      </c>
      <c r="B159" s="1" t="s">
        <v>1175</v>
      </c>
      <c r="C159" s="17" t="str">
        <f t="shared" si="16"/>
        <v>이행완료</v>
      </c>
      <c r="D159" s="17" t="str">
        <f t="shared" si="22"/>
        <v>조사완료</v>
      </c>
      <c r="E159" s="3" t="s">
        <v>1581</v>
      </c>
      <c r="F159" s="3" t="s">
        <v>438</v>
      </c>
      <c r="G159" s="3" t="s">
        <v>1582</v>
      </c>
      <c r="H159" s="18" t="s">
        <v>1202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MATCH($BO159, 입력!$Z$2:$Z$500, 0)) &amp; "", "")</f>
        <v>1</v>
      </c>
      <c r="S159" s="64" t="str">
        <f>IFERROR(INDEX(입력!$K$2:$K$500, MATCH($BO159,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 t="str">
        <f t="shared" si="21"/>
        <v/>
      </c>
      <c r="X159" s="1">
        <v>1</v>
      </c>
      <c r="Y159" s="64" t="str">
        <f>IFERROR(INDEX(입력!$M$2:$M$500, MATCH($BO159, 입력!$Z$2:$Z$500, 0)) &amp; "", "")</f>
        <v/>
      </c>
      <c r="Z159" s="64" t="str">
        <f>IFERROR(INDEX(입력!$N$2:$N$500, MATCH($BO159, 입력!$Z$2:$Z$500, 0)) &amp; "", "")</f>
        <v>1</v>
      </c>
      <c r="AA159" s="64">
        <f>MAX(0, 표1[[#This Row],[의무_시설]]-표1[[#This Row],[시설합]])</f>
        <v>0</v>
      </c>
      <c r="AB159" s="17" t="str">
        <f t="shared" si="23"/>
        <v>이행완료</v>
      </c>
      <c r="AC159" s="64" t="str">
        <f>IFERROR(INDEX(입력!$P$2:$P$500, MATCH($BO159, 입력!$Z$2:$Z$500, 0)) &amp; "", "")</f>
        <v/>
      </c>
      <c r="AD159" s="64" t="str">
        <f>IFERROR(INDEX(입력!$Q$2:$Q$500, MATCH($BO159, 입력!$Z$2:$Z$500, 0)) &amp; "", "")</f>
        <v/>
      </c>
      <c r="AE159" s="64" t="str">
        <f>IFERROR(INDEX(입력!$R$2:$R$500, MATCH($BO159, 입력!$Z$2:$Z$500, 0)) &amp; "", "")</f>
        <v>여</v>
      </c>
      <c r="AF159" s="64" t="str">
        <f>IFERROR(INDEX(입력!$S$2:$S$500, MATCH($BO159, 입력!$Z$2:$Z$500, 0)) &amp; "", "")</f>
        <v>여</v>
      </c>
      <c r="AG159" s="64" t="str">
        <f>IFERROR(INDEX(입력!$T$2:$T$500, MATCH($BO159, 입력!$Z$2:$Z$500, 0)) &amp; "", "")</f>
        <v/>
      </c>
      <c r="AH159" s="64" t="str">
        <f>IFERROR(INDEX(입력!$U$2:$U$500, MATCH($BO159, 입력!$Z$2:$Z$500, 0)) &amp; "", "")</f>
        <v/>
      </c>
      <c r="AI159" s="64" t="str">
        <f>IFERROR(INDEX(입력!$V$2:$V$500, MATCH($BO159, 입력!$Z$2:$Z$500, 0)) &amp; "", "")</f>
        <v>여</v>
      </c>
      <c r="AJ159" s="44" t="str">
        <f>IFERROR(INDEX(입력!$W$2:$W$500, MATCH($BO159, 입력!$Z$2:$Z$500, 0)) &amp; "", "")</f>
        <v>김영</v>
      </c>
      <c r="AK159" s="44" t="str">
        <f>IFERROR(INDEX(입력!$X$2:$X$500, MATCH($BO159, 입력!$Z$2:$Z$500, 0)) &amp; "", "")</f>
        <v>717-8554</v>
      </c>
      <c r="AL159" s="2" t="s">
        <v>1583</v>
      </c>
      <c r="AM159" s="17"/>
      <c r="AN159" s="83"/>
      <c r="AO159" s="17" t="s">
        <v>1059</v>
      </c>
      <c r="AP159" s="2" t="s">
        <v>1584</v>
      </c>
      <c r="AQ159" s="21"/>
      <c r="AR159" s="22" t="s">
        <v>1585</v>
      </c>
      <c r="AS159" s="101"/>
      <c r="AT159" s="101"/>
      <c r="AU159" s="101"/>
      <c r="AV159" s="101"/>
      <c r="AW159" s="101"/>
      <c r="AX159" s="101"/>
      <c r="AY159" s="83" t="s">
        <v>3137</v>
      </c>
      <c r="AZ159" s="71" t="str">
        <f>IFERROR(IF(INDEX(입력!$C$2:$C$500, MATCH($BO159, 입력!$Z$2:$Z$500, 0))="", "", TEXT(INDEX(입력!$C$2:$C$500, MATCH($BO159, 입력!$Z$2:$Z$500, 0)), "yyyy-mm-dd")), "")</f>
        <v>2026-04-29</v>
      </c>
      <c r="BA159" s="44" t="str">
        <f>IFERROR(INDEX(입력!$B$2:$B$500, MATCH($BO159, 입력!$Z$2:$Z$500, 0)) &amp; "", "")</f>
        <v>정은진</v>
      </c>
      <c r="BB159" s="83" t="str">
        <f>IFERROR(INDEX(입력!$Y$2:$Y$500, MATCH($BO159, 입력!$Z$2:$Z$500, 0)) &amp; "", "")</f>
        <v/>
      </c>
      <c r="BC159" s="83" t="s">
        <v>3112</v>
      </c>
      <c r="BD159" s="83"/>
      <c r="BE159" s="101"/>
      <c r="BF159" s="101"/>
      <c r="BG159" s="101"/>
      <c r="BH159" s="101"/>
      <c r="BI159" s="101"/>
      <c r="BJ159" s="101"/>
      <c r="BK159" s="110"/>
      <c r="BL159" s="21" t="s">
        <v>1080</v>
      </c>
      <c r="BM159" s="22"/>
      <c r="BN159" s="23"/>
      <c r="BO159" s="47" t="s">
        <v>439</v>
      </c>
    </row>
    <row r="160" spans="1:67" x14ac:dyDescent="0.45">
      <c r="A160" s="46">
        <v>159</v>
      </c>
      <c r="B160" s="1" t="s">
        <v>1175</v>
      </c>
      <c r="C160" s="17" t="str">
        <f t="shared" si="16"/>
        <v>이행완료</v>
      </c>
      <c r="D160" s="17" t="str">
        <f t="shared" si="22"/>
        <v>조사완료</v>
      </c>
      <c r="E160" s="3" t="s">
        <v>1586</v>
      </c>
      <c r="F160" s="3" t="s">
        <v>440</v>
      </c>
      <c r="G160" s="3" t="s">
        <v>1587</v>
      </c>
      <c r="H160" s="18" t="s">
        <v>1202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MATCH($BO160, 입력!$Z$2:$Z$500, 0)) &amp; "", "")</f>
        <v>1</v>
      </c>
      <c r="S160" s="64" t="str">
        <f>IFERROR(INDEX(입력!$K$2:$K$500, MATCH($BO160,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 t="str">
        <f t="shared" si="21"/>
        <v/>
      </c>
      <c r="X160" s="1">
        <v>1</v>
      </c>
      <c r="Y160" s="64" t="str">
        <f>IFERROR(INDEX(입력!$M$2:$M$500, MATCH($BO160, 입력!$Z$2:$Z$500, 0)) &amp; "", "")</f>
        <v/>
      </c>
      <c r="Z160" s="64" t="str">
        <f>IFERROR(INDEX(입력!$N$2:$N$500, MATCH($BO160, 입력!$Z$2:$Z$500, 0)) &amp; "", "")</f>
        <v>1</v>
      </c>
      <c r="AA160" s="64">
        <f>MAX(0, 표1[[#This Row],[의무_시설]]-표1[[#This Row],[시설합]])</f>
        <v>0</v>
      </c>
      <c r="AB160" s="17" t="str">
        <f t="shared" si="23"/>
        <v>이행완료</v>
      </c>
      <c r="AC160" s="64" t="str">
        <f>IFERROR(INDEX(입력!$P$2:$P$500, MATCH($BO160, 입력!$Z$2:$Z$500, 0)) &amp; "", "")</f>
        <v/>
      </c>
      <c r="AD160" s="64" t="str">
        <f>IFERROR(INDEX(입력!$Q$2:$Q$500, MATCH($BO160, 입력!$Z$2:$Z$500, 0)) &amp; "", "")</f>
        <v/>
      </c>
      <c r="AE160" s="64" t="str">
        <f>IFERROR(INDEX(입력!$R$2:$R$500, MATCH($BO160, 입력!$Z$2:$Z$500, 0)) &amp; "", "")</f>
        <v>여</v>
      </c>
      <c r="AF160" s="64" t="str">
        <f>IFERROR(INDEX(입력!$S$2:$S$500, MATCH($BO160, 입력!$Z$2:$Z$500, 0)) &amp; "", "")</f>
        <v>여</v>
      </c>
      <c r="AG160" s="64" t="str">
        <f>IFERROR(INDEX(입력!$T$2:$T$500, MATCH($BO160, 입력!$Z$2:$Z$500, 0)) &amp; "", "")</f>
        <v/>
      </c>
      <c r="AH160" s="64" t="str">
        <f>IFERROR(INDEX(입력!$U$2:$U$500, MATCH($BO160, 입력!$Z$2:$Z$500, 0)) &amp; "", "")</f>
        <v/>
      </c>
      <c r="AI160" s="64" t="str">
        <f>IFERROR(INDEX(입력!$V$2:$V$500, MATCH($BO160, 입력!$Z$2:$Z$500, 0)) &amp; "", "")</f>
        <v>여</v>
      </c>
      <c r="AJ160" s="44" t="str">
        <f>IFERROR(INDEX(입력!$W$2:$W$500, MATCH($BO160, 입력!$Z$2:$Z$500, 0)) &amp; "", "")</f>
        <v>문성철</v>
      </c>
      <c r="AK160" s="44" t="str">
        <f>IFERROR(INDEX(입력!$X$2:$X$500, MATCH($BO160, 입력!$Z$2:$Z$500, 0)) &amp; "", "")</f>
        <v>720-2603</v>
      </c>
      <c r="AL160" s="2" t="s">
        <v>1588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3137</v>
      </c>
      <c r="AZ160" s="71" t="str">
        <f>IFERROR(IF(INDEX(입력!$C$2:$C$500, MATCH($BO160, 입력!$Z$2:$Z$500, 0))="", "", TEXT(INDEX(입력!$C$2:$C$500, MATCH($BO160, 입력!$Z$2:$Z$500, 0)), "yyyy-mm-dd")), "")</f>
        <v>2026-05-06</v>
      </c>
      <c r="BA160" s="44" t="str">
        <f>IFERROR(INDEX(입력!$B$2:$B$500, MATCH($BO160, 입력!$Z$2:$Z$500, 0)) &amp; "", "")</f>
        <v>정은진</v>
      </c>
      <c r="BB160" s="83" t="str">
        <f>IFERROR(INDEX(입력!$Y$2:$Y$500, MATCH($BO160, 입력!$Z$2:$Z$500, 0)) &amp; "", "")</f>
        <v/>
      </c>
      <c r="BC160" s="83" t="s">
        <v>3112</v>
      </c>
      <c r="BD160" s="83"/>
      <c r="BE160" s="101"/>
      <c r="BF160" s="101"/>
      <c r="BG160" s="101"/>
      <c r="BH160" s="101"/>
      <c r="BI160" s="101"/>
      <c r="BJ160" s="101"/>
      <c r="BK160" s="110"/>
      <c r="BL160" s="21" t="s">
        <v>1080</v>
      </c>
      <c r="BM160" s="22"/>
      <c r="BN160" s="23"/>
      <c r="BO160" s="47" t="s">
        <v>441</v>
      </c>
    </row>
    <row r="161" spans="1:67" x14ac:dyDescent="0.45">
      <c r="A161" s="19">
        <v>160</v>
      </c>
      <c r="B161" s="1" t="s">
        <v>1175</v>
      </c>
      <c r="C161" s="17" t="str">
        <f t="shared" si="16"/>
        <v>이행완료</v>
      </c>
      <c r="D161" s="17" t="str">
        <f t="shared" si="22"/>
        <v>조사완료</v>
      </c>
      <c r="E161" s="3" t="s">
        <v>1589</v>
      </c>
      <c r="F161" s="3" t="s">
        <v>442</v>
      </c>
      <c r="G161" s="3" t="s">
        <v>1590</v>
      </c>
      <c r="H161" s="18" t="s">
        <v>1202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MATCH($BO161, 입력!$Z$2:$Z$500, 0)) &amp; "", "")</f>
        <v>1</v>
      </c>
      <c r="S161" s="64" t="str">
        <f>IFERROR(INDEX(입력!$K$2:$K$500, MATCH($BO161,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 t="str">
        <f t="shared" si="21"/>
        <v/>
      </c>
      <c r="X161" s="1">
        <v>1</v>
      </c>
      <c r="Y161" s="64" t="str">
        <f>IFERROR(INDEX(입력!$M$2:$M$500, MATCH($BO161, 입력!$Z$2:$Z$500, 0)) &amp; "", "")</f>
        <v/>
      </c>
      <c r="Z161" s="64" t="str">
        <f>IFERROR(INDEX(입력!$N$2:$N$500, MATCH($BO161, 입력!$Z$2:$Z$500, 0)) &amp; "", "")</f>
        <v>1</v>
      </c>
      <c r="AA161" s="64">
        <f>MAX(0, 표1[[#This Row],[의무_시설]]-표1[[#This Row],[시설합]])</f>
        <v>0</v>
      </c>
      <c r="AB161" s="17" t="str">
        <f t="shared" si="23"/>
        <v>이행완료</v>
      </c>
      <c r="AC161" s="64" t="str">
        <f>IFERROR(INDEX(입력!$P$2:$P$500, MATCH($BO161, 입력!$Z$2:$Z$500, 0)) &amp; "", "")</f>
        <v/>
      </c>
      <c r="AD161" s="64" t="str">
        <f>IFERROR(INDEX(입력!$Q$2:$Q$500, MATCH($BO161, 입력!$Z$2:$Z$500, 0)) &amp; "", "")</f>
        <v/>
      </c>
      <c r="AE161" s="64" t="str">
        <f>IFERROR(INDEX(입력!$R$2:$R$500, MATCH($BO161, 입력!$Z$2:$Z$500, 0)) &amp; "", "")</f>
        <v>여</v>
      </c>
      <c r="AF161" s="64" t="str">
        <f>IFERROR(INDEX(입력!$S$2:$S$500, MATCH($BO161, 입력!$Z$2:$Z$500, 0)) &amp; "", "")</f>
        <v>여</v>
      </c>
      <c r="AG161" s="64" t="str">
        <f>IFERROR(INDEX(입력!$T$2:$T$500, MATCH($BO161, 입력!$Z$2:$Z$500, 0)) &amp; "", "")</f>
        <v/>
      </c>
      <c r="AH161" s="64" t="str">
        <f>IFERROR(INDEX(입력!$U$2:$U$500, MATCH($BO161, 입력!$Z$2:$Z$500, 0)) &amp; "", "")</f>
        <v/>
      </c>
      <c r="AI161" s="64" t="str">
        <f>IFERROR(INDEX(입력!$V$2:$V$500, MATCH($BO161, 입력!$Z$2:$Z$500, 0)) &amp; "", "")</f>
        <v>여</v>
      </c>
      <c r="AJ161" s="44" t="str">
        <f>IFERROR(INDEX(입력!$W$2:$W$500, MATCH($BO161, 입력!$Z$2:$Z$500, 0)) &amp; "", "")</f>
        <v>차인정</v>
      </c>
      <c r="AK161" s="44" t="str">
        <f>IFERROR(INDEX(입력!$X$2:$X$500, MATCH($BO161, 입력!$Z$2:$Z$500, 0)) &amp; "", "")</f>
        <v>960-5673</v>
      </c>
      <c r="AL161" s="2" t="s">
        <v>1591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3137</v>
      </c>
      <c r="AZ161" s="71" t="str">
        <f>IFERROR(IF(INDEX(입력!$C$2:$C$500, MATCH($BO161, 입력!$Z$2:$Z$500, 0))="", "", TEXT(INDEX(입력!$C$2:$C$500, MATCH($BO161, 입력!$Z$2:$Z$500, 0)), "yyyy-mm-dd")), "")</f>
        <v>2026-05-06</v>
      </c>
      <c r="BA161" s="44" t="str">
        <f>IFERROR(INDEX(입력!$B$2:$B$500, MATCH($BO161, 입력!$Z$2:$Z$500, 0)) &amp; "", "")</f>
        <v>정은진</v>
      </c>
      <c r="BB161" s="83" t="str">
        <f>IFERROR(INDEX(입력!$Y$2:$Y$500, MATCH($BO161, 입력!$Z$2:$Z$500, 0)) &amp; "", "")</f>
        <v/>
      </c>
      <c r="BC161" s="83" t="s">
        <v>3112</v>
      </c>
      <c r="BD161" s="83"/>
      <c r="BE161" s="101"/>
      <c r="BF161" s="101"/>
      <c r="BG161" s="101"/>
      <c r="BH161" s="101"/>
      <c r="BI161" s="101"/>
      <c r="BJ161" s="101"/>
      <c r="BK161" s="110"/>
      <c r="BL161" s="21" t="s">
        <v>1080</v>
      </c>
      <c r="BM161" s="22"/>
      <c r="BN161" s="23"/>
      <c r="BO161" s="47" t="s">
        <v>443</v>
      </c>
    </row>
    <row r="162" spans="1:67" x14ac:dyDescent="0.45">
      <c r="A162" s="46">
        <v>161</v>
      </c>
      <c r="B162" s="1" t="s">
        <v>1175</v>
      </c>
      <c r="C162" s="17" t="str">
        <f t="shared" si="16"/>
        <v>이행완료</v>
      </c>
      <c r="D162" s="17" t="str">
        <f t="shared" si="22"/>
        <v>조사완료</v>
      </c>
      <c r="E162" s="3" t="s">
        <v>1592</v>
      </c>
      <c r="F162" s="3" t="s">
        <v>444</v>
      </c>
      <c r="G162" s="3" t="s">
        <v>1593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MATCH($BO162, 입력!$Z$2:$Z$500, 0)) &amp; "", "")</f>
        <v>3</v>
      </c>
      <c r="S162" s="64" t="str">
        <f>IFERROR(INDEX(입력!$K$2:$K$500, MATCH($BO162,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 t="str">
        <f t="shared" si="21"/>
        <v/>
      </c>
      <c r="X162" s="1">
        <v>3</v>
      </c>
      <c r="Y162" s="64" t="str">
        <f>IFERROR(INDEX(입력!$M$2:$M$500, MATCH($BO162, 입력!$Z$2:$Z$500, 0)) &amp; "", "")</f>
        <v/>
      </c>
      <c r="Z162" s="64" t="str">
        <f>IFERROR(INDEX(입력!$N$2:$N$500, MATCH($BO162, 입력!$Z$2:$Z$500, 0)) &amp; "", "")</f>
        <v>3</v>
      </c>
      <c r="AA162" s="64">
        <f>MAX(0, 표1[[#This Row],[의무_시설]]-표1[[#This Row],[시설합]])</f>
        <v>0</v>
      </c>
      <c r="AB162" s="17" t="str">
        <f t="shared" si="23"/>
        <v>이행완료</v>
      </c>
      <c r="AC162" s="64" t="str">
        <f>IFERROR(INDEX(입력!$P$2:$P$500, MATCH($BO162, 입력!$Z$2:$Z$500, 0)) &amp; "", "")</f>
        <v/>
      </c>
      <c r="AD162" s="64" t="str">
        <f>IFERROR(INDEX(입력!$Q$2:$Q$500, MATCH($BO162, 입력!$Z$2:$Z$500, 0)) &amp; "", "")</f>
        <v/>
      </c>
      <c r="AE162" s="64" t="str">
        <f>IFERROR(INDEX(입력!$R$2:$R$500, MATCH($BO162, 입력!$Z$2:$Z$500, 0)) &amp; "", "")</f>
        <v>여</v>
      </c>
      <c r="AF162" s="64" t="str">
        <f>IFERROR(INDEX(입력!$S$2:$S$500, MATCH($BO162, 입력!$Z$2:$Z$500, 0)) &amp; "", "")</f>
        <v>여</v>
      </c>
      <c r="AG162" s="64" t="str">
        <f>IFERROR(INDEX(입력!$T$2:$T$500, MATCH($BO162, 입력!$Z$2:$Z$500, 0)) &amp; "", "")</f>
        <v/>
      </c>
      <c r="AH162" s="64" t="str">
        <f>IFERROR(INDEX(입력!$U$2:$U$500, MATCH($BO162, 입력!$Z$2:$Z$500, 0)) &amp; "", "")</f>
        <v/>
      </c>
      <c r="AI162" s="64" t="str">
        <f>IFERROR(INDEX(입력!$V$2:$V$500, MATCH($BO162, 입력!$Z$2:$Z$500, 0)) &amp; "", "")</f>
        <v>여</v>
      </c>
      <c r="AJ162" s="44" t="str">
        <f>IFERROR(INDEX(입력!$W$2:$W$500, MATCH($BO162, 입력!$Z$2:$Z$500, 0)) &amp; "", "")</f>
        <v>나정수</v>
      </c>
      <c r="AK162" s="44" t="str">
        <f>IFERROR(INDEX(입력!$X$2:$X$500, MATCH($BO162, 입력!$Z$2:$Z$500, 0)) &amp; "", "")</f>
        <v>940-8804</v>
      </c>
      <c r="AL162" s="2" t="s">
        <v>1594</v>
      </c>
      <c r="AM162" s="17" t="s">
        <v>1251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3137</v>
      </c>
      <c r="AZ162" s="71" t="str">
        <f>IFERROR(IF(INDEX(입력!$C$2:$C$500, MATCH($BO162, 입력!$Z$2:$Z$500, 0))="", "", TEXT(INDEX(입력!$C$2:$C$500, MATCH($BO162, 입력!$Z$2:$Z$500, 0)), "yyyy-mm-dd")), "")</f>
        <v>2026-05-04</v>
      </c>
      <c r="BA162" s="44" t="str">
        <f>IFERROR(INDEX(입력!$B$2:$B$500, MATCH($BO162, 입력!$Z$2:$Z$500, 0)) &amp; "", "")</f>
        <v>노기섭</v>
      </c>
      <c r="BB162" s="83" t="str">
        <f>IFERROR(INDEX(입력!$Y$2:$Y$500, MATCH($BO162, 입력!$Z$2:$Z$500, 0)) &amp; "", "")</f>
        <v/>
      </c>
      <c r="BC162" s="83" t="s">
        <v>3112</v>
      </c>
      <c r="BD162" s="83"/>
      <c r="BE162" s="101"/>
      <c r="BF162" s="101"/>
      <c r="BG162" s="101"/>
      <c r="BH162" s="101"/>
      <c r="BI162" s="101"/>
      <c r="BJ162" s="101"/>
      <c r="BK162" s="110"/>
      <c r="BL162" s="21" t="s">
        <v>1080</v>
      </c>
      <c r="BM162" s="22"/>
      <c r="BN162" s="23"/>
      <c r="BO162" s="47" t="s">
        <v>445</v>
      </c>
    </row>
    <row r="163" spans="1:67" x14ac:dyDescent="0.45">
      <c r="A163" s="19">
        <v>162</v>
      </c>
      <c r="B163" s="1" t="s">
        <v>1175</v>
      </c>
      <c r="C163" s="17" t="str">
        <f t="shared" si="16"/>
        <v>이행완료</v>
      </c>
      <c r="D163" s="17" t="str">
        <f t="shared" si="22"/>
        <v>조사완료</v>
      </c>
      <c r="E163" s="3" t="s">
        <v>1595</v>
      </c>
      <c r="F163" s="3" t="s">
        <v>446</v>
      </c>
      <c r="G163" s="3" t="s">
        <v>1596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MATCH($BO163, 입력!$Z$2:$Z$500, 0)) &amp; "", "")</f>
        <v>2</v>
      </c>
      <c r="S163" s="64" t="str">
        <f>IFERROR(INDEX(입력!$K$2:$K$500, MATCH($BO163,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 t="str">
        <f t="shared" si="21"/>
        <v/>
      </c>
      <c r="X163" s="1">
        <v>2</v>
      </c>
      <c r="Y163" s="64" t="str">
        <f>IFERROR(INDEX(입력!$M$2:$M$500, MATCH($BO163, 입력!$Z$2:$Z$500, 0)) &amp; "", "")</f>
        <v/>
      </c>
      <c r="Z163" s="64" t="str">
        <f>IFERROR(INDEX(입력!$N$2:$N$500, MATCH($BO163, 입력!$Z$2:$Z$500, 0)) &amp; "", "")</f>
        <v>2</v>
      </c>
      <c r="AA163" s="64">
        <f>MAX(0, 표1[[#This Row],[의무_시설]]-표1[[#This Row],[시설합]])</f>
        <v>0</v>
      </c>
      <c r="AB163" s="17" t="str">
        <f t="shared" si="23"/>
        <v>이행완료</v>
      </c>
      <c r="AC163" s="64" t="str">
        <f>IFERROR(INDEX(입력!$P$2:$P$500, MATCH($BO163, 입력!$Z$2:$Z$500, 0)) &amp; "", "")</f>
        <v/>
      </c>
      <c r="AD163" s="64" t="str">
        <f>IFERROR(INDEX(입력!$Q$2:$Q$500, MATCH($BO163, 입력!$Z$2:$Z$500, 0)) &amp; "", "")</f>
        <v/>
      </c>
      <c r="AE163" s="64" t="str">
        <f>IFERROR(INDEX(입력!$R$2:$R$500, MATCH($BO163, 입력!$Z$2:$Z$500, 0)) &amp; "", "")</f>
        <v>여</v>
      </c>
      <c r="AF163" s="64" t="str">
        <f>IFERROR(INDEX(입력!$S$2:$S$500, MATCH($BO163, 입력!$Z$2:$Z$500, 0)) &amp; "", "")</f>
        <v>여</v>
      </c>
      <c r="AG163" s="64" t="str">
        <f>IFERROR(INDEX(입력!$T$2:$T$500, MATCH($BO163, 입력!$Z$2:$Z$500, 0)) &amp; "", "")</f>
        <v/>
      </c>
      <c r="AH163" s="64" t="str">
        <f>IFERROR(INDEX(입력!$U$2:$U$500, MATCH($BO163, 입력!$Z$2:$Z$500, 0)) &amp; "", "")</f>
        <v/>
      </c>
      <c r="AI163" s="64" t="str">
        <f>IFERROR(INDEX(입력!$V$2:$V$500, MATCH($BO163, 입력!$Z$2:$Z$500, 0)) &amp; "", "")</f>
        <v>여</v>
      </c>
      <c r="AJ163" s="44" t="str">
        <f>IFERROR(INDEX(입력!$W$2:$W$500, MATCH($BO163, 입력!$Z$2:$Z$500, 0)) &amp; "", "")</f>
        <v>최연빈</v>
      </c>
      <c r="AK163" s="44" t="str">
        <f>IFERROR(INDEX(입력!$X$2:$X$500, MATCH($BO163, 입력!$Z$2:$Z$500, 0)) &amp; "", "")</f>
        <v>949-0500</v>
      </c>
      <c r="AL163" s="2" t="s">
        <v>1597</v>
      </c>
      <c r="AM163" s="17" t="s">
        <v>1060</v>
      </c>
      <c r="AN163" s="83"/>
      <c r="AO163" s="17" t="s">
        <v>1089</v>
      </c>
      <c r="AP163" s="2"/>
      <c r="AQ163" s="21"/>
      <c r="AR163" s="22" t="s">
        <v>1598</v>
      </c>
      <c r="AS163" s="101"/>
      <c r="AT163" s="101"/>
      <c r="AU163" s="101"/>
      <c r="AV163" s="101"/>
      <c r="AW163" s="101"/>
      <c r="AX163" s="101"/>
      <c r="AY163" s="83" t="s">
        <v>3131</v>
      </c>
      <c r="AZ163" s="71" t="str">
        <f>IFERROR(IF(INDEX(입력!$C$2:$C$500, MATCH($BO163, 입력!$Z$2:$Z$500, 0))="", "", TEXT(INDEX(입력!$C$2:$C$500, MATCH($BO163, 입력!$Z$2:$Z$500, 0)), "yyyy-mm-dd")), "")</f>
        <v>2026-04-16</v>
      </c>
      <c r="BA163" s="44" t="str">
        <f>IFERROR(INDEX(입력!$B$2:$B$500, MATCH($BO163, 입력!$Z$2:$Z$500, 0)) &amp; "", "")</f>
        <v>노기섭</v>
      </c>
      <c r="BB163" s="83" t="str">
        <f>IFERROR(INDEX(입력!$Y$2:$Y$500, MATCH($BO163, 입력!$Z$2:$Z$500, 0)) &amp; "", "")</f>
        <v/>
      </c>
      <c r="BC163" s="83" t="s">
        <v>3112</v>
      </c>
      <c r="BD163" s="83"/>
      <c r="BE163" s="101"/>
      <c r="BF163" s="101"/>
      <c r="BG163" s="101"/>
      <c r="BH163" s="101"/>
      <c r="BI163" s="101"/>
      <c r="BJ163" s="101"/>
      <c r="BK163" s="110"/>
      <c r="BL163" s="21" t="s">
        <v>1080</v>
      </c>
      <c r="BM163" s="22"/>
      <c r="BN163" s="23"/>
      <c r="BO163" s="47" t="s">
        <v>447</v>
      </c>
    </row>
    <row r="164" spans="1:67" x14ac:dyDescent="0.45">
      <c r="A164" s="46">
        <v>163</v>
      </c>
      <c r="B164" s="1" t="s">
        <v>1175</v>
      </c>
      <c r="C164" s="17" t="str">
        <f t="shared" si="16"/>
        <v>미이행</v>
      </c>
      <c r="D164" s="17" t="str">
        <f t="shared" si="22"/>
        <v>조사완료</v>
      </c>
      <c r="E164" s="3" t="s">
        <v>1599</v>
      </c>
      <c r="F164" s="3" t="s">
        <v>448</v>
      </c>
      <c r="G164" s="3" t="s">
        <v>1600</v>
      </c>
      <c r="H164" s="18" t="s">
        <v>1172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MATCH($BO164, 입력!$Z$2:$Z$500, 0)) &amp; "", "")</f>
        <v>2</v>
      </c>
      <c r="S164" s="64" t="str">
        <f>IFERROR(INDEX(입력!$K$2:$K$500, MATCH($BO164,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 t="str">
        <f t="shared" si="21"/>
        <v/>
      </c>
      <c r="X164" s="1">
        <v>2</v>
      </c>
      <c r="Y164" s="64" t="str">
        <f>IFERROR(INDEX(입력!$M$2:$M$500, MATCH($BO164, 입력!$Z$2:$Z$500, 0)) &amp; "", "")</f>
        <v/>
      </c>
      <c r="Z164" s="64" t="str">
        <f>IFERROR(INDEX(입력!$N$2:$N$500, MATCH($BO164, 입력!$Z$2:$Z$500, 0)) &amp; "", "")</f>
        <v>2</v>
      </c>
      <c r="AA164" s="64">
        <f>MAX(0, 표1[[#This Row],[의무_시설]]-표1[[#This Row],[시설합]])</f>
        <v>2</v>
      </c>
      <c r="AB164" s="17" t="str">
        <f t="shared" si="23"/>
        <v>미이행</v>
      </c>
      <c r="AC164" s="64" t="str">
        <f>IFERROR(INDEX(입력!$P$2:$P$500, MATCH($BO164, 입력!$Z$2:$Z$500, 0)) &amp; "", "")</f>
        <v/>
      </c>
      <c r="AD164" s="64" t="str">
        <f>IFERROR(INDEX(입력!$Q$2:$Q$500, MATCH($BO164, 입력!$Z$2:$Z$500, 0)) &amp; "", "")</f>
        <v/>
      </c>
      <c r="AE164" s="64" t="str">
        <f>IFERROR(INDEX(입력!$R$2:$R$500, MATCH($BO164, 입력!$Z$2:$Z$500, 0)) &amp; "", "")</f>
        <v>여</v>
      </c>
      <c r="AF164" s="64" t="str">
        <f>IFERROR(INDEX(입력!$S$2:$S$500, MATCH($BO164, 입력!$Z$2:$Z$500, 0)) &amp; "", "")</f>
        <v>여</v>
      </c>
      <c r="AG164" s="64" t="str">
        <f>IFERROR(INDEX(입력!$T$2:$T$500, MATCH($BO164, 입력!$Z$2:$Z$500, 0)) &amp; "", "")</f>
        <v/>
      </c>
      <c r="AH164" s="64" t="str">
        <f>IFERROR(INDEX(입력!$U$2:$U$500, MATCH($BO164, 입력!$Z$2:$Z$500, 0)) &amp; "", "")</f>
        <v/>
      </c>
      <c r="AI164" s="64" t="str">
        <f>IFERROR(INDEX(입력!$V$2:$V$500, MATCH($BO164, 입력!$Z$2:$Z$500, 0)) &amp; "", "")</f>
        <v>여</v>
      </c>
      <c r="AJ164" s="44" t="str">
        <f>IFERROR(INDEX(입력!$W$2:$W$500, MATCH($BO164, 입력!$Z$2:$Z$500, 0)) &amp; "", "")</f>
        <v>배선호</v>
      </c>
      <c r="AK164" s="44" t="str">
        <f>IFERROR(INDEX(입력!$X$2:$X$500, MATCH($BO164, 입력!$Z$2:$Z$500, 0)) &amp; "", "")</f>
        <v>970-0552</v>
      </c>
      <c r="AL164" s="2" t="s">
        <v>1601</v>
      </c>
      <c r="AM164" s="17" t="s">
        <v>1114</v>
      </c>
      <c r="AN164" s="83"/>
      <c r="AO164" s="17" t="s">
        <v>1059</v>
      </c>
      <c r="AP164" s="117" t="s">
        <v>3267</v>
      </c>
      <c r="AQ164" s="108" t="s">
        <v>3169</v>
      </c>
      <c r="AR164" s="22"/>
      <c r="AS164" s="101" t="s">
        <v>3163</v>
      </c>
      <c r="AT164" s="109">
        <v>46104</v>
      </c>
      <c r="AU164" s="101" t="s">
        <v>3127</v>
      </c>
      <c r="AV164" s="101" t="s">
        <v>3245</v>
      </c>
      <c r="AW164" s="101" t="s">
        <v>3268</v>
      </c>
      <c r="AX164" s="101" t="s">
        <v>3269</v>
      </c>
      <c r="AY164" s="83" t="s">
        <v>3132</v>
      </c>
      <c r="AZ164" s="71" t="str">
        <f>IFERROR(IF(INDEX(입력!$C$2:$C$500, MATCH($BO164, 입력!$Z$2:$Z$500, 0))="", "", TEXT(INDEX(입력!$C$2:$C$500, MATCH($BO164, 입력!$Z$2:$Z$500, 0)), "yyyy-mm-dd")), "")</f>
        <v>2026-04-20</v>
      </c>
      <c r="BA164" s="44" t="str">
        <f>IFERROR(INDEX(입력!$B$2:$B$500, MATCH($BO164, 입력!$Z$2:$Z$500, 0)) &amp; "", "")</f>
        <v>이승수</v>
      </c>
      <c r="BB164" s="83" t="str">
        <f>IFERROR(INDEX(입력!$Y$2:$Y$500, MATCH($BO164, 입력!$Z$2:$Z$500, 0)) &amp; "", "")</f>
        <v>예산확보중. '26년 내 진행예정.</v>
      </c>
      <c r="BC164" s="83" t="s">
        <v>3159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3955</v>
      </c>
      <c r="BI164" s="101" t="s">
        <v>3980</v>
      </c>
      <c r="BJ164" s="101"/>
      <c r="BK164" s="110" t="s">
        <v>3981</v>
      </c>
      <c r="BL164" s="21" t="s">
        <v>1080</v>
      </c>
      <c r="BM164" s="22"/>
      <c r="BN164" s="23"/>
      <c r="BO164" s="47" t="s">
        <v>449</v>
      </c>
    </row>
    <row r="165" spans="1:67" x14ac:dyDescent="0.45">
      <c r="A165" s="19">
        <v>164</v>
      </c>
      <c r="B165" s="1" t="s">
        <v>1175</v>
      </c>
      <c r="C165" s="17" t="str">
        <f t="shared" si="16"/>
        <v>이행완료</v>
      </c>
      <c r="D165" s="17" t="str">
        <f t="shared" si="22"/>
        <v>조사완료</v>
      </c>
      <c r="E165" s="3" t="s">
        <v>1602</v>
      </c>
      <c r="F165" s="3" t="s">
        <v>450</v>
      </c>
      <c r="G165" s="3" t="s">
        <v>1603</v>
      </c>
      <c r="H165" s="18" t="s">
        <v>1202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MATCH($BO165, 입력!$Z$2:$Z$500, 0)) &amp; "", "")</f>
        <v>1</v>
      </c>
      <c r="S165" s="64" t="str">
        <f>IFERROR(INDEX(입력!$K$2:$K$500, MATCH($BO165,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 t="str">
        <f t="shared" si="21"/>
        <v/>
      </c>
      <c r="X165" s="1">
        <v>1</v>
      </c>
      <c r="Y165" s="64" t="str">
        <f>IFERROR(INDEX(입력!$M$2:$M$500, MATCH($BO165, 입력!$Z$2:$Z$500, 0)) &amp; "", "")</f>
        <v/>
      </c>
      <c r="Z165" s="64" t="str">
        <f>IFERROR(INDEX(입력!$N$2:$N$500, MATCH($BO165, 입력!$Z$2:$Z$500, 0)) &amp; "", "")</f>
        <v>1</v>
      </c>
      <c r="AA165" s="64">
        <f>MAX(0, 표1[[#This Row],[의무_시설]]-표1[[#This Row],[시설합]])</f>
        <v>0</v>
      </c>
      <c r="AB165" s="17" t="str">
        <f t="shared" si="23"/>
        <v>이행완료</v>
      </c>
      <c r="AC165" s="64" t="str">
        <f>IFERROR(INDEX(입력!$P$2:$P$500, MATCH($BO165, 입력!$Z$2:$Z$500, 0)) &amp; "", "")</f>
        <v/>
      </c>
      <c r="AD165" s="64" t="str">
        <f>IFERROR(INDEX(입력!$Q$2:$Q$500, MATCH($BO165, 입력!$Z$2:$Z$500, 0)) &amp; "", "")</f>
        <v/>
      </c>
      <c r="AE165" s="64" t="str">
        <f>IFERROR(INDEX(입력!$R$2:$R$500, MATCH($BO165, 입력!$Z$2:$Z$500, 0)) &amp; "", "")</f>
        <v>여</v>
      </c>
      <c r="AF165" s="64" t="str">
        <f>IFERROR(INDEX(입력!$S$2:$S$500, MATCH($BO165, 입력!$Z$2:$Z$500, 0)) &amp; "", "")</f>
        <v>부</v>
      </c>
      <c r="AG165" s="64" t="str">
        <f>IFERROR(INDEX(입력!$T$2:$T$500, MATCH($BO165, 입력!$Z$2:$Z$500, 0)) &amp; "", "")</f>
        <v/>
      </c>
      <c r="AH165" s="64" t="str">
        <f>IFERROR(INDEX(입력!$U$2:$U$500, MATCH($BO165, 입력!$Z$2:$Z$500, 0)) &amp; "", "")</f>
        <v/>
      </c>
      <c r="AI165" s="64" t="str">
        <f>IFERROR(INDEX(입력!$V$2:$V$500, MATCH($BO165, 입력!$Z$2:$Z$500, 0)) &amp; "", "")</f>
        <v>여</v>
      </c>
      <c r="AJ165" s="44" t="str">
        <f>IFERROR(INDEX(입력!$W$2:$W$500, MATCH($BO165, 입력!$Z$2:$Z$500, 0)) &amp; "", "")</f>
        <v>양수연</v>
      </c>
      <c r="AK165" s="44" t="str">
        <f>IFERROR(INDEX(입력!$X$2:$X$500, MATCH($BO165, 입력!$Z$2:$Z$500, 0)) &amp; "", "")</f>
        <v>949-4605</v>
      </c>
      <c r="AL165" s="2" t="s">
        <v>1604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3137</v>
      </c>
      <c r="AZ165" s="71" t="str">
        <f>IFERROR(IF(INDEX(입력!$C$2:$C$500, MATCH($BO165, 입력!$Z$2:$Z$500, 0))="", "", TEXT(INDEX(입력!$C$2:$C$500, MATCH($BO165, 입력!$Z$2:$Z$500, 0)), "yyyy-mm-dd")), "")</f>
        <v>2026-04-29</v>
      </c>
      <c r="BA165" s="44" t="str">
        <f>IFERROR(INDEX(입력!$B$2:$B$500, MATCH($BO165, 입력!$Z$2:$Z$500, 0)) &amp; "", "")</f>
        <v>정은진</v>
      </c>
      <c r="BB165" s="83" t="str">
        <f>IFERROR(INDEX(입력!$Y$2:$Y$500, MATCH($BO165, 입력!$Z$2:$Z$500, 0)) &amp; "", "")</f>
        <v/>
      </c>
      <c r="BC165" s="83" t="s">
        <v>3112</v>
      </c>
      <c r="BD165" s="83"/>
      <c r="BE165" s="101"/>
      <c r="BF165" s="101"/>
      <c r="BG165" s="101"/>
      <c r="BH165" s="101"/>
      <c r="BI165" s="101"/>
      <c r="BJ165" s="101"/>
      <c r="BK165" s="110"/>
      <c r="BL165" s="21" t="s">
        <v>1080</v>
      </c>
      <c r="BM165" s="22"/>
      <c r="BN165" s="23"/>
      <c r="BO165" s="47" t="s">
        <v>451</v>
      </c>
    </row>
    <row r="166" spans="1:67" x14ac:dyDescent="0.45">
      <c r="A166" s="46">
        <v>165</v>
      </c>
      <c r="B166" s="1" t="s">
        <v>1175</v>
      </c>
      <c r="C166" s="17" t="str">
        <f t="shared" si="16"/>
        <v>이행완료</v>
      </c>
      <c r="D166" s="17" t="str">
        <f t="shared" si="22"/>
        <v>조사완료</v>
      </c>
      <c r="E166" s="3" t="s">
        <v>1605</v>
      </c>
      <c r="F166" s="3" t="s">
        <v>452</v>
      </c>
      <c r="G166" s="3" t="s">
        <v>1606</v>
      </c>
      <c r="H166" s="18" t="s">
        <v>1202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MATCH($BO166, 입력!$Z$2:$Z$500, 0)) &amp; "", "")</f>
        <v>1</v>
      </c>
      <c r="S166" s="64" t="str">
        <f>IFERROR(INDEX(입력!$K$2:$K$500, MATCH($BO166,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 t="str">
        <f t="shared" si="21"/>
        <v/>
      </c>
      <c r="X166" s="1">
        <v>1</v>
      </c>
      <c r="Y166" s="64" t="str">
        <f>IFERROR(INDEX(입력!$M$2:$M$500, MATCH($BO166, 입력!$Z$2:$Z$500, 0)) &amp; "", "")</f>
        <v/>
      </c>
      <c r="Z166" s="64" t="str">
        <f>IFERROR(INDEX(입력!$N$2:$N$500, MATCH($BO166, 입력!$Z$2:$Z$500, 0)) &amp; "", "")</f>
        <v>1</v>
      </c>
      <c r="AA166" s="64">
        <f>MAX(0, 표1[[#This Row],[의무_시설]]-표1[[#This Row],[시설합]])</f>
        <v>0</v>
      </c>
      <c r="AB166" s="17" t="str">
        <f t="shared" si="23"/>
        <v>이행완료</v>
      </c>
      <c r="AC166" s="64" t="str">
        <f>IFERROR(INDEX(입력!$P$2:$P$500, MATCH($BO166, 입력!$Z$2:$Z$500, 0)) &amp; "", "")</f>
        <v/>
      </c>
      <c r="AD166" s="64" t="str">
        <f>IFERROR(INDEX(입력!$Q$2:$Q$500, MATCH($BO166, 입력!$Z$2:$Z$500, 0)) &amp; "", "")</f>
        <v/>
      </c>
      <c r="AE166" s="64" t="str">
        <f>IFERROR(INDEX(입력!$R$2:$R$500, MATCH($BO166, 입력!$Z$2:$Z$500, 0)) &amp; "", "")</f>
        <v>여</v>
      </c>
      <c r="AF166" s="64" t="str">
        <f>IFERROR(INDEX(입력!$S$2:$S$500, MATCH($BO166, 입력!$Z$2:$Z$500, 0)) &amp; "", "")</f>
        <v>여</v>
      </c>
      <c r="AG166" s="64" t="str">
        <f>IFERROR(INDEX(입력!$T$2:$T$500, MATCH($BO166, 입력!$Z$2:$Z$500, 0)) &amp; "", "")</f>
        <v/>
      </c>
      <c r="AH166" s="64" t="str">
        <f>IFERROR(INDEX(입력!$U$2:$U$500, MATCH($BO166, 입력!$Z$2:$Z$500, 0)) &amp; "", "")</f>
        <v/>
      </c>
      <c r="AI166" s="64" t="str">
        <f>IFERROR(INDEX(입력!$V$2:$V$500, MATCH($BO166, 입력!$Z$2:$Z$500, 0)) &amp; "", "")</f>
        <v>여</v>
      </c>
      <c r="AJ166" s="44" t="str">
        <f>IFERROR(INDEX(입력!$W$2:$W$500, MATCH($BO166, 입력!$Z$2:$Z$500, 0)) &amp; "", "")</f>
        <v>김정아</v>
      </c>
      <c r="AK166" s="44" t="str">
        <f>IFERROR(INDEX(입력!$X$2:$X$500, MATCH($BO166, 입력!$Z$2:$Z$500, 0)) &amp; "", "")</f>
        <v>714-8855</v>
      </c>
      <c r="AL166" s="2" t="s">
        <v>1607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3131</v>
      </c>
      <c r="AZ166" s="71" t="str">
        <f>IFERROR(IF(INDEX(입력!$C$2:$C$500, MATCH($BO166, 입력!$Z$2:$Z$500, 0))="", "", TEXT(INDEX(입력!$C$2:$C$500, MATCH($BO166, 입력!$Z$2:$Z$500, 0)), "yyyy-mm-dd")), "")</f>
        <v>2026-05-06</v>
      </c>
      <c r="BA166" s="44" t="str">
        <f>IFERROR(INDEX(입력!$B$2:$B$500, MATCH($BO166, 입력!$Z$2:$Z$500, 0)) &amp; "", "")</f>
        <v>정은진</v>
      </c>
      <c r="BB166" s="83" t="str">
        <f>IFERROR(INDEX(입력!$Y$2:$Y$500, MATCH($BO166, 입력!$Z$2:$Z$500, 0)) &amp; "", "")</f>
        <v/>
      </c>
      <c r="BC166" s="83" t="s">
        <v>3112</v>
      </c>
      <c r="BD166" s="83"/>
      <c r="BE166" s="101"/>
      <c r="BF166" s="101"/>
      <c r="BG166" s="101"/>
      <c r="BH166" s="101"/>
      <c r="BI166" s="101"/>
      <c r="BJ166" s="101"/>
      <c r="BK166" s="110"/>
      <c r="BL166" s="21" t="s">
        <v>1080</v>
      </c>
      <c r="BM166" s="22"/>
      <c r="BN166" s="23"/>
      <c r="BO166" s="47" t="s">
        <v>453</v>
      </c>
    </row>
    <row r="167" spans="1:67" x14ac:dyDescent="0.45">
      <c r="A167" s="19">
        <v>166</v>
      </c>
      <c r="B167" s="1" t="s">
        <v>1175</v>
      </c>
      <c r="C167" s="17" t="str">
        <f t="shared" si="16"/>
        <v>이행완료</v>
      </c>
      <c r="D167" s="17" t="str">
        <f t="shared" si="22"/>
        <v>조사완료</v>
      </c>
      <c r="E167" s="3" t="s">
        <v>1608</v>
      </c>
      <c r="F167" s="3" t="s">
        <v>454</v>
      </c>
      <c r="G167" s="3" t="s">
        <v>1609</v>
      </c>
      <c r="H167" s="18" t="s">
        <v>1202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MATCH($BO167, 입력!$Z$2:$Z$500, 0)) &amp; "", "")</f>
        <v>1</v>
      </c>
      <c r="S167" s="64" t="str">
        <f>IFERROR(INDEX(입력!$K$2:$K$500, MATCH($BO167,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 t="str">
        <f t="shared" si="21"/>
        <v/>
      </c>
      <c r="X167" s="1">
        <v>1</v>
      </c>
      <c r="Y167" s="64" t="str">
        <f>IFERROR(INDEX(입력!$M$2:$M$500, MATCH($BO167, 입력!$Z$2:$Z$500, 0)) &amp; "", "")</f>
        <v/>
      </c>
      <c r="Z167" s="64" t="str">
        <f>IFERROR(INDEX(입력!$N$2:$N$500, MATCH($BO167, 입력!$Z$2:$Z$500, 0)) &amp; "", "")</f>
        <v>1</v>
      </c>
      <c r="AA167" s="64">
        <f>MAX(0, 표1[[#This Row],[의무_시설]]-표1[[#This Row],[시설합]])</f>
        <v>0</v>
      </c>
      <c r="AB167" s="17" t="str">
        <f t="shared" si="23"/>
        <v>이행완료</v>
      </c>
      <c r="AC167" s="64" t="str">
        <f>IFERROR(INDEX(입력!$P$2:$P$500, MATCH($BO167, 입력!$Z$2:$Z$500, 0)) &amp; "", "")</f>
        <v/>
      </c>
      <c r="AD167" s="64" t="str">
        <f>IFERROR(INDEX(입력!$Q$2:$Q$500, MATCH($BO167, 입력!$Z$2:$Z$500, 0)) &amp; "", "")</f>
        <v/>
      </c>
      <c r="AE167" s="64" t="str">
        <f>IFERROR(INDEX(입력!$R$2:$R$500, MATCH($BO167, 입력!$Z$2:$Z$500, 0)) &amp; "", "")</f>
        <v>여</v>
      </c>
      <c r="AF167" s="64" t="str">
        <f>IFERROR(INDEX(입력!$S$2:$S$500, MATCH($BO167, 입력!$Z$2:$Z$500, 0)) &amp; "", "")</f>
        <v>부</v>
      </c>
      <c r="AG167" s="64" t="str">
        <f>IFERROR(INDEX(입력!$T$2:$T$500, MATCH($BO167, 입력!$Z$2:$Z$500, 0)) &amp; "", "")</f>
        <v/>
      </c>
      <c r="AH167" s="64" t="str">
        <f>IFERROR(INDEX(입력!$U$2:$U$500, MATCH($BO167, 입력!$Z$2:$Z$500, 0)) &amp; "", "")</f>
        <v/>
      </c>
      <c r="AI167" s="64" t="str">
        <f>IFERROR(INDEX(입력!$V$2:$V$500, MATCH($BO167, 입력!$Z$2:$Z$500, 0)) &amp; "", "")</f>
        <v>여</v>
      </c>
      <c r="AJ167" s="44" t="str">
        <f>IFERROR(INDEX(입력!$W$2:$W$500, MATCH($BO167, 입력!$Z$2:$Z$500, 0)) &amp; "", "")</f>
        <v>정성연</v>
      </c>
      <c r="AK167" s="44" t="str">
        <f>IFERROR(INDEX(입력!$X$2:$X$500, MATCH($BO167, 입력!$Z$2:$Z$500, 0)) &amp; "", "")</f>
        <v>960-4522</v>
      </c>
      <c r="AL167" s="2" t="s">
        <v>1610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3137</v>
      </c>
      <c r="AZ167" s="71" t="str">
        <f>IFERROR(IF(INDEX(입력!$C$2:$C$500, MATCH($BO167, 입력!$Z$2:$Z$500, 0))="", "", TEXT(INDEX(입력!$C$2:$C$500, MATCH($BO167, 입력!$Z$2:$Z$500, 0)), "yyyy-mm-dd")), "")</f>
        <v>2026-05-06</v>
      </c>
      <c r="BA167" s="44" t="str">
        <f>IFERROR(INDEX(입력!$B$2:$B$500, MATCH($BO167, 입력!$Z$2:$Z$500, 0)) &amp; "", "")</f>
        <v>정은진</v>
      </c>
      <c r="BB167" s="83" t="str">
        <f>IFERROR(INDEX(입력!$Y$2:$Y$500, MATCH($BO167, 입력!$Z$2:$Z$500, 0)) &amp; "", "")</f>
        <v/>
      </c>
      <c r="BC167" s="83" t="s">
        <v>3112</v>
      </c>
      <c r="BD167" s="83"/>
      <c r="BE167" s="101"/>
      <c r="BF167" s="101"/>
      <c r="BG167" s="101"/>
      <c r="BH167" s="101"/>
      <c r="BI167" s="101"/>
      <c r="BJ167" s="101"/>
      <c r="BK167" s="110"/>
      <c r="BL167" s="21" t="s">
        <v>1080</v>
      </c>
      <c r="BM167" s="22"/>
      <c r="BN167" s="23"/>
      <c r="BO167" s="47" t="s">
        <v>455</v>
      </c>
    </row>
    <row r="168" spans="1:67" x14ac:dyDescent="0.45">
      <c r="A168" s="46">
        <v>167</v>
      </c>
      <c r="B168" s="1" t="s">
        <v>1175</v>
      </c>
      <c r="C168" s="17" t="str">
        <f t="shared" si="16"/>
        <v>이행완료</v>
      </c>
      <c r="D168" s="17" t="str">
        <f t="shared" si="22"/>
        <v>조사완료</v>
      </c>
      <c r="E168" s="3" t="s">
        <v>1611</v>
      </c>
      <c r="F168" s="3" t="s">
        <v>456</v>
      </c>
      <c r="G168" s="3" t="s">
        <v>1612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MATCH($BO168, 입력!$Z$2:$Z$500, 0)) &amp; "", "")</f>
        <v>2</v>
      </c>
      <c r="S168" s="64" t="str">
        <f>IFERROR(INDEX(입력!$K$2:$K$500, MATCH($BO168,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 t="str">
        <f t="shared" si="21"/>
        <v/>
      </c>
      <c r="X168" s="1">
        <v>2</v>
      </c>
      <c r="Y168" s="64" t="str">
        <f>IFERROR(INDEX(입력!$M$2:$M$500, MATCH($BO168, 입력!$Z$2:$Z$500, 0)) &amp; "", "")</f>
        <v/>
      </c>
      <c r="Z168" s="64" t="str">
        <f>IFERROR(INDEX(입력!$N$2:$N$500, MATCH($BO168, 입력!$Z$2:$Z$500, 0)) &amp; "", "")</f>
        <v>2</v>
      </c>
      <c r="AA168" s="64">
        <f>MAX(0, 표1[[#This Row],[의무_시설]]-표1[[#This Row],[시설합]])</f>
        <v>0</v>
      </c>
      <c r="AB168" s="17" t="str">
        <f t="shared" si="23"/>
        <v>이행완료</v>
      </c>
      <c r="AC168" s="64" t="str">
        <f>IFERROR(INDEX(입력!$P$2:$P$500, MATCH($BO168, 입력!$Z$2:$Z$500, 0)) &amp; "", "")</f>
        <v/>
      </c>
      <c r="AD168" s="64" t="str">
        <f>IFERROR(INDEX(입력!$Q$2:$Q$500, MATCH($BO168, 입력!$Z$2:$Z$500, 0)) &amp; "", "")</f>
        <v/>
      </c>
      <c r="AE168" s="64" t="str">
        <f>IFERROR(INDEX(입력!$R$2:$R$500, MATCH($BO168, 입력!$Z$2:$Z$500, 0)) &amp; "", "")</f>
        <v>여</v>
      </c>
      <c r="AF168" s="64" t="str">
        <f>IFERROR(INDEX(입력!$S$2:$S$500, MATCH($BO168, 입력!$Z$2:$Z$500, 0)) &amp; "", "")</f>
        <v>부</v>
      </c>
      <c r="AG168" s="64" t="str">
        <f>IFERROR(INDEX(입력!$T$2:$T$500, MATCH($BO168, 입력!$Z$2:$Z$500, 0)) &amp; "", "")</f>
        <v/>
      </c>
      <c r="AH168" s="64" t="str">
        <f>IFERROR(INDEX(입력!$U$2:$U$500, MATCH($BO168, 입력!$Z$2:$Z$500, 0)) &amp; "", "")</f>
        <v/>
      </c>
      <c r="AI168" s="64" t="str">
        <f>IFERROR(INDEX(입력!$V$2:$V$500, MATCH($BO168, 입력!$Z$2:$Z$500, 0)) &amp; "", "")</f>
        <v>여</v>
      </c>
      <c r="AJ168" s="44" t="str">
        <f>IFERROR(INDEX(입력!$W$2:$W$500, MATCH($BO168, 입력!$Z$2:$Z$500, 0)) &amp; "", "")</f>
        <v>김인영</v>
      </c>
      <c r="AK168" s="44" t="str">
        <f>IFERROR(INDEX(입력!$X$2:$X$500, MATCH($BO168, 입력!$Z$2:$Z$500, 0)) &amp; "", "")</f>
        <v>570-7184</v>
      </c>
      <c r="AL168" s="2" t="s">
        <v>1613</v>
      </c>
      <c r="AM168" s="17" t="s">
        <v>1251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3131</v>
      </c>
      <c r="AZ168" s="71" t="str">
        <f>IFERROR(IF(INDEX(입력!$C$2:$C$500, MATCH($BO168, 입력!$Z$2:$Z$500, 0))="", "", TEXT(INDEX(입력!$C$2:$C$500, MATCH($BO168, 입력!$Z$2:$Z$500, 0)), "yyyy-mm-dd")), "")</f>
        <v>2026-05-04</v>
      </c>
      <c r="BA168" s="44" t="str">
        <f>IFERROR(INDEX(입력!$B$2:$B$500, MATCH($BO168, 입력!$Z$2:$Z$500, 0)) &amp; "", "")</f>
        <v>노기섭</v>
      </c>
      <c r="BB168" s="83" t="str">
        <f>IFERROR(INDEX(입력!$Y$2:$Y$500, MATCH($BO168, 입력!$Z$2:$Z$500, 0)) &amp; "", "")</f>
        <v>보험은 보험사에 문의중</v>
      </c>
      <c r="BC168" s="83" t="s">
        <v>3112</v>
      </c>
      <c r="BD168" s="83"/>
      <c r="BE168" s="101"/>
      <c r="BF168" s="101"/>
      <c r="BG168" s="101"/>
      <c r="BH168" s="101"/>
      <c r="BI168" s="101"/>
      <c r="BJ168" s="101"/>
      <c r="BK168" s="110"/>
      <c r="BL168" s="21" t="s">
        <v>1080</v>
      </c>
      <c r="BM168" s="22"/>
      <c r="BN168" s="23"/>
      <c r="BO168" s="47" t="s">
        <v>457</v>
      </c>
    </row>
    <row r="169" spans="1:67" x14ac:dyDescent="0.45">
      <c r="A169" s="19">
        <v>168</v>
      </c>
      <c r="B169" s="1" t="s">
        <v>1175</v>
      </c>
      <c r="C169" s="17" t="str">
        <f t="shared" si="16"/>
        <v>미이행</v>
      </c>
      <c r="D169" s="17" t="str">
        <f t="shared" si="22"/>
        <v>조사완료</v>
      </c>
      <c r="E169" s="3" t="s">
        <v>1614</v>
      </c>
      <c r="F169" s="3" t="s">
        <v>458</v>
      </c>
      <c r="G169" s="8" t="s">
        <v>1615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MATCH($BO169, 입력!$Z$2:$Z$500, 0)) &amp; "", "")</f>
        <v/>
      </c>
      <c r="S169" s="64" t="str">
        <f>IFERROR(INDEX(입력!$K$2:$K$500, MATCH($BO169,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 t="str">
        <f t="shared" si="21"/>
        <v/>
      </c>
      <c r="X169" s="1">
        <v>0</v>
      </c>
      <c r="Y169" s="64" t="str">
        <f>IFERROR(INDEX(입력!$M$2:$M$500, MATCH($BO169, 입력!$Z$2:$Z$500, 0)) &amp; "", "")</f>
        <v/>
      </c>
      <c r="Z169" s="64" t="str">
        <f>IFERROR(INDEX(입력!$N$2:$N$500, MATCH($BO169, 입력!$Z$2:$Z$500, 0)) &amp; "", "")</f>
        <v/>
      </c>
      <c r="AA169" s="64">
        <f>MAX(0, 표1[[#This Row],[의무_시설]]-표1[[#This Row],[시설합]])</f>
        <v>1</v>
      </c>
      <c r="AB169" s="17" t="str">
        <f t="shared" si="23"/>
        <v>미이행</v>
      </c>
      <c r="AC169" s="64" t="str">
        <f>IFERROR(INDEX(입력!$P$2:$P$500, MATCH($BO169, 입력!$Z$2:$Z$500, 0)) &amp; "", "")</f>
        <v/>
      </c>
      <c r="AD169" s="64" t="str">
        <f>IFERROR(INDEX(입력!$Q$2:$Q$500, MATCH($BO169, 입력!$Z$2:$Z$500, 0)) &amp; "", "")</f>
        <v/>
      </c>
      <c r="AE169" s="64" t="str">
        <f>IFERROR(INDEX(입력!$R$2:$R$500, MATCH($BO169, 입력!$Z$2:$Z$500, 0)) &amp; "", "")</f>
        <v/>
      </c>
      <c r="AF169" s="64" t="str">
        <f>IFERROR(INDEX(입력!$S$2:$S$500, MATCH($BO169, 입력!$Z$2:$Z$500, 0)) &amp; "", "")</f>
        <v/>
      </c>
      <c r="AG169" s="64" t="str">
        <f>IFERROR(INDEX(입력!$T$2:$T$500, MATCH($BO169, 입력!$Z$2:$Z$500, 0)) &amp; "", "")</f>
        <v/>
      </c>
      <c r="AH169" s="64" t="str">
        <f>IFERROR(INDEX(입력!$U$2:$U$500, MATCH($BO169, 입력!$Z$2:$Z$500, 0)) &amp; "", "")</f>
        <v/>
      </c>
      <c r="AI169" s="64" t="str">
        <f>IFERROR(INDEX(입력!$V$2:$V$500, MATCH($BO169, 입력!$Z$2:$Z$500, 0)) &amp; "", "")</f>
        <v>여</v>
      </c>
      <c r="AJ169" s="44" t="str">
        <f>IFERROR(INDEX(입력!$W$2:$W$500, MATCH($BO169, 입력!$Z$2:$Z$500, 0)) &amp; "", "")</f>
        <v>류지애</v>
      </c>
      <c r="AK169" s="44" t="str">
        <f>IFERROR(INDEX(입력!$X$2:$X$500, MATCH($BO169, 입력!$Z$2:$Z$500, 0)) &amp; "", "")</f>
        <v>960-3506</v>
      </c>
      <c r="AL169" s="2" t="s">
        <v>1616</v>
      </c>
      <c r="AM169" s="17" t="s">
        <v>1060</v>
      </c>
      <c r="AN169" s="113">
        <v>46115</v>
      </c>
      <c r="AO169" s="17" t="s">
        <v>1089</v>
      </c>
      <c r="AP169" s="101" t="s">
        <v>1617</v>
      </c>
      <c r="AQ169" s="108"/>
      <c r="AR169" s="22" t="s">
        <v>1618</v>
      </c>
      <c r="AS169" s="101" t="s">
        <v>3124</v>
      </c>
      <c r="AT169" s="109">
        <v>46104</v>
      </c>
      <c r="AU169" s="101" t="s">
        <v>3141</v>
      </c>
      <c r="AV169" s="101" t="s">
        <v>3209</v>
      </c>
      <c r="AW169" s="101" t="s">
        <v>3270</v>
      </c>
      <c r="AX169" s="101"/>
      <c r="AY169" s="83" t="s">
        <v>3131</v>
      </c>
      <c r="AZ169" s="71" t="str">
        <f>IFERROR(IF(INDEX(입력!$C$2:$C$500, MATCH($BO169, 입력!$Z$2:$Z$500, 0))="", "", TEXT(INDEX(입력!$C$2:$C$500, MATCH($BO169, 입력!$Z$2:$Z$500, 0)), "yyyy-mm-dd")), "")</f>
        <v>2026-04-23</v>
      </c>
      <c r="BA169" s="44" t="str">
        <f>IFERROR(INDEX(입력!$B$2:$B$500, MATCH($BO169, 입력!$Z$2:$Z$500, 0)) &amp; "", "")</f>
        <v>노기섭</v>
      </c>
      <c r="BB169" s="83" t="str">
        <f>IFERROR(INDEX(입력!$Y$2:$Y$500, MATCH($BO169, 입력!$Z$2:$Z$500, 0)) &amp; "", "")</f>
        <v>26년중 예산확보후 설치예정.</v>
      </c>
      <c r="BC169" s="83" t="s">
        <v>3159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3955</v>
      </c>
      <c r="BI169" s="101" t="s">
        <v>3982</v>
      </c>
      <c r="BJ169" s="101"/>
      <c r="BK169" s="110" t="s">
        <v>3981</v>
      </c>
      <c r="BL169" s="21" t="s">
        <v>1080</v>
      </c>
      <c r="BM169" s="22"/>
      <c r="BN169" s="23"/>
      <c r="BO169" s="47" t="s">
        <v>459</v>
      </c>
    </row>
    <row r="170" spans="1:67" x14ac:dyDescent="0.45">
      <c r="A170" s="46">
        <v>169</v>
      </c>
      <c r="B170" s="1" t="s">
        <v>1175</v>
      </c>
      <c r="C170" s="17" t="str">
        <f t="shared" si="16"/>
        <v>미이행</v>
      </c>
      <c r="D170" s="17" t="str">
        <f t="shared" si="22"/>
        <v>조사완료</v>
      </c>
      <c r="E170" s="3" t="s">
        <v>1619</v>
      </c>
      <c r="F170" s="3" t="s">
        <v>2414</v>
      </c>
      <c r="G170" s="1" t="s">
        <v>1620</v>
      </c>
      <c r="H170" s="18" t="s">
        <v>1621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MATCH($BO170, 입력!$Z$2:$Z$500, 0)) &amp; "", "")</f>
        <v/>
      </c>
      <c r="S170" s="64" t="str">
        <f>IFERROR(INDEX(입력!$K$2:$K$500, MATCH($BO170,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 t="str">
        <f t="shared" si="21"/>
        <v/>
      </c>
      <c r="X170" s="1">
        <v>0</v>
      </c>
      <c r="Y170" s="64" t="str">
        <f>IFERROR(INDEX(입력!$M$2:$M$500, MATCH($BO170, 입력!$Z$2:$Z$500, 0)) &amp; "", "")</f>
        <v/>
      </c>
      <c r="Z170" s="64" t="str">
        <f>IFERROR(INDEX(입력!$N$2:$N$500, MATCH($BO170, 입력!$Z$2:$Z$500, 0)) &amp; "", "")</f>
        <v/>
      </c>
      <c r="AA170" s="64">
        <f>MAX(0, 표1[[#This Row],[의무_시설]]-표1[[#This Row],[시설합]])</f>
        <v>1</v>
      </c>
      <c r="AB170" s="17" t="str">
        <f t="shared" si="23"/>
        <v>미이행</v>
      </c>
      <c r="AC170" s="64" t="str">
        <f>IFERROR(INDEX(입력!$P$2:$P$500, MATCH($BO170, 입력!$Z$2:$Z$500, 0)) &amp; "", "")</f>
        <v/>
      </c>
      <c r="AD170" s="64" t="str">
        <f>IFERROR(INDEX(입력!$Q$2:$Q$500, MATCH($BO170, 입력!$Z$2:$Z$500, 0)) &amp; "", "")</f>
        <v/>
      </c>
      <c r="AE170" s="64" t="str">
        <f>IFERROR(INDEX(입력!$R$2:$R$500, MATCH($BO170, 입력!$Z$2:$Z$500, 0)) &amp; "", "")</f>
        <v/>
      </c>
      <c r="AF170" s="64" t="str">
        <f>IFERROR(INDEX(입력!$S$2:$S$500, MATCH($BO170, 입력!$Z$2:$Z$500, 0)) &amp; "", "")</f>
        <v/>
      </c>
      <c r="AG170" s="64" t="str">
        <f>IFERROR(INDEX(입력!$T$2:$T$500, MATCH($BO170, 입력!$Z$2:$Z$500, 0)) &amp; "", "")</f>
        <v/>
      </c>
      <c r="AH170" s="64" t="str">
        <f>IFERROR(INDEX(입력!$U$2:$U$500, MATCH($BO170, 입력!$Z$2:$Z$500, 0)) &amp; "", "")</f>
        <v/>
      </c>
      <c r="AI170" s="64" t="str">
        <f>IFERROR(INDEX(입력!$V$2:$V$500, MATCH($BO170, 입력!$Z$2:$Z$500, 0)) &amp; "", "")</f>
        <v>여</v>
      </c>
      <c r="AJ170" s="44" t="str">
        <f>IFERROR(INDEX(입력!$W$2:$W$500, MATCH($BO170, 입력!$Z$2:$Z$500, 0)) &amp; "", "")</f>
        <v>최진익</v>
      </c>
      <c r="AK170" s="44" t="str">
        <f>IFERROR(INDEX(입력!$X$2:$X$500, MATCH($BO170, 입력!$Z$2:$Z$500, 0)) &amp; "", "")</f>
        <v>958-3803</v>
      </c>
      <c r="AL170" s="2" t="s">
        <v>1622</v>
      </c>
      <c r="AM170" s="17" t="s">
        <v>1060</v>
      </c>
      <c r="AN170" s="113">
        <v>46108</v>
      </c>
      <c r="AO170" s="17" t="s">
        <v>1059</v>
      </c>
      <c r="AP170" s="101" t="s">
        <v>1623</v>
      </c>
      <c r="AQ170" s="108"/>
      <c r="AR170" s="22" t="s">
        <v>1624</v>
      </c>
      <c r="AS170" s="101" t="s">
        <v>3163</v>
      </c>
      <c r="AT170" s="109">
        <v>46104</v>
      </c>
      <c r="AU170" s="101" t="s">
        <v>3141</v>
      </c>
      <c r="AV170" s="101" t="s">
        <v>3142</v>
      </c>
      <c r="AW170" s="101" t="s">
        <v>3268</v>
      </c>
      <c r="AX170" s="101" t="s">
        <v>3269</v>
      </c>
      <c r="AY170" s="83" t="s">
        <v>3137</v>
      </c>
      <c r="AZ170" s="71" t="str">
        <f>IFERROR(IF(INDEX(입력!$C$2:$C$500, MATCH($BO170, 입력!$Z$2:$Z$500, 0))="", "", TEXT(INDEX(입력!$C$2:$C$500, MATCH($BO170, 입력!$Z$2:$Z$500, 0)), "yyyy-mm-dd")), "")</f>
        <v>2026-04-23</v>
      </c>
      <c r="BA170" s="44" t="str">
        <f>IFERROR(INDEX(입력!$B$2:$B$500, MATCH($BO170, 입력!$Z$2:$Z$500, 0)) &amp; "", "")</f>
        <v>노기섭</v>
      </c>
      <c r="BB170" s="83" t="str">
        <f>IFERROR(INDEX(입력!$Y$2:$Y$500, MATCH($BO170, 입력!$Z$2:$Z$500, 0)) &amp; "", "")</f>
        <v>대상학교 누락. 추가예산확보후 설치예정(미정)</v>
      </c>
      <c r="BC170" s="83" t="s">
        <v>3149</v>
      </c>
      <c r="BD170" s="83"/>
      <c r="BE170" s="101"/>
      <c r="BF170" s="101"/>
      <c r="BG170" s="101"/>
      <c r="BH170" s="101"/>
      <c r="BI170" s="101"/>
      <c r="BJ170" s="101"/>
      <c r="BK170" s="110"/>
      <c r="BL170" s="21" t="s">
        <v>1080</v>
      </c>
      <c r="BM170" s="22"/>
      <c r="BN170" s="23"/>
      <c r="BO170" s="47" t="s">
        <v>460</v>
      </c>
    </row>
    <row r="171" spans="1:67" x14ac:dyDescent="0.45">
      <c r="A171" s="19">
        <v>170</v>
      </c>
      <c r="B171" s="1" t="s">
        <v>1175</v>
      </c>
      <c r="C171" s="17" t="str">
        <f t="shared" si="16"/>
        <v>이행완료</v>
      </c>
      <c r="D171" s="17" t="str">
        <f t="shared" si="22"/>
        <v>조사완료</v>
      </c>
      <c r="E171" s="3" t="s">
        <v>1625</v>
      </c>
      <c r="F171" s="3" t="s">
        <v>461</v>
      </c>
      <c r="G171" s="1" t="s">
        <v>1626</v>
      </c>
      <c r="H171" s="18" t="s">
        <v>1462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MATCH($BO171, 입력!$Z$2:$Z$500, 0)) &amp; "", "")</f>
        <v>1</v>
      </c>
      <c r="S171" s="64" t="str">
        <f>IFERROR(INDEX(입력!$K$2:$K$500, MATCH($BO171,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 t="str">
        <f t="shared" si="21"/>
        <v/>
      </c>
      <c r="X171" s="1">
        <v>1</v>
      </c>
      <c r="Y171" s="64" t="str">
        <f>IFERROR(INDEX(입력!$M$2:$M$500, MATCH($BO171, 입력!$Z$2:$Z$500, 0)) &amp; "", "")</f>
        <v/>
      </c>
      <c r="Z171" s="64" t="str">
        <f>IFERROR(INDEX(입력!$N$2:$N$500, MATCH($BO171, 입력!$Z$2:$Z$500, 0)) &amp; "", "")</f>
        <v>1</v>
      </c>
      <c r="AA171" s="64">
        <f>MAX(0, 표1[[#This Row],[의무_시설]]-표1[[#This Row],[시설합]])</f>
        <v>0</v>
      </c>
      <c r="AB171" s="17" t="str">
        <f t="shared" si="23"/>
        <v>이행완료</v>
      </c>
      <c r="AC171" s="64" t="str">
        <f>IFERROR(INDEX(입력!$P$2:$P$500, MATCH($BO171, 입력!$Z$2:$Z$500, 0)) &amp; "", "")</f>
        <v/>
      </c>
      <c r="AD171" s="64" t="str">
        <f>IFERROR(INDEX(입력!$Q$2:$Q$500, MATCH($BO171, 입력!$Z$2:$Z$500, 0)) &amp; "", "")</f>
        <v/>
      </c>
      <c r="AE171" s="64" t="str">
        <f>IFERROR(INDEX(입력!$R$2:$R$500, MATCH($BO171, 입력!$Z$2:$Z$500, 0)) &amp; "", "")</f>
        <v>여</v>
      </c>
      <c r="AF171" s="64" t="str">
        <f>IFERROR(INDEX(입력!$S$2:$S$500, MATCH($BO171, 입력!$Z$2:$Z$500, 0)) &amp; "", "")</f>
        <v>부</v>
      </c>
      <c r="AG171" s="64" t="str">
        <f>IFERROR(INDEX(입력!$T$2:$T$500, MATCH($BO171, 입력!$Z$2:$Z$500, 0)) &amp; "", "")</f>
        <v/>
      </c>
      <c r="AH171" s="64" t="str">
        <f>IFERROR(INDEX(입력!$U$2:$U$500, MATCH($BO171, 입력!$Z$2:$Z$500, 0)) &amp; "", "")</f>
        <v/>
      </c>
      <c r="AI171" s="64" t="str">
        <f>IFERROR(INDEX(입력!$V$2:$V$500, MATCH($BO171, 입력!$Z$2:$Z$500, 0)) &amp; "", "")</f>
        <v>여</v>
      </c>
      <c r="AJ171" s="44" t="str">
        <f>IFERROR(INDEX(입력!$W$2:$W$500, MATCH($BO171, 입력!$Z$2:$Z$500, 0)) &amp; "", "")</f>
        <v>김지연</v>
      </c>
      <c r="AK171" s="44" t="str">
        <f>IFERROR(INDEX(입력!$X$2:$X$500, MATCH($BO171, 입력!$Z$2:$Z$500, 0)) &amp; "", "")</f>
        <v>949-6805</v>
      </c>
      <c r="AL171" s="2" t="s">
        <v>1627</v>
      </c>
      <c r="AM171" s="17"/>
      <c r="AN171" s="83"/>
      <c r="AO171" s="17" t="s">
        <v>1059</v>
      </c>
      <c r="AP171" s="2"/>
      <c r="AQ171" s="21"/>
      <c r="AR171" s="22" t="s">
        <v>1628</v>
      </c>
      <c r="AS171" s="101"/>
      <c r="AT171" s="101"/>
      <c r="AU171" s="101"/>
      <c r="AV171" s="101"/>
      <c r="AW171" s="101"/>
      <c r="AX171" s="101"/>
      <c r="AY171" s="83" t="s">
        <v>3132</v>
      </c>
      <c r="AZ171" s="71" t="str">
        <f>IFERROR(IF(INDEX(입력!$C$2:$C$500, MATCH($BO171, 입력!$Z$2:$Z$500, 0))="", "", TEXT(INDEX(입력!$C$2:$C$500, MATCH($BO171, 입력!$Z$2:$Z$500, 0)), "yyyy-mm-dd")), "")</f>
        <v>2026-04-27</v>
      </c>
      <c r="BA171" s="44" t="str">
        <f>IFERROR(INDEX(입력!$B$2:$B$500, MATCH($BO171, 입력!$Z$2:$Z$500, 0)) &amp; "", "")</f>
        <v>정은진</v>
      </c>
      <c r="BB171" s="83" t="str">
        <f>IFERROR(INDEX(입력!$Y$2:$Y$500, MATCH($BO171, 입력!$Z$2:$Z$500, 0)) &amp; "", "")</f>
        <v/>
      </c>
      <c r="BC171" s="83" t="s">
        <v>3112</v>
      </c>
      <c r="BD171" s="83"/>
      <c r="BE171" s="101"/>
      <c r="BF171" s="101"/>
      <c r="BG171" s="101"/>
      <c r="BH171" s="101"/>
      <c r="BI171" s="101"/>
      <c r="BJ171" s="101"/>
      <c r="BK171" s="110"/>
      <c r="BL171" s="21"/>
      <c r="BM171" s="22"/>
      <c r="BN171" s="23"/>
      <c r="BO171" s="47" t="s">
        <v>462</v>
      </c>
    </row>
    <row r="172" spans="1:67" x14ac:dyDescent="0.45">
      <c r="A172" s="46">
        <v>171</v>
      </c>
      <c r="B172" s="1" t="s">
        <v>1175</v>
      </c>
      <c r="C172" s="17" t="str">
        <f t="shared" si="16"/>
        <v>이행완료</v>
      </c>
      <c r="D172" s="17" t="str">
        <f t="shared" si="22"/>
        <v>조사완료</v>
      </c>
      <c r="E172" s="3" t="s">
        <v>1629</v>
      </c>
      <c r="F172" s="3" t="s">
        <v>463</v>
      </c>
      <c r="G172" s="1" t="s">
        <v>1630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MATCH($BO172, 입력!$Z$2:$Z$500, 0)) &amp; "", "")</f>
        <v>1</v>
      </c>
      <c r="S172" s="64" t="str">
        <f>IFERROR(INDEX(입력!$K$2:$K$500, MATCH($BO172,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 t="str">
        <f t="shared" si="21"/>
        <v/>
      </c>
      <c r="X172" s="1">
        <v>1</v>
      </c>
      <c r="Y172" s="64" t="str">
        <f>IFERROR(INDEX(입력!$M$2:$M$500, MATCH($BO172, 입력!$Z$2:$Z$500, 0)) &amp; "", "")</f>
        <v/>
      </c>
      <c r="Z172" s="64" t="str">
        <f>IFERROR(INDEX(입력!$N$2:$N$500, MATCH($BO172, 입력!$Z$2:$Z$500, 0)) &amp; "", "")</f>
        <v>1</v>
      </c>
      <c r="AA172" s="64">
        <f>MAX(0, 표1[[#This Row],[의무_시설]]-표1[[#This Row],[시설합]])</f>
        <v>0</v>
      </c>
      <c r="AB172" s="17" t="str">
        <f t="shared" si="23"/>
        <v>이행완료</v>
      </c>
      <c r="AC172" s="64" t="str">
        <f>IFERROR(INDEX(입력!$P$2:$P$500, MATCH($BO172, 입력!$Z$2:$Z$500, 0)) &amp; "", "")</f>
        <v/>
      </c>
      <c r="AD172" s="64" t="str">
        <f>IFERROR(INDEX(입력!$Q$2:$Q$500, MATCH($BO172, 입력!$Z$2:$Z$500, 0)) &amp; "", "")</f>
        <v/>
      </c>
      <c r="AE172" s="64" t="str">
        <f>IFERROR(INDEX(입력!$R$2:$R$500, MATCH($BO172, 입력!$Z$2:$Z$500, 0)) &amp; "", "")</f>
        <v>여</v>
      </c>
      <c r="AF172" s="64" t="str">
        <f>IFERROR(INDEX(입력!$S$2:$S$500, MATCH($BO172, 입력!$Z$2:$Z$500, 0)) &amp; "", "")</f>
        <v>여</v>
      </c>
      <c r="AG172" s="64" t="str">
        <f>IFERROR(INDEX(입력!$T$2:$T$500, MATCH($BO172, 입력!$Z$2:$Z$500, 0)) &amp; "", "")</f>
        <v/>
      </c>
      <c r="AH172" s="64" t="str">
        <f>IFERROR(INDEX(입력!$U$2:$U$500, MATCH($BO172, 입력!$Z$2:$Z$500, 0)) &amp; "", "")</f>
        <v/>
      </c>
      <c r="AI172" s="64" t="str">
        <f>IFERROR(INDEX(입력!$V$2:$V$500, MATCH($BO172, 입력!$Z$2:$Z$500, 0)) &amp; "", "")</f>
        <v>여</v>
      </c>
      <c r="AJ172" s="44" t="str">
        <f>IFERROR(INDEX(입력!$W$2:$W$500, MATCH($BO172, 입력!$Z$2:$Z$500, 0)) &amp; "", "")</f>
        <v>박락순</v>
      </c>
      <c r="AK172" s="44" t="str">
        <f>IFERROR(INDEX(입력!$X$2:$X$500, MATCH($BO172, 입력!$Z$2:$Z$500, 0)) &amp; "", "")</f>
        <v>010-4277-2292</v>
      </c>
      <c r="AL172" s="2" t="s">
        <v>1631</v>
      </c>
      <c r="AM172" s="17" t="s">
        <v>1060</v>
      </c>
      <c r="AN172" s="83"/>
      <c r="AO172" s="17" t="s">
        <v>1059</v>
      </c>
      <c r="AP172" s="2" t="s">
        <v>1632</v>
      </c>
      <c r="AQ172" s="21"/>
      <c r="AR172" s="22" t="s">
        <v>1628</v>
      </c>
      <c r="AS172" s="101"/>
      <c r="AT172" s="101"/>
      <c r="AU172" s="101"/>
      <c r="AV172" s="101"/>
      <c r="AW172" s="101"/>
      <c r="AX172" s="101"/>
      <c r="AY172" s="83" t="s">
        <v>3131</v>
      </c>
      <c r="AZ172" s="71" t="str">
        <f>IFERROR(IF(INDEX(입력!$C$2:$C$500, MATCH($BO172, 입력!$Z$2:$Z$500, 0))="", "", TEXT(INDEX(입력!$C$2:$C$500, MATCH($BO172, 입력!$Z$2:$Z$500, 0)), "yyyy-mm-dd")), "")</f>
        <v>2026-05-11</v>
      </c>
      <c r="BA172" s="44" t="str">
        <f>IFERROR(INDEX(입력!$B$2:$B$500, MATCH($BO172, 입력!$Z$2:$Z$500, 0)) &amp; "", "")</f>
        <v>정은진</v>
      </c>
      <c r="BB172" s="83" t="str">
        <f>IFERROR(INDEX(입력!$Y$2:$Y$500, MATCH($BO172, 입력!$Z$2:$Z$500, 0)) &amp; "", "")</f>
        <v/>
      </c>
      <c r="BC172" s="83" t="s">
        <v>3112</v>
      </c>
      <c r="BD172" s="83"/>
      <c r="BE172" s="101"/>
      <c r="BF172" s="101"/>
      <c r="BG172" s="101"/>
      <c r="BH172" s="101"/>
      <c r="BI172" s="101"/>
      <c r="BJ172" s="101"/>
      <c r="BK172" s="110"/>
      <c r="BL172" s="21"/>
      <c r="BM172" s="22"/>
      <c r="BN172" s="23"/>
      <c r="BO172" s="47" t="s">
        <v>464</v>
      </c>
    </row>
    <row r="173" spans="1:67" x14ac:dyDescent="0.45">
      <c r="A173" s="19">
        <v>172</v>
      </c>
      <c r="B173" s="1" t="s">
        <v>1175</v>
      </c>
      <c r="C173" s="17" t="str">
        <f t="shared" si="16"/>
        <v>이행완료</v>
      </c>
      <c r="D173" s="17" t="str">
        <f t="shared" si="22"/>
        <v>조사완료</v>
      </c>
      <c r="E173" s="3" t="s">
        <v>1633</v>
      </c>
      <c r="F173" s="3" t="s">
        <v>465</v>
      </c>
      <c r="G173" s="3" t="s">
        <v>1634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MATCH($BO173, 입력!$Z$2:$Z$500, 0)) &amp; "", "")</f>
        <v>3</v>
      </c>
      <c r="S173" s="64" t="str">
        <f>IFERROR(INDEX(입력!$K$2:$K$500, MATCH($BO173,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 t="str">
        <f t="shared" si="21"/>
        <v/>
      </c>
      <c r="X173" s="1">
        <v>3</v>
      </c>
      <c r="Y173" s="64" t="str">
        <f>IFERROR(INDEX(입력!$M$2:$M$500, MATCH($BO173, 입력!$Z$2:$Z$500, 0)) &amp; "", "")</f>
        <v/>
      </c>
      <c r="Z173" s="64" t="str">
        <f>IFERROR(INDEX(입력!$N$2:$N$500, MATCH($BO173, 입력!$Z$2:$Z$500, 0)) &amp; "", "")</f>
        <v>3</v>
      </c>
      <c r="AA173" s="64">
        <f>MAX(0, 표1[[#This Row],[의무_시설]]-표1[[#This Row],[시설합]])</f>
        <v>0</v>
      </c>
      <c r="AB173" s="17" t="str">
        <f t="shared" si="23"/>
        <v>이행완료</v>
      </c>
      <c r="AC173" s="64" t="str">
        <f>IFERROR(INDEX(입력!$P$2:$P$500, MATCH($BO173, 입력!$Z$2:$Z$500, 0)) &amp; "", "")</f>
        <v/>
      </c>
      <c r="AD173" s="64" t="str">
        <f>IFERROR(INDEX(입력!$Q$2:$Q$500, MATCH($BO173, 입력!$Z$2:$Z$500, 0)) &amp; "", "")</f>
        <v/>
      </c>
      <c r="AE173" s="64" t="str">
        <f>IFERROR(INDEX(입력!$R$2:$R$500, MATCH($BO173, 입력!$Z$2:$Z$500, 0)) &amp; "", "")</f>
        <v>여</v>
      </c>
      <c r="AF173" s="64" t="str">
        <f>IFERROR(INDEX(입력!$S$2:$S$500, MATCH($BO173, 입력!$Z$2:$Z$500, 0)) &amp; "", "")</f>
        <v>여</v>
      </c>
      <c r="AG173" s="64" t="str">
        <f>IFERROR(INDEX(입력!$T$2:$T$500, MATCH($BO173, 입력!$Z$2:$Z$500, 0)) &amp; "", "")</f>
        <v/>
      </c>
      <c r="AH173" s="64" t="str">
        <f>IFERROR(INDEX(입력!$U$2:$U$500, MATCH($BO173, 입력!$Z$2:$Z$500, 0)) &amp; "", "")</f>
        <v/>
      </c>
      <c r="AI173" s="64" t="str">
        <f>IFERROR(INDEX(입력!$V$2:$V$500, MATCH($BO173, 입력!$Z$2:$Z$500, 0)) &amp; "", "")</f>
        <v>여</v>
      </c>
      <c r="AJ173" s="44" t="str">
        <f>IFERROR(INDEX(입력!$W$2:$W$500, MATCH($BO173, 입력!$Z$2:$Z$500, 0)) &amp; "", "")</f>
        <v>장재호</v>
      </c>
      <c r="AK173" s="44" t="str">
        <f>IFERROR(INDEX(입력!$X$2:$X$500, MATCH($BO173, 입력!$Z$2:$Z$500, 0)) &amp; "", "")</f>
        <v>010-4598-5962</v>
      </c>
      <c r="AL173" s="2" t="s">
        <v>1635</v>
      </c>
      <c r="AM173" s="17" t="s">
        <v>1251</v>
      </c>
      <c r="AN173" s="83"/>
      <c r="AO173" s="17" t="s">
        <v>1067</v>
      </c>
      <c r="AP173" s="2" t="s">
        <v>1636</v>
      </c>
      <c r="AQ173" s="21"/>
      <c r="AR173" s="22" t="s">
        <v>1637</v>
      </c>
      <c r="AS173" s="101"/>
      <c r="AT173" s="101"/>
      <c r="AU173" s="101"/>
      <c r="AV173" s="101"/>
      <c r="AW173" s="101"/>
      <c r="AX173" s="101"/>
      <c r="AY173" s="83" t="s">
        <v>3137</v>
      </c>
      <c r="AZ173" s="71" t="str">
        <f>IFERROR(IF(INDEX(입력!$C$2:$C$500, MATCH($BO173, 입력!$Z$2:$Z$500, 0))="", "", TEXT(INDEX(입력!$C$2:$C$500, MATCH($BO173, 입력!$Z$2:$Z$500, 0)), "yyyy-mm-dd")), "")</f>
        <v>2026-05-11</v>
      </c>
      <c r="BA173" s="44" t="str">
        <f>IFERROR(INDEX(입력!$B$2:$B$500, MATCH($BO173, 입력!$Z$2:$Z$500, 0)) &amp; "", "")</f>
        <v>이승수</v>
      </c>
      <c r="BB173" s="83" t="str">
        <f>IFERROR(INDEX(입력!$Y$2:$Y$500, MATCH($BO173, 입력!$Z$2:$Z$500, 0)) &amp; "", "")</f>
        <v/>
      </c>
      <c r="BC173" s="83" t="s">
        <v>3112</v>
      </c>
      <c r="BD173" s="83"/>
      <c r="BE173" s="101"/>
      <c r="BF173" s="101"/>
      <c r="BG173" s="101"/>
      <c r="BH173" s="101"/>
      <c r="BI173" s="101"/>
      <c r="BJ173" s="101"/>
      <c r="BK173" s="110"/>
      <c r="BL173" s="21"/>
      <c r="BM173" s="22"/>
      <c r="BN173" s="23"/>
      <c r="BO173" s="47" t="s">
        <v>466</v>
      </c>
    </row>
    <row r="174" spans="1:67" x14ac:dyDescent="0.45">
      <c r="A174" s="46">
        <v>173</v>
      </c>
      <c r="B174" s="1" t="s">
        <v>1175</v>
      </c>
      <c r="C174" s="17" t="str">
        <f t="shared" si="16"/>
        <v>미이행</v>
      </c>
      <c r="D174" s="17" t="str">
        <f t="shared" si="22"/>
        <v>조사완료</v>
      </c>
      <c r="E174" s="3" t="s">
        <v>1638</v>
      </c>
      <c r="F174" s="3" t="s">
        <v>2585</v>
      </c>
      <c r="G174" s="3" t="s">
        <v>1639</v>
      </c>
      <c r="H174" s="18" t="s">
        <v>1266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MATCH($BO174, 입력!$Z$2:$Z$500, 0)) &amp; "", "")</f>
        <v/>
      </c>
      <c r="S174" s="64" t="str">
        <f>IFERROR(INDEX(입력!$K$2:$K$500, MATCH($BO174,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 t="str">
        <f t="shared" si="21"/>
        <v/>
      </c>
      <c r="X174" s="1">
        <v>0</v>
      </c>
      <c r="Y174" s="64" t="str">
        <f>IFERROR(INDEX(입력!$M$2:$M$500, MATCH($BO174, 입력!$Z$2:$Z$500, 0)) &amp; "", "")</f>
        <v/>
      </c>
      <c r="Z174" s="64" t="str">
        <f>IFERROR(INDEX(입력!$N$2:$N$500, MATCH($BO174, 입력!$Z$2:$Z$500, 0)) &amp; "", "")</f>
        <v/>
      </c>
      <c r="AA174" s="64">
        <f>MAX(0, 표1[[#This Row],[의무_시설]]-표1[[#This Row],[시설합]])</f>
        <v>1</v>
      </c>
      <c r="AB174" s="17" t="str">
        <f t="shared" si="23"/>
        <v>미이행</v>
      </c>
      <c r="AC174" s="64" t="str">
        <f>IFERROR(INDEX(입력!$P$2:$P$500, MATCH($BO174, 입력!$Z$2:$Z$500, 0)) &amp; "", "")</f>
        <v/>
      </c>
      <c r="AD174" s="64" t="str">
        <f>IFERROR(INDEX(입력!$Q$2:$Q$500, MATCH($BO174, 입력!$Z$2:$Z$500, 0)) &amp; "", "")</f>
        <v/>
      </c>
      <c r="AE174" s="64" t="str">
        <f>IFERROR(INDEX(입력!$R$2:$R$500, MATCH($BO174, 입력!$Z$2:$Z$500, 0)) &amp; "", "")</f>
        <v/>
      </c>
      <c r="AF174" s="64" t="str">
        <f>IFERROR(INDEX(입력!$S$2:$S$500, MATCH($BO174, 입력!$Z$2:$Z$500, 0)) &amp; "", "")</f>
        <v/>
      </c>
      <c r="AG174" s="64" t="str">
        <f>IFERROR(INDEX(입력!$T$2:$T$500, MATCH($BO174, 입력!$Z$2:$Z$500, 0)) &amp; "", "")</f>
        <v/>
      </c>
      <c r="AH174" s="64" t="str">
        <f>IFERROR(INDEX(입력!$U$2:$U$500, MATCH($BO174, 입력!$Z$2:$Z$500, 0)) &amp; "", "")</f>
        <v/>
      </c>
      <c r="AI174" s="64" t="str">
        <f>IFERROR(INDEX(입력!$V$2:$V$500, MATCH($BO174, 입력!$Z$2:$Z$500, 0)) &amp; "", "")</f>
        <v>여</v>
      </c>
      <c r="AJ174" s="44" t="str">
        <f>IFERROR(INDEX(입력!$W$2:$W$500, MATCH($BO174, 입력!$Z$2:$Z$500, 0)) &amp; "", "")</f>
        <v>박수화</v>
      </c>
      <c r="AK174" s="44" t="str">
        <f>IFERROR(INDEX(입력!$X$2:$X$500, MATCH($BO174, 입력!$Z$2:$Z$500, 0)) &amp; "", "")</f>
        <v>950-9203</v>
      </c>
      <c r="AL174" s="2" t="s">
        <v>1640</v>
      </c>
      <c r="AM174" s="17" t="s">
        <v>1060</v>
      </c>
      <c r="AN174" s="83"/>
      <c r="AO174" s="17" t="s">
        <v>1059</v>
      </c>
      <c r="AP174" s="101"/>
      <c r="AQ174" s="108"/>
      <c r="AR174" s="22" t="s">
        <v>1641</v>
      </c>
      <c r="AS174" s="101" t="s">
        <v>3163</v>
      </c>
      <c r="AT174" s="109">
        <v>46104</v>
      </c>
      <c r="AU174" s="101" t="s">
        <v>3126</v>
      </c>
      <c r="AV174" s="101" t="s">
        <v>3128</v>
      </c>
      <c r="AW174" s="101" t="s">
        <v>3271</v>
      </c>
      <c r="AX174" s="101" t="s">
        <v>3272</v>
      </c>
      <c r="AY174" s="83" t="s">
        <v>3137</v>
      </c>
      <c r="AZ174" s="71" t="str">
        <f>IFERROR(IF(INDEX(입력!$C$2:$C$500, MATCH($BO174, 입력!$Z$2:$Z$500, 0))="", "", TEXT(INDEX(입력!$C$2:$C$500, MATCH($BO174, 입력!$Z$2:$Z$500, 0)), "yyyy-mm-dd")), "")</f>
        <v>2026-04-24</v>
      </c>
      <c r="BA174" s="44" t="str">
        <f>IFERROR(INDEX(입력!$B$2:$B$500, MATCH($BO174, 입력!$Z$2:$Z$500, 0)) &amp; "", "")</f>
        <v>정은진</v>
      </c>
      <c r="BB174" s="83" t="str">
        <f>IFERROR(INDEX(입력!$Y$2:$Y$500, MATCH($BO174, 입력!$Z$2:$Z$500, 0)) &amp; "", "")</f>
        <v>광주시교육청 시설과에서 본교 누락. 시설과에 설치관련 문의예정. 12월말예정.</v>
      </c>
      <c r="BC174" s="83" t="s">
        <v>3159</v>
      </c>
      <c r="BD174" s="83"/>
      <c r="BE174" s="101"/>
      <c r="BF174" s="101"/>
      <c r="BG174" s="101"/>
      <c r="BH174" s="101"/>
      <c r="BI174" s="101"/>
      <c r="BJ174" s="101"/>
      <c r="BK174" s="110"/>
      <c r="BL174" s="21" t="s">
        <v>1080</v>
      </c>
      <c r="BM174" s="22"/>
      <c r="BN174" s="23"/>
      <c r="BO174" s="47" t="s">
        <v>467</v>
      </c>
    </row>
    <row r="175" spans="1:67" s="97" customFormat="1" x14ac:dyDescent="0.45">
      <c r="A175" s="85">
        <v>174</v>
      </c>
      <c r="B175" s="88" t="s">
        <v>1175</v>
      </c>
      <c r="C175" s="87" t="s">
        <v>3110</v>
      </c>
      <c r="D175" s="87" t="str">
        <f t="shared" si="22"/>
        <v>조사완료</v>
      </c>
      <c r="E175" s="99" t="s">
        <v>1642</v>
      </c>
      <c r="F175" s="99" t="s">
        <v>468</v>
      </c>
      <c r="G175" s="88" t="s">
        <v>1643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MATCH($BO175, 입력!$Z$2:$Z$500, 0)) &amp; "", "")</f>
        <v>2</v>
      </c>
      <c r="S175" s="91" t="str">
        <f>IFERROR(INDEX(입력!$K$2:$K$500, MATCH($BO175,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88" t="str">
        <f t="shared" si="21"/>
        <v/>
      </c>
      <c r="X175" s="88">
        <v>2</v>
      </c>
      <c r="Y175" s="91" t="str">
        <f>IFERROR(INDEX(입력!$M$2:$M$500, MATCH($BO175, 입력!$Z$2:$Z$500, 0)) &amp; "", "")</f>
        <v>2</v>
      </c>
      <c r="Z175" s="91" t="str">
        <f>IFERROR(INDEX(입력!$N$2:$N$500, MATCH($BO175, 입력!$Z$2:$Z$500, 0)) &amp; "", "")</f>
        <v/>
      </c>
      <c r="AA175" s="91">
        <f>MAX(0, 표1[[#This Row],[의무_시설]]-표1[[#This Row],[시설합]])</f>
        <v>1</v>
      </c>
      <c r="AB175" s="87" t="str">
        <f t="shared" si="23"/>
        <v>미이행</v>
      </c>
      <c r="AC175" s="91" t="str">
        <f>IFERROR(INDEX(입력!$P$2:$P$500, MATCH($BO175, 입력!$Z$2:$Z$500, 0)) &amp; "", "")</f>
        <v/>
      </c>
      <c r="AD175" s="91" t="str">
        <f>IFERROR(INDEX(입력!$Q$2:$Q$500, MATCH($BO175, 입력!$Z$2:$Z$500, 0)) &amp; "", "")</f>
        <v/>
      </c>
      <c r="AE175" s="91" t="str">
        <f>IFERROR(INDEX(입력!$R$2:$R$500, MATCH($BO175, 입력!$Z$2:$Z$500, 0)) &amp; "", "")</f>
        <v>여</v>
      </c>
      <c r="AF175" s="91" t="str">
        <f>IFERROR(INDEX(입력!$S$2:$S$500, MATCH($BO175, 입력!$Z$2:$Z$500, 0)) &amp; "", "")</f>
        <v>여</v>
      </c>
      <c r="AG175" s="91" t="str">
        <f>IFERROR(INDEX(입력!$T$2:$T$500, MATCH($BO175, 입력!$Z$2:$Z$500, 0)) &amp; "", "")</f>
        <v/>
      </c>
      <c r="AH175" s="91" t="str">
        <f>IFERROR(INDEX(입력!$U$2:$U$500, MATCH($BO175, 입력!$Z$2:$Z$500, 0)) &amp; "", "")</f>
        <v/>
      </c>
      <c r="AI175" s="91" t="str">
        <f>IFERROR(INDEX(입력!$V$2:$V$500, MATCH($BO175, 입력!$Z$2:$Z$500, 0)) &amp; "", "")</f>
        <v>여</v>
      </c>
      <c r="AJ175" s="92" t="str">
        <f>IFERROR(INDEX(입력!$W$2:$W$500, MATCH($BO175, 입력!$Z$2:$Z$500, 0)) &amp; "", "")</f>
        <v>황치선</v>
      </c>
      <c r="AK175" s="92" t="str">
        <f>IFERROR(INDEX(입력!$X$2:$X$500, MATCH($BO175,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3273</v>
      </c>
      <c r="AT175" s="101"/>
      <c r="AU175" s="101"/>
      <c r="AV175" s="101"/>
      <c r="AW175" s="101"/>
      <c r="AX175" s="101"/>
      <c r="AY175" s="83" t="s">
        <v>3137</v>
      </c>
      <c r="AZ175" s="71" t="str">
        <f>IFERROR(IF(INDEX(입력!$C$2:$C$500, MATCH($BO175, 입력!$Z$2:$Z$500, 0))="", "", TEXT(INDEX(입력!$C$2:$C$500, MATCH($BO175, 입력!$Z$2:$Z$500, 0)), "yyyy-mm-dd")), "")</f>
        <v>2026-04-22</v>
      </c>
      <c r="BA175" s="44" t="str">
        <f>IFERROR(INDEX(입력!$B$2:$B$500, MATCH($BO175, 입력!$Z$2:$Z$500, 0)) &amp; "", "")</f>
        <v>정은진</v>
      </c>
      <c r="BB175" s="83" t="str">
        <f>IFERROR(INDEX(입력!$Y$2:$Y$500, MATCH($BO175, 입력!$Z$2:$Z$500, 0)) &amp; "", "")</f>
        <v/>
      </c>
      <c r="BC175" s="83" t="s">
        <v>3232</v>
      </c>
      <c r="BD175" s="83"/>
      <c r="BE175" s="101"/>
      <c r="BF175" s="101"/>
      <c r="BG175" s="101"/>
      <c r="BH175" s="101"/>
      <c r="BI175" s="101"/>
      <c r="BJ175" s="101"/>
      <c r="BK175" s="110"/>
      <c r="BL175" s="90"/>
      <c r="BM175" s="94"/>
      <c r="BN175" s="95"/>
      <c r="BO175" s="96" t="s">
        <v>469</v>
      </c>
    </row>
    <row r="176" spans="1:67" x14ac:dyDescent="0.45">
      <c r="A176" s="98">
        <v>175</v>
      </c>
      <c r="B176" s="88" t="s">
        <v>1175</v>
      </c>
      <c r="C176" s="87" t="s">
        <v>3814</v>
      </c>
      <c r="D176" s="87" t="str">
        <f t="shared" si="22"/>
        <v>조사완료</v>
      </c>
      <c r="E176" s="99" t="s">
        <v>1644</v>
      </c>
      <c r="F176" s="88" t="s">
        <v>470</v>
      </c>
      <c r="G176" s="88" t="s">
        <v>1645</v>
      </c>
      <c r="H176" s="87" t="s">
        <v>1152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MATCH($BO176, 입력!$Z$2:$Z$500, 0)) &amp; "", "")</f>
        <v>3</v>
      </c>
      <c r="S176" s="91" t="str">
        <f>IFERROR(INDEX(입력!$K$2:$K$500, MATCH($BO176,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88" t="str">
        <f t="shared" si="21"/>
        <v/>
      </c>
      <c r="X176" s="88">
        <v>3</v>
      </c>
      <c r="Y176" s="91" t="str">
        <f>IFERROR(INDEX(입력!$M$2:$M$500, MATCH($BO176, 입력!$Z$2:$Z$500, 0)) &amp; "", "")</f>
        <v/>
      </c>
      <c r="Z176" s="91" t="str">
        <f>IFERROR(INDEX(입력!$N$2:$N$500, MATCH($BO176, 입력!$Z$2:$Z$500, 0)) &amp; "", "")</f>
        <v>3</v>
      </c>
      <c r="AA176" s="91">
        <f>MAX(0, 표1[[#This Row],[의무_시설]]-표1[[#This Row],[시설합]])</f>
        <v>0</v>
      </c>
      <c r="AB176" s="87" t="str">
        <f t="shared" si="23"/>
        <v>이행완료</v>
      </c>
      <c r="AC176" s="91" t="str">
        <f>IFERROR(INDEX(입력!$P$2:$P$500, MATCH($BO176, 입력!$Z$2:$Z$500, 0)) &amp; "", "")</f>
        <v/>
      </c>
      <c r="AD176" s="91" t="str">
        <f>IFERROR(INDEX(입력!$Q$2:$Q$500, MATCH($BO176, 입력!$Z$2:$Z$500, 0)) &amp; "", "")</f>
        <v/>
      </c>
      <c r="AE176" s="91" t="str">
        <f>IFERROR(INDEX(입력!$R$2:$R$500, MATCH($BO176, 입력!$Z$2:$Z$500, 0)) &amp; "", "")</f>
        <v>여</v>
      </c>
      <c r="AF176" s="91" t="str">
        <f>IFERROR(INDEX(입력!$S$2:$S$500, MATCH($BO176, 입력!$Z$2:$Z$500, 0)) &amp; "", "")</f>
        <v>여</v>
      </c>
      <c r="AG176" s="91" t="str">
        <f>IFERROR(INDEX(입력!$T$2:$T$500, MATCH($BO176, 입력!$Z$2:$Z$500, 0)) &amp; "", "")</f>
        <v/>
      </c>
      <c r="AH176" s="91" t="str">
        <f>IFERROR(INDEX(입력!$U$2:$U$500, MATCH($BO176, 입력!$Z$2:$Z$500, 0)) &amp; "", "")</f>
        <v/>
      </c>
      <c r="AI176" s="91" t="str">
        <f>IFERROR(INDEX(입력!$V$2:$V$500, MATCH($BO176, 입력!$Z$2:$Z$500, 0)) &amp; "", "")</f>
        <v>여</v>
      </c>
      <c r="AJ176" s="92" t="str">
        <f>IFERROR(INDEX(입력!$W$2:$W$500, MATCH($BO176, 입력!$Z$2:$Z$500, 0)) &amp; "", "")</f>
        <v>최명희</v>
      </c>
      <c r="AK176" s="92" t="str">
        <f>IFERROR(INDEX(입력!$X$2:$X$500, MATCH($BO176,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3137</v>
      </c>
      <c r="AZ176" s="71" t="str">
        <f>IFERROR(IF(INDEX(입력!$C$2:$C$500, MATCH($BO176, 입력!$Z$2:$Z$500, 0))="", "", TEXT(INDEX(입력!$C$2:$C$500, MATCH($BO176, 입력!$Z$2:$Z$500, 0)), "yyyy-mm-dd")), "")</f>
        <v>2026-04-24</v>
      </c>
      <c r="BA176" s="44" t="str">
        <f>IFERROR(INDEX(입력!$B$2:$B$500, MATCH($BO176, 입력!$Z$2:$Z$500, 0)) &amp; "", "")</f>
        <v>정은진</v>
      </c>
      <c r="BB176" s="93" t="str">
        <f>IFERROR(INDEX(입력!$Y$2:$Y$500, MATCH($BO176, 입력!$Z$2:$Z$500, 0)) &amp; "", "")</f>
        <v/>
      </c>
      <c r="BC176" s="93" t="s">
        <v>3112</v>
      </c>
      <c r="BD176" s="93"/>
      <c r="BE176" s="100"/>
      <c r="BF176" s="100"/>
      <c r="BG176" s="100"/>
      <c r="BH176" s="100"/>
      <c r="BI176" s="100"/>
      <c r="BJ176" s="100"/>
      <c r="BK176" s="112"/>
      <c r="BL176" s="90"/>
      <c r="BM176" s="94"/>
      <c r="BN176" s="95"/>
      <c r="BO176" s="96" t="s">
        <v>471</v>
      </c>
    </row>
    <row r="177" spans="1:67" x14ac:dyDescent="0.45">
      <c r="A177" s="85">
        <v>176</v>
      </c>
      <c r="B177" s="88" t="s">
        <v>1175</v>
      </c>
      <c r="C177" s="87" t="s">
        <v>3109</v>
      </c>
      <c r="D177" s="87" t="str">
        <f t="shared" si="22"/>
        <v>조사완료</v>
      </c>
      <c r="E177" s="88" t="s">
        <v>1646</v>
      </c>
      <c r="F177" s="88" t="s">
        <v>378</v>
      </c>
      <c r="G177" s="88" t="s">
        <v>1476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MATCH($BO177, 입력!$Z$2:$Z$500, 0)) &amp; "", "")</f>
        <v>15</v>
      </c>
      <c r="S177" s="91" t="str">
        <f>IFERROR(INDEX(입력!$K$2:$K$500, MATCH($BO177,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88" t="str">
        <f t="shared" si="21"/>
        <v/>
      </c>
      <c r="X177" s="88">
        <v>15</v>
      </c>
      <c r="Y177" s="91" t="str">
        <f>IFERROR(INDEX(입력!$M$2:$M$500, MATCH($BO177, 입력!$Z$2:$Z$500, 0)) &amp; "", "")</f>
        <v>10</v>
      </c>
      <c r="Z177" s="91" t="str">
        <f>IFERROR(INDEX(입력!$N$2:$N$500, MATCH($BO177, 입력!$Z$2:$Z$500, 0)) &amp; "", "")</f>
        <v>5</v>
      </c>
      <c r="AA177" s="91">
        <f>MAX(0, 표1[[#This Row],[의무_시설]]-표1[[#This Row],[시설합]])</f>
        <v>0</v>
      </c>
      <c r="AB177" s="87" t="str">
        <f t="shared" si="23"/>
        <v>이행완료</v>
      </c>
      <c r="AC177" s="91" t="str">
        <f>IFERROR(INDEX(입력!$P$2:$P$500, MATCH($BO177, 입력!$Z$2:$Z$500, 0)) &amp; "", "")</f>
        <v/>
      </c>
      <c r="AD177" s="91" t="str">
        <f>IFERROR(INDEX(입력!$Q$2:$Q$500, MATCH($BO177, 입력!$Z$2:$Z$500, 0)) &amp; "", "")</f>
        <v/>
      </c>
      <c r="AE177" s="91" t="str">
        <f>IFERROR(INDEX(입력!$R$2:$R$500, MATCH($BO177, 입력!$Z$2:$Z$500, 0)) &amp; "", "")</f>
        <v>여</v>
      </c>
      <c r="AF177" s="91" t="str">
        <f>IFERROR(INDEX(입력!$S$2:$S$500, MATCH($BO177, 입력!$Z$2:$Z$500, 0)) &amp; "", "")</f>
        <v>여</v>
      </c>
      <c r="AG177" s="91" t="str">
        <f>IFERROR(INDEX(입력!$T$2:$T$500, MATCH($BO177, 입력!$Z$2:$Z$500, 0)) &amp; "", "")</f>
        <v/>
      </c>
      <c r="AH177" s="91" t="str">
        <f>IFERROR(INDEX(입력!$U$2:$U$500, MATCH($BO177, 입력!$Z$2:$Z$500, 0)) &amp; "", "")</f>
        <v/>
      </c>
      <c r="AI177" s="91" t="str">
        <f>IFERROR(INDEX(입력!$V$2:$V$500, MATCH($BO177, 입력!$Z$2:$Z$500, 0)) &amp; "", "")</f>
        <v>여</v>
      </c>
      <c r="AJ177" s="92" t="str">
        <f>IFERROR(INDEX(입력!$W$2:$W$500, MATCH($BO177, 입력!$Z$2:$Z$500, 0)) &amp; "", "")</f>
        <v>김진남</v>
      </c>
      <c r="AK177" s="92" t="str">
        <f>IFERROR(INDEX(입력!$X$2:$X$500, MATCH($BO177,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3131</v>
      </c>
      <c r="AZ177" s="71" t="str">
        <f>IFERROR(IF(INDEX(입력!$C$2:$C$500, MATCH($BO177, 입력!$Z$2:$Z$500, 0))="", "", TEXT(INDEX(입력!$C$2:$C$500, MATCH($BO177, 입력!$Z$2:$Z$500, 0)), "yyyy-mm-dd")), "")</f>
        <v>2026-04-16</v>
      </c>
      <c r="BA177" s="44" t="str">
        <f>IFERROR(INDEX(입력!$B$2:$B$500, MATCH($BO177, 입력!$Z$2:$Z$500, 0)) &amp; "", "")</f>
        <v>노기섭</v>
      </c>
      <c r="BB177" s="93" t="str">
        <f>IFERROR(INDEX(입력!$Y$2:$Y$500, MATCH($BO177, 입력!$Z$2:$Z$500, 0)) &amp; "", "")</f>
        <v/>
      </c>
      <c r="BC177" s="93" t="s">
        <v>3112</v>
      </c>
      <c r="BD177" s="93"/>
      <c r="BE177" s="100"/>
      <c r="BF177" s="100"/>
      <c r="BG177" s="100"/>
      <c r="BH177" s="100"/>
      <c r="BI177" s="100"/>
      <c r="BJ177" s="100"/>
      <c r="BK177" s="112"/>
      <c r="BL177" s="90"/>
      <c r="BM177" s="94"/>
      <c r="BN177" s="95"/>
      <c r="BO177" s="96" t="s">
        <v>472</v>
      </c>
    </row>
    <row r="178" spans="1:67" x14ac:dyDescent="0.45">
      <c r="A178" s="46">
        <v>177</v>
      </c>
      <c r="B178" s="1" t="s">
        <v>1647</v>
      </c>
      <c r="C178" s="17" t="str">
        <f t="shared" si="16"/>
        <v>이행완료</v>
      </c>
      <c r="D178" s="17" t="str">
        <f t="shared" si="22"/>
        <v/>
      </c>
      <c r="E178" s="1" t="s">
        <v>1648</v>
      </c>
      <c r="F178" s="1" t="s">
        <v>473</v>
      </c>
      <c r="G178" s="11" t="s">
        <v>1649</v>
      </c>
      <c r="H178" s="18" t="s">
        <v>1133</v>
      </c>
      <c r="I178" s="19">
        <v>693</v>
      </c>
      <c r="J178" s="2"/>
      <c r="K178" s="20" t="s">
        <v>2586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MATCH($BO178, 입력!$Z$2:$Z$500, 0)) &amp; "", "")</f>
        <v/>
      </c>
      <c r="S178" s="64" t="str">
        <f>IFERROR(INDEX(입력!$K$2:$K$500, MATCH($BO178,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 t="str">
        <f t="shared" si="21"/>
        <v/>
      </c>
      <c r="X178" s="1">
        <v>19</v>
      </c>
      <c r="Y178" s="64" t="str">
        <f>IFERROR(INDEX(입력!$M$2:$M$500, MATCH($BO178, 입력!$Z$2:$Z$500, 0)) &amp; "", "")</f>
        <v/>
      </c>
      <c r="Z178" s="64" t="str">
        <f>IFERROR(INDEX(입력!$N$2:$N$500, MATCH($BO178, 입력!$Z$2:$Z$500, 0)) &amp; "", "")</f>
        <v/>
      </c>
      <c r="AA178" s="64">
        <f>MAX(0, 표1[[#This Row],[의무_시설]]-표1[[#This Row],[시설합]])</f>
        <v>0</v>
      </c>
      <c r="AB178" s="17" t="str">
        <f t="shared" si="23"/>
        <v>이행완료</v>
      </c>
      <c r="AC178" s="64" t="str">
        <f>IFERROR(INDEX(입력!$P$2:$P$500, MATCH($BO178, 입력!$Z$2:$Z$500, 0)) &amp; "", "")</f>
        <v/>
      </c>
      <c r="AD178" s="64" t="str">
        <f>IFERROR(INDEX(입력!$Q$2:$Q$500, MATCH($BO178, 입력!$Z$2:$Z$500, 0)) &amp; "", "")</f>
        <v/>
      </c>
      <c r="AE178" s="64" t="str">
        <f>IFERROR(INDEX(입력!$R$2:$R$500, MATCH($BO178, 입력!$Z$2:$Z$500, 0)) &amp; "", "")</f>
        <v/>
      </c>
      <c r="AF178" s="64" t="str">
        <f>IFERROR(INDEX(입력!$S$2:$S$500, MATCH($BO178, 입력!$Z$2:$Z$500, 0)) &amp; "", "")</f>
        <v/>
      </c>
      <c r="AG178" s="64" t="str">
        <f>IFERROR(INDEX(입력!$T$2:$T$500, MATCH($BO178, 입력!$Z$2:$Z$500, 0)) &amp; "", "")</f>
        <v/>
      </c>
      <c r="AH178" s="64" t="str">
        <f>IFERROR(INDEX(입력!$U$2:$U$500, MATCH($BO178, 입력!$Z$2:$Z$500, 0)) &amp; "", "")</f>
        <v/>
      </c>
      <c r="AI178" s="64" t="str">
        <f>IFERROR(INDEX(입력!$V$2:$V$500, MATCH($BO178, 입력!$Z$2:$Z$500, 0)) &amp; "", "")</f>
        <v/>
      </c>
      <c r="AJ178" s="44" t="str">
        <f>IFERROR(INDEX(입력!$W$2:$W$500, MATCH($BO178, 입력!$Z$2:$Z$500, 0)) &amp; "", "")</f>
        <v/>
      </c>
      <c r="AK178" s="44" t="str">
        <f>IFERROR(INDEX(입력!$X$2:$X$500, MATCH($BO178, 입력!$Z$2:$Z$500, 0)) &amp; "", "")</f>
        <v/>
      </c>
      <c r="AL178" s="2"/>
      <c r="AM178" s="17" t="s">
        <v>1650</v>
      </c>
      <c r="AN178" s="101">
        <v>2025</v>
      </c>
      <c r="AO178" s="17" t="s">
        <v>3274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3137</v>
      </c>
      <c r="AZ178" s="71" t="str">
        <f>IFERROR(IF(INDEX(입력!$C$2:$C$500, MATCH($BO178, 입력!$Z$2:$Z$500, 0))="", "", TEXT(INDEX(입력!$C$2:$C$500, MATCH($BO178, 입력!$Z$2:$Z$500, 0)), "yyyy-mm-dd")), "")</f>
        <v/>
      </c>
      <c r="BA178" s="44" t="str">
        <f>IFERROR(INDEX(입력!$B$2:$B$500, MATCH($BO178, 입력!$Z$2:$Z$500, 0)) &amp; "", "")</f>
        <v/>
      </c>
      <c r="BB178" s="83" t="str">
        <f>IFERROR(INDEX(입력!$Y$2:$Y$500, MATCH($BO178, 입력!$Z$2:$Z$500, 0)) &amp; "", "")</f>
        <v/>
      </c>
      <c r="BC178" s="83" t="s">
        <v>3112</v>
      </c>
      <c r="BD178" s="83"/>
      <c r="BE178" s="101"/>
      <c r="BF178" s="101"/>
      <c r="BG178" s="101"/>
      <c r="BH178" s="101"/>
      <c r="BI178" s="101"/>
      <c r="BJ178" s="101"/>
      <c r="BK178" s="110"/>
      <c r="BL178" s="21"/>
      <c r="BM178" s="22">
        <v>693</v>
      </c>
      <c r="BN178" s="23"/>
      <c r="BO178" s="47" t="s">
        <v>474</v>
      </c>
    </row>
    <row r="179" spans="1:67" x14ac:dyDescent="0.45">
      <c r="A179" s="19">
        <v>178</v>
      </c>
      <c r="B179" s="1" t="s">
        <v>1647</v>
      </c>
      <c r="C179" s="17" t="str">
        <f t="shared" si="16"/>
        <v>이행완료</v>
      </c>
      <c r="D179" s="17" t="str">
        <f t="shared" si="22"/>
        <v/>
      </c>
      <c r="E179" s="1" t="s">
        <v>1651</v>
      </c>
      <c r="F179" s="1" t="s">
        <v>475</v>
      </c>
      <c r="G179" s="11" t="s">
        <v>1652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2397</v>
      </c>
      <c r="O179" s="21"/>
      <c r="P179" s="1">
        <f t="shared" si="18"/>
        <v>6</v>
      </c>
      <c r="Q179" s="1">
        <v>6</v>
      </c>
      <c r="R179" s="64" t="str">
        <f>IFERROR(INDEX(입력!$J$2:$J$500, MATCH($BO179, 입력!$Z$2:$Z$500, 0)) &amp; "", "")</f>
        <v/>
      </c>
      <c r="S179" s="64" t="str">
        <f>IFERROR(INDEX(입력!$K$2:$K$500, MATCH($BO179, 입력!$Z$2:$Z$500, 0)) &amp; "", "")</f>
        <v/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 t="str">
        <f t="shared" si="21"/>
        <v/>
      </c>
      <c r="X179" s="1">
        <v>6</v>
      </c>
      <c r="Y179" s="64" t="str">
        <f>IFERROR(INDEX(입력!$M$2:$M$500, MATCH($BO179, 입력!$Z$2:$Z$500, 0)) &amp; "", "")</f>
        <v/>
      </c>
      <c r="Z179" s="64" t="str">
        <f>IFERROR(INDEX(입력!$N$2:$N$500, MATCH($BO179, 입력!$Z$2:$Z$500, 0)) &amp; "", "")</f>
        <v/>
      </c>
      <c r="AA179" s="64">
        <f>MAX(0, 표1[[#This Row],[의무_시설]]-표1[[#This Row],[시설합]])</f>
        <v>0</v>
      </c>
      <c r="AB179" s="17" t="str">
        <f t="shared" si="23"/>
        <v>이행완료</v>
      </c>
      <c r="AC179" s="64" t="str">
        <f>IFERROR(INDEX(입력!$P$2:$P$500, MATCH($BO179, 입력!$Z$2:$Z$500, 0)) &amp; "", "")</f>
        <v/>
      </c>
      <c r="AD179" s="64" t="str">
        <f>IFERROR(INDEX(입력!$Q$2:$Q$500, MATCH($BO179, 입력!$Z$2:$Z$500, 0)) &amp; "", "")</f>
        <v/>
      </c>
      <c r="AE179" s="64" t="str">
        <f>IFERROR(INDEX(입력!$R$2:$R$500, MATCH($BO179, 입력!$Z$2:$Z$500, 0)) &amp; "", "")</f>
        <v/>
      </c>
      <c r="AF179" s="64" t="str">
        <f>IFERROR(INDEX(입력!$S$2:$S$500, MATCH($BO179, 입력!$Z$2:$Z$500, 0)) &amp; "", "")</f>
        <v/>
      </c>
      <c r="AG179" s="64" t="str">
        <f>IFERROR(INDEX(입력!$T$2:$T$500, MATCH($BO179, 입력!$Z$2:$Z$500, 0)) &amp; "", "")</f>
        <v/>
      </c>
      <c r="AH179" s="64" t="str">
        <f>IFERROR(INDEX(입력!$U$2:$U$500, MATCH($BO179, 입력!$Z$2:$Z$500, 0)) &amp; "", "")</f>
        <v/>
      </c>
      <c r="AI179" s="64" t="str">
        <f>IFERROR(INDEX(입력!$V$2:$V$500, MATCH($BO179, 입력!$Z$2:$Z$500, 0)) &amp; "", "")</f>
        <v/>
      </c>
      <c r="AJ179" s="44" t="str">
        <f>IFERROR(INDEX(입력!$W$2:$W$500, MATCH($BO179, 입력!$Z$2:$Z$500, 0)) &amp; "", "")</f>
        <v/>
      </c>
      <c r="AK179" s="44" t="str">
        <f>IFERROR(INDEX(입력!$X$2:$X$500, MATCH($BO179, 입력!$Z$2:$Z$500, 0)) &amp; "", "")</f>
        <v/>
      </c>
      <c r="AL179" s="2"/>
      <c r="AM179" s="17" t="s">
        <v>1650</v>
      </c>
      <c r="AN179" s="101">
        <v>2025</v>
      </c>
      <c r="AO179" s="17" t="s">
        <v>3275</v>
      </c>
      <c r="AP179" s="118"/>
      <c r="AQ179" s="21"/>
      <c r="AR179" s="119" t="s">
        <v>1653</v>
      </c>
      <c r="AS179" s="101"/>
      <c r="AT179" s="101"/>
      <c r="AU179" s="101"/>
      <c r="AV179" s="101"/>
      <c r="AW179" s="101"/>
      <c r="AX179" s="101"/>
      <c r="AY179" s="83" t="s">
        <v>3132</v>
      </c>
      <c r="AZ179" s="71" t="str">
        <f>IFERROR(IF(INDEX(입력!$C$2:$C$500, MATCH($BO179, 입력!$Z$2:$Z$500, 0))="", "", TEXT(INDEX(입력!$C$2:$C$500, MATCH($BO179, 입력!$Z$2:$Z$500, 0)), "yyyy-mm-dd")), "")</f>
        <v/>
      </c>
      <c r="BA179" s="44" t="str">
        <f>IFERROR(INDEX(입력!$B$2:$B$500, MATCH($BO179, 입력!$Z$2:$Z$500, 0)) &amp; "", "")</f>
        <v/>
      </c>
      <c r="BB179" s="83" t="str">
        <f>IFERROR(INDEX(입력!$Y$2:$Y$500, MATCH($BO179, 입력!$Z$2:$Z$500, 0)) &amp; "", "")</f>
        <v/>
      </c>
      <c r="BC179" s="83" t="s">
        <v>3112</v>
      </c>
      <c r="BD179" s="83"/>
      <c r="BE179" s="101"/>
      <c r="BF179" s="101"/>
      <c r="BG179" s="101"/>
      <c r="BH179" s="101"/>
      <c r="BI179" s="101"/>
      <c r="BJ179" s="101"/>
      <c r="BK179" s="110"/>
      <c r="BL179" s="21"/>
      <c r="BM179" s="22">
        <v>227</v>
      </c>
      <c r="BN179" s="23"/>
      <c r="BO179" s="47" t="s">
        <v>476</v>
      </c>
    </row>
    <row r="180" spans="1:67" x14ac:dyDescent="0.45">
      <c r="A180" s="46">
        <v>179</v>
      </c>
      <c r="B180" s="1" t="s">
        <v>1647</v>
      </c>
      <c r="C180" s="17" t="str">
        <f t="shared" si="16"/>
        <v>이행완료</v>
      </c>
      <c r="D180" s="17" t="str">
        <f t="shared" si="22"/>
        <v>조사완료</v>
      </c>
      <c r="E180" s="1" t="s">
        <v>1654</v>
      </c>
      <c r="F180" s="1" t="s">
        <v>2573</v>
      </c>
      <c r="G180" s="11" t="s">
        <v>1655</v>
      </c>
      <c r="H180" s="18" t="s">
        <v>1105</v>
      </c>
      <c r="I180" s="19"/>
      <c r="J180" s="2">
        <v>500</v>
      </c>
      <c r="K180" s="69" t="s">
        <v>2431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MATCH($BO180, 입력!$Z$2:$Z$500, 0)) &amp; "", "")</f>
        <v>25</v>
      </c>
      <c r="S180" s="64" t="str">
        <f>IFERROR(INDEX(입력!$K$2:$K$500, MATCH($BO180,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 t="str">
        <f t="shared" si="21"/>
        <v/>
      </c>
      <c r="X180" s="1">
        <v>10</v>
      </c>
      <c r="Y180" s="64" t="str">
        <f>IFERROR(INDEX(입력!$M$2:$M$500, MATCH($BO180, 입력!$Z$2:$Z$500, 0)) &amp; "", "")</f>
        <v/>
      </c>
      <c r="Z180" s="64" t="str">
        <f>IFERROR(INDEX(입력!$N$2:$N$500, MATCH($BO180,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3"/>
        <v>이행완료</v>
      </c>
      <c r="AC180" s="64" t="str">
        <f>IFERROR(INDEX(입력!$P$2:$P$500, MATCH($BO180, 입력!$Z$2:$Z$500, 0)) &amp; "", "")</f>
        <v>1878</v>
      </c>
      <c r="AD180" s="64" t="str">
        <f>IFERROR(INDEX(입력!$Q$2:$Q$500, MATCH($BO180, 입력!$Z$2:$Z$500, 0)) &amp; "", "")</f>
        <v/>
      </c>
      <c r="AE180" s="64" t="str">
        <f>IFERROR(INDEX(입력!$R$2:$R$500, MATCH($BO180, 입력!$Z$2:$Z$500, 0)) &amp; "", "")</f>
        <v>여</v>
      </c>
      <c r="AF180" s="64" t="str">
        <f>IFERROR(INDEX(입력!$S$2:$S$500, MATCH($BO180, 입력!$Z$2:$Z$500, 0)) &amp; "", "")</f>
        <v>여</v>
      </c>
      <c r="AG180" s="64" t="str">
        <f>IFERROR(INDEX(입력!$T$2:$T$500, MATCH($BO180, 입력!$Z$2:$Z$500, 0)) &amp; "", "")</f>
        <v/>
      </c>
      <c r="AH180" s="64" t="str">
        <f>IFERROR(INDEX(입력!$U$2:$U$500, MATCH($BO180, 입력!$Z$2:$Z$500, 0)) &amp; "", "")</f>
        <v/>
      </c>
      <c r="AI180" s="64" t="str">
        <f>IFERROR(INDEX(입력!$V$2:$V$500, MATCH($BO180, 입력!$Z$2:$Z$500, 0)) &amp; "", "")</f>
        <v>여</v>
      </c>
      <c r="AJ180" s="44" t="str">
        <f>IFERROR(INDEX(입력!$W$2:$W$500, MATCH($BO180, 입력!$Z$2:$Z$500, 0)) &amp; "", "")</f>
        <v>곽영식</v>
      </c>
      <c r="AK180" s="44" t="str">
        <f>IFERROR(INDEX(입력!$X$2:$X$500, MATCH($BO180, 입력!$Z$2:$Z$500, 0)) &amp; "", "")</f>
        <v>951-6691</v>
      </c>
      <c r="AL180" s="2" t="s">
        <v>66</v>
      </c>
      <c r="AM180" s="17" t="s">
        <v>1650</v>
      </c>
      <c r="AN180" s="101">
        <v>2025</v>
      </c>
      <c r="AO180" s="17" t="s">
        <v>3274</v>
      </c>
      <c r="AP180" s="118"/>
      <c r="AQ180" s="21" t="s">
        <v>1656</v>
      </c>
      <c r="AR180" s="119" t="s">
        <v>1657</v>
      </c>
      <c r="AS180" s="101"/>
      <c r="AT180" s="101"/>
      <c r="AU180" s="101"/>
      <c r="AV180" s="101"/>
      <c r="AW180" s="101"/>
      <c r="AX180" s="101"/>
      <c r="AY180" s="83" t="s">
        <v>3137</v>
      </c>
      <c r="AZ180" s="71" t="str">
        <f>IFERROR(IF(INDEX(입력!$C$2:$C$500, MATCH($BO180, 입력!$Z$2:$Z$500, 0))="", "", TEXT(INDEX(입력!$C$2:$C$500, MATCH($BO180, 입력!$Z$2:$Z$500, 0)), "yyyy-mm-dd")), "")</f>
        <v>2026-04-03</v>
      </c>
      <c r="BA180" s="44" t="str">
        <f>IFERROR(INDEX(입력!$B$2:$B$500, MATCH($BO180, 입력!$Z$2:$Z$500, 0)) &amp; "", "")</f>
        <v>노기섭</v>
      </c>
      <c r="BB180" s="83" t="str">
        <f>IFERROR(INDEX(입력!$Y$2:$Y$500, MATCH($BO180, 입력!$Z$2:$Z$500, 0)) &amp; "", "")</f>
        <v/>
      </c>
      <c r="BC180" s="83" t="s">
        <v>3112</v>
      </c>
      <c r="BD180" s="83"/>
      <c r="BE180" s="101"/>
      <c r="BF180" s="101"/>
      <c r="BG180" s="101"/>
      <c r="BH180" s="101"/>
      <c r="BI180" s="101"/>
      <c r="BJ180" s="101"/>
      <c r="BK180" s="110"/>
      <c r="BL180" s="21" t="s">
        <v>2410</v>
      </c>
      <c r="BM180" s="22">
        <v>500</v>
      </c>
      <c r="BN180" s="23"/>
      <c r="BO180" s="47" t="s">
        <v>478</v>
      </c>
    </row>
    <row r="181" spans="1:67" x14ac:dyDescent="0.45">
      <c r="A181" s="19">
        <v>180</v>
      </c>
      <c r="B181" s="1" t="s">
        <v>1647</v>
      </c>
      <c r="C181" s="17" t="str">
        <f t="shared" si="16"/>
        <v>이행완료</v>
      </c>
      <c r="D181" s="17" t="str">
        <f t="shared" si="22"/>
        <v/>
      </c>
      <c r="E181" s="2" t="s">
        <v>1658</v>
      </c>
      <c r="F181" s="1" t="s">
        <v>479</v>
      </c>
      <c r="G181" s="11" t="s">
        <v>1659</v>
      </c>
      <c r="H181" s="18" t="s">
        <v>1202</v>
      </c>
      <c r="I181" s="19">
        <v>485</v>
      </c>
      <c r="J181" s="2"/>
      <c r="K181" s="20" t="s">
        <v>2432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MATCH($BO181, 입력!$Z$2:$Z$500, 0)) &amp; "", "")</f>
        <v/>
      </c>
      <c r="S181" s="64" t="str">
        <f>IFERROR(INDEX(입력!$K$2:$K$500, MATCH($BO181,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 t="str">
        <f t="shared" si="21"/>
        <v/>
      </c>
      <c r="X181" s="1">
        <v>13</v>
      </c>
      <c r="Y181" s="64" t="str">
        <f>IFERROR(INDEX(입력!$M$2:$M$500, MATCH($BO181, 입력!$Z$2:$Z$500, 0)) &amp; "", "")</f>
        <v/>
      </c>
      <c r="Z181" s="64" t="str">
        <f>IFERROR(INDEX(입력!$N$2:$N$500, MATCH($BO181, 입력!$Z$2:$Z$500, 0)) &amp; "", "")</f>
        <v/>
      </c>
      <c r="AA181" s="64">
        <f>MAX(0, 표1[[#This Row],[의무_시설]]-표1[[#This Row],[시설합]])</f>
        <v>0</v>
      </c>
      <c r="AB181" s="17" t="str">
        <f t="shared" si="23"/>
        <v>이행완료</v>
      </c>
      <c r="AC181" s="64" t="str">
        <f>IFERROR(INDEX(입력!$P$2:$P$500, MATCH($BO181, 입력!$Z$2:$Z$500, 0)) &amp; "", "")</f>
        <v/>
      </c>
      <c r="AD181" s="64" t="str">
        <f>IFERROR(INDEX(입력!$Q$2:$Q$500, MATCH($BO181, 입력!$Z$2:$Z$500, 0)) &amp; "", "")</f>
        <v/>
      </c>
      <c r="AE181" s="64" t="str">
        <f>IFERROR(INDEX(입력!$R$2:$R$500, MATCH($BO181, 입력!$Z$2:$Z$500, 0)) &amp; "", "")</f>
        <v/>
      </c>
      <c r="AF181" s="64" t="str">
        <f>IFERROR(INDEX(입력!$S$2:$S$500, MATCH($BO181, 입력!$Z$2:$Z$500, 0)) &amp; "", "")</f>
        <v/>
      </c>
      <c r="AG181" s="64" t="str">
        <f>IFERROR(INDEX(입력!$T$2:$T$500, MATCH($BO181, 입력!$Z$2:$Z$500, 0)) &amp; "", "")</f>
        <v/>
      </c>
      <c r="AH181" s="64" t="str">
        <f>IFERROR(INDEX(입력!$U$2:$U$500, MATCH($BO181, 입력!$Z$2:$Z$500, 0)) &amp; "", "")</f>
        <v/>
      </c>
      <c r="AI181" s="64" t="str">
        <f>IFERROR(INDEX(입력!$V$2:$V$500, MATCH($BO181, 입력!$Z$2:$Z$500, 0)) &amp; "", "")</f>
        <v/>
      </c>
      <c r="AJ181" s="44" t="str">
        <f>IFERROR(INDEX(입력!$W$2:$W$500, MATCH($BO181, 입력!$Z$2:$Z$500, 0)) &amp; "", "")</f>
        <v/>
      </c>
      <c r="AK181" s="44" t="str">
        <f>IFERROR(INDEX(입력!$X$2:$X$500, MATCH($BO181, 입력!$Z$2:$Z$500, 0)) &amp; "", "")</f>
        <v/>
      </c>
      <c r="AL181" s="2"/>
      <c r="AM181" s="17" t="s">
        <v>1650</v>
      </c>
      <c r="AN181" s="101">
        <v>2025</v>
      </c>
      <c r="AO181" s="17" t="s">
        <v>3274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3131</v>
      </c>
      <c r="AZ181" s="71" t="str">
        <f>IFERROR(IF(INDEX(입력!$C$2:$C$500, MATCH($BO181, 입력!$Z$2:$Z$500, 0))="", "", TEXT(INDEX(입력!$C$2:$C$500, MATCH($BO181, 입력!$Z$2:$Z$500, 0)), "yyyy-mm-dd")), "")</f>
        <v/>
      </c>
      <c r="BA181" s="44" t="str">
        <f>IFERROR(INDEX(입력!$B$2:$B$500, MATCH($BO181, 입력!$Z$2:$Z$500, 0)) &amp; "", "")</f>
        <v/>
      </c>
      <c r="BB181" s="83" t="str">
        <f>IFERROR(INDEX(입력!$Y$2:$Y$500, MATCH($BO181, 입력!$Z$2:$Z$500, 0)) &amp; "", "")</f>
        <v/>
      </c>
      <c r="BC181" s="83" t="s">
        <v>3112</v>
      </c>
      <c r="BD181" s="83"/>
      <c r="BE181" s="101"/>
      <c r="BF181" s="101"/>
      <c r="BG181" s="101"/>
      <c r="BH181" s="101"/>
      <c r="BI181" s="101"/>
      <c r="BJ181" s="101"/>
      <c r="BK181" s="110"/>
      <c r="BL181" s="21"/>
      <c r="BM181" s="22">
        <v>482</v>
      </c>
      <c r="BN181" s="23"/>
      <c r="BO181" s="47" t="s">
        <v>480</v>
      </c>
    </row>
    <row r="182" spans="1:67" x14ac:dyDescent="0.45">
      <c r="A182" s="46">
        <v>181</v>
      </c>
      <c r="B182" s="1" t="s">
        <v>1647</v>
      </c>
      <c r="C182" s="17" t="str">
        <f t="shared" si="16"/>
        <v>이행완료</v>
      </c>
      <c r="D182" s="17" t="str">
        <f t="shared" si="22"/>
        <v/>
      </c>
      <c r="E182" s="2" t="s">
        <v>1660</v>
      </c>
      <c r="F182" s="1" t="s">
        <v>481</v>
      </c>
      <c r="G182" s="11" t="s">
        <v>1661</v>
      </c>
      <c r="H182" s="18" t="s">
        <v>1097</v>
      </c>
      <c r="I182" s="19">
        <v>278</v>
      </c>
      <c r="J182" s="2"/>
      <c r="K182" s="20" t="s">
        <v>2433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MATCH($BO182, 입력!$Z$2:$Z$500, 0)) &amp; "", "")</f>
        <v/>
      </c>
      <c r="S182" s="64" t="str">
        <f>IFERROR(INDEX(입력!$K$2:$K$500, MATCH($BO182,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 t="str">
        <f t="shared" si="21"/>
        <v/>
      </c>
      <c r="X182" s="1">
        <v>6</v>
      </c>
      <c r="Y182" s="64" t="str">
        <f>IFERROR(INDEX(입력!$M$2:$M$500, MATCH($BO182, 입력!$Z$2:$Z$500, 0)) &amp; "", "")</f>
        <v/>
      </c>
      <c r="Z182" s="64" t="str">
        <f>IFERROR(INDEX(입력!$N$2:$N$500, MATCH($BO182, 입력!$Z$2:$Z$500, 0)) &amp; "", "")</f>
        <v/>
      </c>
      <c r="AA182" s="64">
        <f>MAX(0, 표1[[#This Row],[의무_시설]]-표1[[#This Row],[시설합]])</f>
        <v>0</v>
      </c>
      <c r="AB182" s="17" t="str">
        <f t="shared" si="23"/>
        <v>이행완료</v>
      </c>
      <c r="AC182" s="64" t="str">
        <f>IFERROR(INDEX(입력!$P$2:$P$500, MATCH($BO182, 입력!$Z$2:$Z$500, 0)) &amp; "", "")</f>
        <v/>
      </c>
      <c r="AD182" s="64" t="str">
        <f>IFERROR(INDEX(입력!$Q$2:$Q$500, MATCH($BO182, 입력!$Z$2:$Z$500, 0)) &amp; "", "")</f>
        <v/>
      </c>
      <c r="AE182" s="64" t="str">
        <f>IFERROR(INDEX(입력!$R$2:$R$500, MATCH($BO182, 입력!$Z$2:$Z$500, 0)) &amp; "", "")</f>
        <v/>
      </c>
      <c r="AF182" s="64" t="str">
        <f>IFERROR(INDEX(입력!$S$2:$S$500, MATCH($BO182, 입력!$Z$2:$Z$500, 0)) &amp; "", "")</f>
        <v/>
      </c>
      <c r="AG182" s="64" t="str">
        <f>IFERROR(INDEX(입력!$T$2:$T$500, MATCH($BO182, 입력!$Z$2:$Z$500, 0)) &amp; "", "")</f>
        <v/>
      </c>
      <c r="AH182" s="64" t="str">
        <f>IFERROR(INDEX(입력!$U$2:$U$500, MATCH($BO182, 입력!$Z$2:$Z$500, 0)) &amp; "", "")</f>
        <v/>
      </c>
      <c r="AI182" s="64" t="str">
        <f>IFERROR(INDEX(입력!$V$2:$V$500, MATCH($BO182, 입력!$Z$2:$Z$500, 0)) &amp; "", "")</f>
        <v/>
      </c>
      <c r="AJ182" s="44" t="str">
        <f>IFERROR(INDEX(입력!$W$2:$W$500, MATCH($BO182, 입력!$Z$2:$Z$500, 0)) &amp; "", "")</f>
        <v/>
      </c>
      <c r="AK182" s="44" t="str">
        <f>IFERROR(INDEX(입력!$X$2:$X$500, MATCH($BO182, 입력!$Z$2:$Z$500, 0)) &amp; "", "")</f>
        <v/>
      </c>
      <c r="AL182" s="2"/>
      <c r="AM182" s="17" t="s">
        <v>1650</v>
      </c>
      <c r="AN182" s="101">
        <v>2025</v>
      </c>
      <c r="AO182" s="17" t="s">
        <v>3275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3131</v>
      </c>
      <c r="AZ182" s="71" t="str">
        <f>IFERROR(IF(INDEX(입력!$C$2:$C$500, MATCH($BO182, 입력!$Z$2:$Z$500, 0))="", "", TEXT(INDEX(입력!$C$2:$C$500, MATCH($BO182, 입력!$Z$2:$Z$500, 0)), "yyyy-mm-dd")), "")</f>
        <v/>
      </c>
      <c r="BA182" s="44" t="str">
        <f>IFERROR(INDEX(입력!$B$2:$B$500, MATCH($BO182, 입력!$Z$2:$Z$500, 0)) &amp; "", "")</f>
        <v/>
      </c>
      <c r="BB182" s="83" t="str">
        <f>IFERROR(INDEX(입력!$Y$2:$Y$500, MATCH($BO182, 입력!$Z$2:$Z$500, 0)) &amp; "", "")</f>
        <v/>
      </c>
      <c r="BC182" s="83" t="s">
        <v>3112</v>
      </c>
      <c r="BD182" s="83"/>
      <c r="BE182" s="101"/>
      <c r="BF182" s="101"/>
      <c r="BG182" s="101"/>
      <c r="BH182" s="101"/>
      <c r="BI182" s="101"/>
      <c r="BJ182" s="101"/>
      <c r="BK182" s="110"/>
      <c r="BL182" s="21"/>
      <c r="BM182" s="22">
        <v>278</v>
      </c>
      <c r="BN182" s="23"/>
      <c r="BO182" s="47" t="s">
        <v>482</v>
      </c>
    </row>
    <row r="183" spans="1:67" x14ac:dyDescent="0.45">
      <c r="A183" s="19">
        <v>182</v>
      </c>
      <c r="B183" s="1" t="s">
        <v>1647</v>
      </c>
      <c r="C183" s="17" t="str">
        <f t="shared" si="16"/>
        <v>이행완료</v>
      </c>
      <c r="D183" s="17" t="str">
        <f t="shared" si="22"/>
        <v/>
      </c>
      <c r="E183" s="2" t="s">
        <v>1662</v>
      </c>
      <c r="F183" s="1" t="s">
        <v>483</v>
      </c>
      <c r="G183" s="11" t="s">
        <v>1663</v>
      </c>
      <c r="H183" s="18" t="s">
        <v>1097</v>
      </c>
      <c r="I183" s="19">
        <v>660</v>
      </c>
      <c r="J183" s="2"/>
      <c r="K183" s="20" t="s">
        <v>2434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MATCH($BO183, 입력!$Z$2:$Z$500, 0)) &amp; "", "")</f>
        <v/>
      </c>
      <c r="S183" s="64" t="str">
        <f>IFERROR(INDEX(입력!$K$2:$K$500, MATCH($BO183,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 t="str">
        <f t="shared" si="21"/>
        <v/>
      </c>
      <c r="X183" s="1">
        <v>33</v>
      </c>
      <c r="Y183" s="64" t="str">
        <f>IFERROR(INDEX(입력!$M$2:$M$500, MATCH($BO183, 입력!$Z$2:$Z$500, 0)) &amp; "", "")</f>
        <v/>
      </c>
      <c r="Z183" s="64" t="str">
        <f>IFERROR(INDEX(입력!$N$2:$N$500, MATCH($BO183, 입력!$Z$2:$Z$500, 0)) &amp; "", "")</f>
        <v/>
      </c>
      <c r="AA183" s="64">
        <f>MAX(0, 표1[[#This Row],[의무_시설]]-표1[[#This Row],[시설합]])</f>
        <v>0</v>
      </c>
      <c r="AB183" s="17" t="str">
        <f t="shared" si="23"/>
        <v>이행완료</v>
      </c>
      <c r="AC183" s="64" t="str">
        <f>IFERROR(INDEX(입력!$P$2:$P$500, MATCH($BO183, 입력!$Z$2:$Z$500, 0)) &amp; "", "")</f>
        <v/>
      </c>
      <c r="AD183" s="64" t="str">
        <f>IFERROR(INDEX(입력!$Q$2:$Q$500, MATCH($BO183, 입력!$Z$2:$Z$500, 0)) &amp; "", "")</f>
        <v/>
      </c>
      <c r="AE183" s="64" t="str">
        <f>IFERROR(INDEX(입력!$R$2:$R$500, MATCH($BO183, 입력!$Z$2:$Z$500, 0)) &amp; "", "")</f>
        <v/>
      </c>
      <c r="AF183" s="64" t="str">
        <f>IFERROR(INDEX(입력!$S$2:$S$500, MATCH($BO183, 입력!$Z$2:$Z$500, 0)) &amp; "", "")</f>
        <v/>
      </c>
      <c r="AG183" s="64" t="str">
        <f>IFERROR(INDEX(입력!$T$2:$T$500, MATCH($BO183, 입력!$Z$2:$Z$500, 0)) &amp; "", "")</f>
        <v/>
      </c>
      <c r="AH183" s="64" t="str">
        <f>IFERROR(INDEX(입력!$U$2:$U$500, MATCH($BO183, 입력!$Z$2:$Z$500, 0)) &amp; "", "")</f>
        <v/>
      </c>
      <c r="AI183" s="64" t="str">
        <f>IFERROR(INDEX(입력!$V$2:$V$500, MATCH($BO183, 입력!$Z$2:$Z$500, 0)) &amp; "", "")</f>
        <v/>
      </c>
      <c r="AJ183" s="44" t="str">
        <f>IFERROR(INDEX(입력!$W$2:$W$500, MATCH($BO183, 입력!$Z$2:$Z$500, 0)) &amp; "", "")</f>
        <v/>
      </c>
      <c r="AK183" s="44" t="str">
        <f>IFERROR(INDEX(입력!$X$2:$X$500, MATCH($BO183, 입력!$Z$2:$Z$500, 0)) &amp; "", "")</f>
        <v/>
      </c>
      <c r="AL183" s="2"/>
      <c r="AM183" s="17" t="s">
        <v>1650</v>
      </c>
      <c r="AN183" s="101">
        <v>2025</v>
      </c>
      <c r="AO183" s="17" t="s">
        <v>3275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3137</v>
      </c>
      <c r="AZ183" s="71" t="str">
        <f>IFERROR(IF(INDEX(입력!$C$2:$C$500, MATCH($BO183, 입력!$Z$2:$Z$500, 0))="", "", TEXT(INDEX(입력!$C$2:$C$500, MATCH($BO183, 입력!$Z$2:$Z$500, 0)), "yyyy-mm-dd")), "")</f>
        <v/>
      </c>
      <c r="BA183" s="44" t="str">
        <f>IFERROR(INDEX(입력!$B$2:$B$500, MATCH($BO183, 입력!$Z$2:$Z$500, 0)) &amp; "", "")</f>
        <v/>
      </c>
      <c r="BB183" s="83" t="str">
        <f>IFERROR(INDEX(입력!$Y$2:$Y$500, MATCH($BO183, 입력!$Z$2:$Z$500, 0)) &amp; "", "")</f>
        <v/>
      </c>
      <c r="BC183" s="83" t="s">
        <v>3112</v>
      </c>
      <c r="BD183" s="83"/>
      <c r="BE183" s="101"/>
      <c r="BF183" s="101"/>
      <c r="BG183" s="101"/>
      <c r="BH183" s="101"/>
      <c r="BI183" s="101"/>
      <c r="BJ183" s="101"/>
      <c r="BK183" s="110"/>
      <c r="BL183" s="21"/>
      <c r="BM183" s="22">
        <v>660</v>
      </c>
      <c r="BN183" s="23"/>
      <c r="BO183" s="47" t="s">
        <v>484</v>
      </c>
    </row>
    <row r="184" spans="1:67" x14ac:dyDescent="0.45">
      <c r="A184" s="46">
        <v>183</v>
      </c>
      <c r="B184" s="1" t="s">
        <v>1647</v>
      </c>
      <c r="C184" s="17" t="str">
        <f t="shared" si="16"/>
        <v>미이행</v>
      </c>
      <c r="D184" s="17" t="str">
        <f t="shared" si="22"/>
        <v>조사완료</v>
      </c>
      <c r="E184" s="2" t="s">
        <v>1664</v>
      </c>
      <c r="F184" s="1" t="s">
        <v>485</v>
      </c>
      <c r="G184" s="11" t="s">
        <v>1665</v>
      </c>
      <c r="H184" s="18" t="s">
        <v>1202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MATCH($BO184, 입력!$Z$2:$Z$500, 0)) &amp; "", "")</f>
        <v>9</v>
      </c>
      <c r="S184" s="64" t="str">
        <f>IFERROR(INDEX(입력!$K$2:$K$500, MATCH($BO184,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 t="str">
        <f t="shared" si="21"/>
        <v/>
      </c>
      <c r="X184" s="1">
        <v>19</v>
      </c>
      <c r="Y184" s="64" t="str">
        <f>IFERROR(INDEX(입력!$M$2:$M$500, MATCH($BO184, 입력!$Z$2:$Z$500, 0)) &amp; "", "")</f>
        <v/>
      </c>
      <c r="Z184" s="64" t="str">
        <f>IFERROR(INDEX(입력!$N$2:$N$500, MATCH($BO184,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3"/>
        <v>이행완료</v>
      </c>
      <c r="AC184" s="64" t="str">
        <f>IFERROR(INDEX(입력!$P$2:$P$500, MATCH($BO184, 입력!$Z$2:$Z$500, 0)) &amp; "", "")</f>
        <v>1,067</v>
      </c>
      <c r="AD184" s="64" t="str">
        <f>IFERROR(INDEX(입력!$Q$2:$Q$500, MATCH($BO184, 입력!$Z$2:$Z$500, 0)) &amp; "", "")</f>
        <v>24</v>
      </c>
      <c r="AE184" s="64" t="str">
        <f>IFERROR(INDEX(입력!$R$2:$R$500, MATCH($BO184, 입력!$Z$2:$Z$500, 0)) &amp; "", "")</f>
        <v>여</v>
      </c>
      <c r="AF184" s="64" t="str">
        <f>IFERROR(INDEX(입력!$S$2:$S$500, MATCH($BO184, 입력!$Z$2:$Z$500, 0)) &amp; "", "")</f>
        <v>여</v>
      </c>
      <c r="AG184" s="64" t="str">
        <f>IFERROR(INDEX(입력!$T$2:$T$500, MATCH($BO184, 입력!$Z$2:$Z$500, 0)) &amp; "", "")</f>
        <v>부</v>
      </c>
      <c r="AH184" s="64" t="str">
        <f>IFERROR(INDEX(입력!$U$2:$U$500, MATCH($BO184, 입력!$Z$2:$Z$500, 0)) &amp; "", "")</f>
        <v/>
      </c>
      <c r="AI184" s="64" t="str">
        <f>IFERROR(INDEX(입력!$V$2:$V$500, MATCH($BO184, 입력!$Z$2:$Z$500, 0)) &amp; "", "")</f>
        <v>여</v>
      </c>
      <c r="AJ184" s="44" t="str">
        <f>IFERROR(INDEX(입력!$W$2:$W$500, MATCH($BO184, 입력!$Z$2:$Z$500, 0)) &amp; "", "")</f>
        <v>공한택</v>
      </c>
      <c r="AK184" s="44" t="str">
        <f>IFERROR(INDEX(입력!$X$2:$X$500, MATCH($BO184, 입력!$Z$2:$Z$500, 0)) &amp; "", "")</f>
        <v>961-7626</v>
      </c>
      <c r="AL184" s="2" t="s">
        <v>1666</v>
      </c>
      <c r="AM184" s="17" t="s">
        <v>1650</v>
      </c>
      <c r="AN184" s="101">
        <v>2025</v>
      </c>
      <c r="AO184" s="17" t="s">
        <v>3274</v>
      </c>
      <c r="AP184" s="101"/>
      <c r="AQ184" s="108"/>
      <c r="AR184" s="119"/>
      <c r="AS184" s="101" t="s">
        <v>3124</v>
      </c>
      <c r="AT184" s="109">
        <v>46034</v>
      </c>
      <c r="AU184" s="101" t="s">
        <v>3127</v>
      </c>
      <c r="AV184" s="101" t="s">
        <v>3276</v>
      </c>
      <c r="AW184" s="101" t="s">
        <v>3159</v>
      </c>
      <c r="AX184" s="101"/>
      <c r="AY184" s="83" t="s">
        <v>3131</v>
      </c>
      <c r="AZ184" s="71" t="str">
        <f>IFERROR(IF(INDEX(입력!$C$2:$C$500, MATCH($BO184, 입력!$Z$2:$Z$500, 0))="", "", TEXT(INDEX(입력!$C$2:$C$500, MATCH($BO184, 입력!$Z$2:$Z$500, 0)), "yyyy-mm-dd")), "")</f>
        <v>2026-04-08</v>
      </c>
      <c r="BA184" s="44" t="str">
        <f>IFERROR(INDEX(입력!$B$2:$B$500, MATCH($BO184, 입력!$Z$2:$Z$500, 0)) &amp; "", "")</f>
        <v>노기섭</v>
      </c>
      <c r="BB184" s="83" t="str">
        <f>IFERROR(INDEX(입력!$Y$2:$Y$500, MATCH($BO184, 입력!$Z$2:$Z$500, 0)) &amp; "", "")</f>
        <v>26.5.까지 전용주차구역설치예정, LH 미결정으로 향후 추진예정</v>
      </c>
      <c r="BC184" s="83" t="s">
        <v>3133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3828</v>
      </c>
      <c r="BI184" s="101" t="s">
        <v>3810</v>
      </c>
      <c r="BJ184" s="101"/>
      <c r="BK184" s="110"/>
      <c r="BL184" s="21" t="s">
        <v>2410</v>
      </c>
      <c r="BM184" s="22">
        <v>963</v>
      </c>
      <c r="BN184" s="23"/>
      <c r="BO184" s="47" t="s">
        <v>486</v>
      </c>
    </row>
    <row r="185" spans="1:67" x14ac:dyDescent="0.45">
      <c r="A185" s="19">
        <v>184</v>
      </c>
      <c r="B185" s="1" t="s">
        <v>1647</v>
      </c>
      <c r="C185" s="17" t="str">
        <f t="shared" si="16"/>
        <v>이행완료</v>
      </c>
      <c r="D185" s="17" t="str">
        <f t="shared" si="22"/>
        <v/>
      </c>
      <c r="E185" s="2" t="s">
        <v>1667</v>
      </c>
      <c r="F185" s="1" t="s">
        <v>487</v>
      </c>
      <c r="G185" s="11" t="s">
        <v>1668</v>
      </c>
      <c r="H185" s="18" t="s">
        <v>1133</v>
      </c>
      <c r="I185" s="19">
        <v>714</v>
      </c>
      <c r="J185" s="2"/>
      <c r="K185" s="20" t="s">
        <v>2587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MATCH($BO185, 입력!$Z$2:$Z$500, 0)) &amp; "", "")</f>
        <v/>
      </c>
      <c r="S185" s="64" t="str">
        <f>IFERROR(INDEX(입력!$K$2:$K$500, MATCH($BO185,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 t="str">
        <f t="shared" si="21"/>
        <v/>
      </c>
      <c r="X185" s="1">
        <v>15</v>
      </c>
      <c r="Y185" s="64" t="str">
        <f>IFERROR(INDEX(입력!$M$2:$M$500, MATCH($BO185, 입력!$Z$2:$Z$500, 0)) &amp; "", "")</f>
        <v/>
      </c>
      <c r="Z185" s="64" t="str">
        <f>IFERROR(INDEX(입력!$N$2:$N$500, MATCH($BO185, 입력!$Z$2:$Z$500, 0)) &amp; "", "")</f>
        <v/>
      </c>
      <c r="AA185" s="64">
        <f>MAX(0, 표1[[#This Row],[의무_시설]]-표1[[#This Row],[시설합]])</f>
        <v>0</v>
      </c>
      <c r="AB185" s="17" t="str">
        <f t="shared" si="23"/>
        <v>이행완료</v>
      </c>
      <c r="AC185" s="64" t="str">
        <f>IFERROR(INDEX(입력!$P$2:$P$500, MATCH($BO185, 입력!$Z$2:$Z$500, 0)) &amp; "", "")</f>
        <v/>
      </c>
      <c r="AD185" s="64" t="str">
        <f>IFERROR(INDEX(입력!$Q$2:$Q$500, MATCH($BO185, 입력!$Z$2:$Z$500, 0)) &amp; "", "")</f>
        <v/>
      </c>
      <c r="AE185" s="64" t="str">
        <f>IFERROR(INDEX(입력!$R$2:$R$500, MATCH($BO185, 입력!$Z$2:$Z$500, 0)) &amp; "", "")</f>
        <v/>
      </c>
      <c r="AF185" s="64" t="str">
        <f>IFERROR(INDEX(입력!$S$2:$S$500, MATCH($BO185, 입력!$Z$2:$Z$500, 0)) &amp; "", "")</f>
        <v/>
      </c>
      <c r="AG185" s="64" t="str">
        <f>IFERROR(INDEX(입력!$T$2:$T$500, MATCH($BO185, 입력!$Z$2:$Z$500, 0)) &amp; "", "")</f>
        <v/>
      </c>
      <c r="AH185" s="64" t="str">
        <f>IFERROR(INDEX(입력!$U$2:$U$500, MATCH($BO185, 입력!$Z$2:$Z$500, 0)) &amp; "", "")</f>
        <v/>
      </c>
      <c r="AI185" s="64" t="str">
        <f>IFERROR(INDEX(입력!$V$2:$V$500, MATCH($BO185, 입력!$Z$2:$Z$500, 0)) &amp; "", "")</f>
        <v/>
      </c>
      <c r="AJ185" s="44" t="str">
        <f>IFERROR(INDEX(입력!$W$2:$W$500, MATCH($BO185, 입력!$Z$2:$Z$500, 0)) &amp; "", "")</f>
        <v/>
      </c>
      <c r="AK185" s="44" t="str">
        <f>IFERROR(INDEX(입력!$X$2:$X$500, MATCH($BO185, 입력!$Z$2:$Z$500, 0)) &amp; "", "")</f>
        <v/>
      </c>
      <c r="AL185" s="2"/>
      <c r="AM185" s="17" t="s">
        <v>1650</v>
      </c>
      <c r="AN185" s="101">
        <v>2025</v>
      </c>
      <c r="AO185" s="17" t="s">
        <v>3274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3131</v>
      </c>
      <c r="AZ185" s="71" t="str">
        <f>IFERROR(IF(INDEX(입력!$C$2:$C$500, MATCH($BO185, 입력!$Z$2:$Z$500, 0))="", "", TEXT(INDEX(입력!$C$2:$C$500, MATCH($BO185, 입력!$Z$2:$Z$500, 0)), "yyyy-mm-dd")), "")</f>
        <v/>
      </c>
      <c r="BA185" s="44" t="str">
        <f>IFERROR(INDEX(입력!$B$2:$B$500, MATCH($BO185, 입력!$Z$2:$Z$500, 0)) &amp; "", "")</f>
        <v/>
      </c>
      <c r="BB185" s="83" t="str">
        <f>IFERROR(INDEX(입력!$Y$2:$Y$500, MATCH($BO185, 입력!$Z$2:$Z$500, 0)) &amp; "", "")</f>
        <v/>
      </c>
      <c r="BC185" s="83" t="s">
        <v>3112</v>
      </c>
      <c r="BD185" s="83"/>
      <c r="BE185" s="101"/>
      <c r="BF185" s="101"/>
      <c r="BG185" s="101"/>
      <c r="BH185" s="101"/>
      <c r="BI185" s="101"/>
      <c r="BJ185" s="101"/>
      <c r="BK185" s="110"/>
      <c r="BL185" s="21"/>
      <c r="BM185" s="22">
        <v>721</v>
      </c>
      <c r="BN185" s="23"/>
      <c r="BO185" s="47" t="s">
        <v>488</v>
      </c>
    </row>
    <row r="186" spans="1:67" x14ac:dyDescent="0.45">
      <c r="A186" s="46">
        <v>185</v>
      </c>
      <c r="B186" s="1" t="s">
        <v>1647</v>
      </c>
      <c r="C186" s="17" t="str">
        <f t="shared" si="16"/>
        <v>이행완료</v>
      </c>
      <c r="D186" s="17" t="str">
        <f t="shared" si="22"/>
        <v/>
      </c>
      <c r="E186" s="2" t="s">
        <v>1669</v>
      </c>
      <c r="F186" s="1" t="s">
        <v>489</v>
      </c>
      <c r="G186" s="11" t="s">
        <v>1670</v>
      </c>
      <c r="H186" s="18" t="s">
        <v>1133</v>
      </c>
      <c r="I186" s="19">
        <v>253</v>
      </c>
      <c r="J186" s="2"/>
      <c r="K186" s="20" t="s">
        <v>2588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MATCH($BO186, 입력!$Z$2:$Z$500, 0)) &amp; "", "")</f>
        <v/>
      </c>
      <c r="S186" s="64" t="str">
        <f>IFERROR(INDEX(입력!$K$2:$K$500, MATCH($BO186,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 t="str">
        <f t="shared" si="21"/>
        <v/>
      </c>
      <c r="X186" s="1">
        <v>5</v>
      </c>
      <c r="Y186" s="64" t="str">
        <f>IFERROR(INDEX(입력!$M$2:$M$500, MATCH($BO186, 입력!$Z$2:$Z$500, 0)) &amp; "", "")</f>
        <v/>
      </c>
      <c r="Z186" s="64" t="str">
        <f>IFERROR(INDEX(입력!$N$2:$N$500, MATCH($BO186, 입력!$Z$2:$Z$500, 0)) &amp; "", "")</f>
        <v/>
      </c>
      <c r="AA186" s="64">
        <f>MAX(0, 표1[[#This Row],[의무_시설]]-표1[[#This Row],[시설합]])</f>
        <v>0</v>
      </c>
      <c r="AB186" s="17" t="str">
        <f t="shared" si="23"/>
        <v>이행완료</v>
      </c>
      <c r="AC186" s="64" t="str">
        <f>IFERROR(INDEX(입력!$P$2:$P$500, MATCH($BO186, 입력!$Z$2:$Z$500, 0)) &amp; "", "")</f>
        <v/>
      </c>
      <c r="AD186" s="64" t="str">
        <f>IFERROR(INDEX(입력!$Q$2:$Q$500, MATCH($BO186, 입력!$Z$2:$Z$500, 0)) &amp; "", "")</f>
        <v/>
      </c>
      <c r="AE186" s="64" t="str">
        <f>IFERROR(INDEX(입력!$R$2:$R$500, MATCH($BO186, 입력!$Z$2:$Z$500, 0)) &amp; "", "")</f>
        <v/>
      </c>
      <c r="AF186" s="64" t="str">
        <f>IFERROR(INDEX(입력!$S$2:$S$500, MATCH($BO186, 입력!$Z$2:$Z$500, 0)) &amp; "", "")</f>
        <v/>
      </c>
      <c r="AG186" s="64" t="str">
        <f>IFERROR(INDEX(입력!$T$2:$T$500, MATCH($BO186, 입력!$Z$2:$Z$500, 0)) &amp; "", "")</f>
        <v/>
      </c>
      <c r="AH186" s="64" t="str">
        <f>IFERROR(INDEX(입력!$U$2:$U$500, MATCH($BO186, 입력!$Z$2:$Z$500, 0)) &amp; "", "")</f>
        <v/>
      </c>
      <c r="AI186" s="64" t="str">
        <f>IFERROR(INDEX(입력!$V$2:$V$500, MATCH($BO186, 입력!$Z$2:$Z$500, 0)) &amp; "", "")</f>
        <v/>
      </c>
      <c r="AJ186" s="44" t="str">
        <f>IFERROR(INDEX(입력!$W$2:$W$500, MATCH($BO186, 입력!$Z$2:$Z$500, 0)) &amp; "", "")</f>
        <v/>
      </c>
      <c r="AK186" s="44" t="str">
        <f>IFERROR(INDEX(입력!$X$2:$X$500, MATCH($BO186, 입력!$Z$2:$Z$500, 0)) &amp; "", "")</f>
        <v/>
      </c>
      <c r="AL186" s="2"/>
      <c r="AM186" s="17" t="s">
        <v>1650</v>
      </c>
      <c r="AN186" s="101">
        <v>2025</v>
      </c>
      <c r="AO186" s="17" t="s">
        <v>3275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3131</v>
      </c>
      <c r="AZ186" s="71" t="str">
        <f>IFERROR(IF(INDEX(입력!$C$2:$C$500, MATCH($BO186, 입력!$Z$2:$Z$500, 0))="", "", TEXT(INDEX(입력!$C$2:$C$500, MATCH($BO186, 입력!$Z$2:$Z$500, 0)), "yyyy-mm-dd")), "")</f>
        <v/>
      </c>
      <c r="BA186" s="44" t="str">
        <f>IFERROR(INDEX(입력!$B$2:$B$500, MATCH($BO186, 입력!$Z$2:$Z$500, 0)) &amp; "", "")</f>
        <v/>
      </c>
      <c r="BB186" s="83" t="str">
        <f>IFERROR(INDEX(입력!$Y$2:$Y$500, MATCH($BO186, 입력!$Z$2:$Z$500, 0)) &amp; "", "")</f>
        <v/>
      </c>
      <c r="BC186" s="83" t="s">
        <v>3112</v>
      </c>
      <c r="BD186" s="83"/>
      <c r="BE186" s="101"/>
      <c r="BF186" s="101"/>
      <c r="BG186" s="101"/>
      <c r="BH186" s="101"/>
      <c r="BI186" s="101"/>
      <c r="BJ186" s="101"/>
      <c r="BK186" s="110"/>
      <c r="BL186" s="21"/>
      <c r="BM186" s="22">
        <v>259</v>
      </c>
      <c r="BN186" s="23"/>
      <c r="BO186" s="47" t="s">
        <v>490</v>
      </c>
    </row>
    <row r="187" spans="1:67" x14ac:dyDescent="0.45">
      <c r="A187" s="19">
        <v>186</v>
      </c>
      <c r="B187" s="1" t="s">
        <v>1647</v>
      </c>
      <c r="C187" s="17" t="str">
        <f t="shared" si="16"/>
        <v>이행완료</v>
      </c>
      <c r="D187" s="17" t="str">
        <f t="shared" si="22"/>
        <v/>
      </c>
      <c r="E187" s="2" t="s">
        <v>1671</v>
      </c>
      <c r="F187" s="1" t="s">
        <v>491</v>
      </c>
      <c r="G187" s="11" t="s">
        <v>1672</v>
      </c>
      <c r="H187" s="18" t="s">
        <v>1105</v>
      </c>
      <c r="I187" s="19"/>
      <c r="J187" s="2">
        <v>284</v>
      </c>
      <c r="K187" s="20" t="s">
        <v>2589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MATCH($BO187, 입력!$Z$2:$Z$500, 0)) &amp; "", "")</f>
        <v/>
      </c>
      <c r="S187" s="64" t="str">
        <f>IFERROR(INDEX(입력!$K$2:$K$500, MATCH($BO187,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 t="str">
        <f t="shared" si="21"/>
        <v/>
      </c>
      <c r="X187" s="1">
        <v>10</v>
      </c>
      <c r="Y187" s="64" t="str">
        <f>IFERROR(INDEX(입력!$M$2:$M$500, MATCH($BO187, 입력!$Z$2:$Z$500, 0)) &amp; "", "")</f>
        <v/>
      </c>
      <c r="Z187" s="64" t="str">
        <f>IFERROR(INDEX(입력!$N$2:$N$500, MATCH($BO187, 입력!$Z$2:$Z$500, 0)) &amp; "", "")</f>
        <v/>
      </c>
      <c r="AA187" s="64">
        <f>MAX(0, 표1[[#This Row],[의무_시설]]-표1[[#This Row],[시설합]])</f>
        <v>0</v>
      </c>
      <c r="AB187" s="17" t="str">
        <f t="shared" si="23"/>
        <v>이행완료</v>
      </c>
      <c r="AC187" s="64" t="str">
        <f>IFERROR(INDEX(입력!$P$2:$P$500, MATCH($BO187, 입력!$Z$2:$Z$500, 0)) &amp; "", "")</f>
        <v/>
      </c>
      <c r="AD187" s="64" t="str">
        <f>IFERROR(INDEX(입력!$Q$2:$Q$500, MATCH($BO187, 입력!$Z$2:$Z$500, 0)) &amp; "", "")</f>
        <v/>
      </c>
      <c r="AE187" s="64" t="str">
        <f>IFERROR(INDEX(입력!$R$2:$R$500, MATCH($BO187, 입력!$Z$2:$Z$500, 0)) &amp; "", "")</f>
        <v/>
      </c>
      <c r="AF187" s="64" t="str">
        <f>IFERROR(INDEX(입력!$S$2:$S$500, MATCH($BO187, 입력!$Z$2:$Z$500, 0)) &amp; "", "")</f>
        <v/>
      </c>
      <c r="AG187" s="64" t="str">
        <f>IFERROR(INDEX(입력!$T$2:$T$500, MATCH($BO187, 입력!$Z$2:$Z$500, 0)) &amp; "", "")</f>
        <v/>
      </c>
      <c r="AH187" s="64" t="str">
        <f>IFERROR(INDEX(입력!$U$2:$U$500, MATCH($BO187, 입력!$Z$2:$Z$500, 0)) &amp; "", "")</f>
        <v/>
      </c>
      <c r="AI187" s="64" t="str">
        <f>IFERROR(INDEX(입력!$V$2:$V$500, MATCH($BO187, 입력!$Z$2:$Z$500, 0)) &amp; "", "")</f>
        <v/>
      </c>
      <c r="AJ187" s="44" t="str">
        <f>IFERROR(INDEX(입력!$W$2:$W$500, MATCH($BO187, 입력!$Z$2:$Z$500, 0)) &amp; "", "")</f>
        <v/>
      </c>
      <c r="AK187" s="44" t="str">
        <f>IFERROR(INDEX(입력!$X$2:$X$500, MATCH($BO187, 입력!$Z$2:$Z$500, 0)) &amp; "", "")</f>
        <v/>
      </c>
      <c r="AL187" s="2"/>
      <c r="AM187" s="17" t="s">
        <v>1650</v>
      </c>
      <c r="AN187" s="101">
        <v>2025</v>
      </c>
      <c r="AO187" s="17" t="s">
        <v>3274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3137</v>
      </c>
      <c r="AZ187" s="71" t="str">
        <f>IFERROR(IF(INDEX(입력!$C$2:$C$500, MATCH($BO187, 입력!$Z$2:$Z$500, 0))="", "", TEXT(INDEX(입력!$C$2:$C$500, MATCH($BO187, 입력!$Z$2:$Z$500, 0)), "yyyy-mm-dd")), "")</f>
        <v/>
      </c>
      <c r="BA187" s="44" t="str">
        <f>IFERROR(INDEX(입력!$B$2:$B$500, MATCH($BO187, 입력!$Z$2:$Z$500, 0)) &amp; "", "")</f>
        <v/>
      </c>
      <c r="BB187" s="83" t="str">
        <f>IFERROR(INDEX(입력!$Y$2:$Y$500, MATCH($BO187, 입력!$Z$2:$Z$500, 0)) &amp; "", "")</f>
        <v/>
      </c>
      <c r="BC187" s="83" t="s">
        <v>3112</v>
      </c>
      <c r="BD187" s="83"/>
      <c r="BE187" s="101"/>
      <c r="BF187" s="101"/>
      <c r="BG187" s="101"/>
      <c r="BH187" s="101"/>
      <c r="BI187" s="101"/>
      <c r="BJ187" s="101"/>
      <c r="BK187" s="110"/>
      <c r="BL187" s="21"/>
      <c r="BM187" s="22">
        <v>232</v>
      </c>
      <c r="BN187" s="23"/>
      <c r="BO187" s="47" t="s">
        <v>492</v>
      </c>
    </row>
    <row r="188" spans="1:67" x14ac:dyDescent="0.45">
      <c r="A188" s="46">
        <v>187</v>
      </c>
      <c r="B188" s="1" t="s">
        <v>1647</v>
      </c>
      <c r="C188" s="17" t="str">
        <f t="shared" si="16"/>
        <v>이행완료</v>
      </c>
      <c r="D188" s="17" t="str">
        <f t="shared" si="22"/>
        <v/>
      </c>
      <c r="E188" s="2" t="s">
        <v>1673</v>
      </c>
      <c r="F188" s="1" t="s">
        <v>493</v>
      </c>
      <c r="G188" s="11" t="s">
        <v>1674</v>
      </c>
      <c r="H188" s="18" t="s">
        <v>1133</v>
      </c>
      <c r="I188" s="19">
        <v>464</v>
      </c>
      <c r="J188" s="2"/>
      <c r="K188" s="20" t="s">
        <v>2435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11</v>
      </c>
      <c r="R188" s="64" t="str">
        <f>IFERROR(INDEX(입력!$J$2:$J$500, MATCH($BO188, 입력!$Z$2:$Z$500, 0)) &amp; "", "")</f>
        <v/>
      </c>
      <c r="S188" s="64" t="str">
        <f>IFERROR(INDEX(입력!$K$2:$K$500, MATCH($BO188, 입력!$Z$2:$Z$500, 0)) &amp; "", "")</f>
        <v/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 t="str">
        <f t="shared" si="21"/>
        <v/>
      </c>
      <c r="X188" s="1">
        <v>11</v>
      </c>
      <c r="Y188" s="64" t="str">
        <f>IFERROR(INDEX(입력!$M$2:$M$500, MATCH($BO188, 입력!$Z$2:$Z$500, 0)) &amp; "", "")</f>
        <v/>
      </c>
      <c r="Z188" s="64" t="str">
        <f>IFERROR(INDEX(입력!$N$2:$N$500, MATCH($BO188, 입력!$Z$2:$Z$500, 0)) &amp; "", "")</f>
        <v/>
      </c>
      <c r="AA188" s="64">
        <f>MAX(0, 표1[[#This Row],[의무_시설]]-표1[[#This Row],[시설합]])</f>
        <v>0</v>
      </c>
      <c r="AB188" s="17" t="str">
        <f t="shared" si="23"/>
        <v>이행완료</v>
      </c>
      <c r="AC188" s="64" t="str">
        <f>IFERROR(INDEX(입력!$P$2:$P$500, MATCH($BO188, 입력!$Z$2:$Z$500, 0)) &amp; "", "")</f>
        <v/>
      </c>
      <c r="AD188" s="64" t="str">
        <f>IFERROR(INDEX(입력!$Q$2:$Q$500, MATCH($BO188, 입력!$Z$2:$Z$500, 0)) &amp; "", "")</f>
        <v/>
      </c>
      <c r="AE188" s="64" t="str">
        <f>IFERROR(INDEX(입력!$R$2:$R$500, MATCH($BO188, 입력!$Z$2:$Z$500, 0)) &amp; "", "")</f>
        <v/>
      </c>
      <c r="AF188" s="64" t="str">
        <f>IFERROR(INDEX(입력!$S$2:$S$500, MATCH($BO188, 입력!$Z$2:$Z$500, 0)) &amp; "", "")</f>
        <v/>
      </c>
      <c r="AG188" s="64" t="str">
        <f>IFERROR(INDEX(입력!$T$2:$T$500, MATCH($BO188, 입력!$Z$2:$Z$500, 0)) &amp; "", "")</f>
        <v/>
      </c>
      <c r="AH188" s="64" t="str">
        <f>IFERROR(INDEX(입력!$U$2:$U$500, MATCH($BO188, 입력!$Z$2:$Z$500, 0)) &amp; "", "")</f>
        <v/>
      </c>
      <c r="AI188" s="64" t="str">
        <f>IFERROR(INDEX(입력!$V$2:$V$500, MATCH($BO188, 입력!$Z$2:$Z$500, 0)) &amp; "", "")</f>
        <v/>
      </c>
      <c r="AJ188" s="44" t="str">
        <f>IFERROR(INDEX(입력!$W$2:$W$500, MATCH($BO188, 입력!$Z$2:$Z$500, 0)) &amp; "", "")</f>
        <v/>
      </c>
      <c r="AK188" s="44" t="str">
        <f>IFERROR(INDEX(입력!$X$2:$X$500, MATCH($BO188, 입력!$Z$2:$Z$500, 0)) &amp; "", "")</f>
        <v/>
      </c>
      <c r="AL188" s="2"/>
      <c r="AM188" s="17" t="s">
        <v>1650</v>
      </c>
      <c r="AN188" s="101">
        <v>2025</v>
      </c>
      <c r="AO188" s="17" t="s">
        <v>3275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3137</v>
      </c>
      <c r="AZ188" s="71" t="str">
        <f>IFERROR(IF(INDEX(입력!$C$2:$C$500, MATCH($BO188, 입력!$Z$2:$Z$500, 0))="", "", TEXT(INDEX(입력!$C$2:$C$500, MATCH($BO188, 입력!$Z$2:$Z$500, 0)), "yyyy-mm-dd")), "")</f>
        <v/>
      </c>
      <c r="BA188" s="44" t="str">
        <f>IFERROR(INDEX(입력!$B$2:$B$500, MATCH($BO188, 입력!$Z$2:$Z$500, 0)) &amp; "", "")</f>
        <v/>
      </c>
      <c r="BB188" s="83" t="str">
        <f>IFERROR(INDEX(입력!$Y$2:$Y$500, MATCH($BO188, 입력!$Z$2:$Z$500, 0)) &amp; "", "")</f>
        <v/>
      </c>
      <c r="BC188" s="83" t="s">
        <v>3112</v>
      </c>
      <c r="BD188" s="83"/>
      <c r="BE188" s="101"/>
      <c r="BF188" s="101"/>
      <c r="BG188" s="101"/>
      <c r="BH188" s="101"/>
      <c r="BI188" s="101"/>
      <c r="BJ188" s="101"/>
      <c r="BK188" s="110"/>
      <c r="BL188" s="21"/>
      <c r="BM188" s="22">
        <v>466</v>
      </c>
      <c r="BN188" s="23"/>
      <c r="BO188" s="47" t="s">
        <v>494</v>
      </c>
    </row>
    <row r="189" spans="1:67" x14ac:dyDescent="0.45">
      <c r="A189" s="19">
        <v>188</v>
      </c>
      <c r="B189" s="1" t="s">
        <v>1647</v>
      </c>
      <c r="C189" s="17" t="str">
        <f t="shared" si="16"/>
        <v>이행완료</v>
      </c>
      <c r="D189" s="17" t="str">
        <f t="shared" si="22"/>
        <v/>
      </c>
      <c r="E189" s="2" t="s">
        <v>1675</v>
      </c>
      <c r="F189" s="1" t="s">
        <v>495</v>
      </c>
      <c r="G189" s="11" t="s">
        <v>1676</v>
      </c>
      <c r="H189" s="18" t="s">
        <v>1056</v>
      </c>
      <c r="I189" s="19">
        <v>1555</v>
      </c>
      <c r="J189" s="2"/>
      <c r="K189" s="20" t="s">
        <v>2436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MATCH($BO189, 입력!$Z$2:$Z$500, 0)) &amp; "", "")</f>
        <v/>
      </c>
      <c r="S189" s="64" t="str">
        <f>IFERROR(INDEX(입력!$K$2:$K$500, MATCH($BO189,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 t="str">
        <f t="shared" si="21"/>
        <v/>
      </c>
      <c r="X189" s="1">
        <v>74</v>
      </c>
      <c r="Y189" s="64" t="str">
        <f>IFERROR(INDEX(입력!$M$2:$M$500, MATCH($BO189, 입력!$Z$2:$Z$500, 0)) &amp; "", "")</f>
        <v/>
      </c>
      <c r="Z189" s="64" t="str">
        <f>IFERROR(INDEX(입력!$N$2:$N$500, MATCH($BO189, 입력!$Z$2:$Z$500, 0)) &amp; "", "")</f>
        <v/>
      </c>
      <c r="AA189" s="64">
        <f>MAX(0, 표1[[#This Row],[의무_시설]]-표1[[#This Row],[시설합]])</f>
        <v>0</v>
      </c>
      <c r="AB189" s="17" t="str">
        <f t="shared" si="23"/>
        <v>이행완료</v>
      </c>
      <c r="AC189" s="64" t="str">
        <f>IFERROR(INDEX(입력!$P$2:$P$500, MATCH($BO189, 입력!$Z$2:$Z$500, 0)) &amp; "", "")</f>
        <v/>
      </c>
      <c r="AD189" s="64" t="str">
        <f>IFERROR(INDEX(입력!$Q$2:$Q$500, MATCH($BO189, 입력!$Z$2:$Z$500, 0)) &amp; "", "")</f>
        <v/>
      </c>
      <c r="AE189" s="64" t="str">
        <f>IFERROR(INDEX(입력!$R$2:$R$500, MATCH($BO189, 입력!$Z$2:$Z$500, 0)) &amp; "", "")</f>
        <v/>
      </c>
      <c r="AF189" s="64" t="str">
        <f>IFERROR(INDEX(입력!$S$2:$S$500, MATCH($BO189, 입력!$Z$2:$Z$500, 0)) &amp; "", "")</f>
        <v/>
      </c>
      <c r="AG189" s="64" t="str">
        <f>IFERROR(INDEX(입력!$T$2:$T$500, MATCH($BO189, 입력!$Z$2:$Z$500, 0)) &amp; "", "")</f>
        <v/>
      </c>
      <c r="AH189" s="64" t="str">
        <f>IFERROR(INDEX(입력!$U$2:$U$500, MATCH($BO189, 입력!$Z$2:$Z$500, 0)) &amp; "", "")</f>
        <v/>
      </c>
      <c r="AI189" s="64" t="str">
        <f>IFERROR(INDEX(입력!$V$2:$V$500, MATCH($BO189, 입력!$Z$2:$Z$500, 0)) &amp; "", "")</f>
        <v/>
      </c>
      <c r="AJ189" s="44" t="str">
        <f>IFERROR(INDEX(입력!$W$2:$W$500, MATCH($BO189, 입력!$Z$2:$Z$500, 0)) &amp; "", "")</f>
        <v/>
      </c>
      <c r="AK189" s="44" t="str">
        <f>IFERROR(INDEX(입력!$X$2:$X$500, MATCH($BO189, 입력!$Z$2:$Z$500, 0)) &amp; "", "")</f>
        <v/>
      </c>
      <c r="AL189" s="2"/>
      <c r="AM189" s="17" t="s">
        <v>1650</v>
      </c>
      <c r="AN189" s="101">
        <v>2025</v>
      </c>
      <c r="AO189" s="17" t="s">
        <v>3277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3131</v>
      </c>
      <c r="AZ189" s="71" t="str">
        <f>IFERROR(IF(INDEX(입력!$C$2:$C$500, MATCH($BO189, 입력!$Z$2:$Z$500, 0))="", "", TEXT(INDEX(입력!$C$2:$C$500, MATCH($BO189, 입력!$Z$2:$Z$500, 0)), "yyyy-mm-dd")), "")</f>
        <v/>
      </c>
      <c r="BA189" s="44" t="str">
        <f>IFERROR(INDEX(입력!$B$2:$B$500, MATCH($BO189, 입력!$Z$2:$Z$500, 0)) &amp; "", "")</f>
        <v/>
      </c>
      <c r="BB189" s="83" t="str">
        <f>IFERROR(INDEX(입력!$Y$2:$Y$500, MATCH($BO189, 입력!$Z$2:$Z$500, 0)) &amp; "", "")</f>
        <v/>
      </c>
      <c r="BC189" s="83" t="s">
        <v>3112</v>
      </c>
      <c r="BD189" s="83"/>
      <c r="BE189" s="101" t="s">
        <v>3362</v>
      </c>
      <c r="BF189" s="109">
        <v>46121</v>
      </c>
      <c r="BG189" s="101" t="s">
        <v>1059</v>
      </c>
      <c r="BH189" s="101" t="s">
        <v>3363</v>
      </c>
      <c r="BI189" s="101"/>
      <c r="BJ189" s="101"/>
      <c r="BK189" s="110"/>
      <c r="BL189" s="21"/>
      <c r="BM189" s="22">
        <v>1555</v>
      </c>
      <c r="BN189" s="23"/>
      <c r="BO189" s="47" t="s">
        <v>496</v>
      </c>
    </row>
    <row r="190" spans="1:67" x14ac:dyDescent="0.45">
      <c r="A190" s="46">
        <v>189</v>
      </c>
      <c r="B190" s="1" t="s">
        <v>1647</v>
      </c>
      <c r="C190" s="17" t="str">
        <f t="shared" si="16"/>
        <v>이행완료</v>
      </c>
      <c r="D190" s="17" t="str">
        <f t="shared" si="22"/>
        <v/>
      </c>
      <c r="E190" s="2" t="s">
        <v>1677</v>
      </c>
      <c r="F190" s="1" t="s">
        <v>497</v>
      </c>
      <c r="G190" s="11" t="s">
        <v>1678</v>
      </c>
      <c r="H190" s="18" t="s">
        <v>1335</v>
      </c>
      <c r="I190" s="19">
        <v>1231</v>
      </c>
      <c r="J190" s="2"/>
      <c r="K190" s="20" t="s">
        <v>2437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MATCH($BO190, 입력!$Z$2:$Z$500, 0)) &amp; "", "")</f>
        <v/>
      </c>
      <c r="S190" s="64" t="str">
        <f>IFERROR(INDEX(입력!$K$2:$K$500, MATCH($BO190,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 t="str">
        <f t="shared" si="21"/>
        <v/>
      </c>
      <c r="X190" s="1">
        <v>25</v>
      </c>
      <c r="Y190" s="64" t="str">
        <f>IFERROR(INDEX(입력!$M$2:$M$500, MATCH($BO190, 입력!$Z$2:$Z$500, 0)) &amp; "", "")</f>
        <v/>
      </c>
      <c r="Z190" s="64" t="str">
        <f>IFERROR(INDEX(입력!$N$2:$N$500, MATCH($BO190, 입력!$Z$2:$Z$500, 0)) &amp; "", "")</f>
        <v/>
      </c>
      <c r="AA190" s="64">
        <f>MAX(0, 표1[[#This Row],[의무_시설]]-표1[[#This Row],[시설합]])</f>
        <v>0</v>
      </c>
      <c r="AB190" s="17" t="str">
        <f t="shared" si="23"/>
        <v>이행완료</v>
      </c>
      <c r="AC190" s="64" t="str">
        <f>IFERROR(INDEX(입력!$P$2:$P$500, MATCH($BO190, 입력!$Z$2:$Z$500, 0)) &amp; "", "")</f>
        <v/>
      </c>
      <c r="AD190" s="64" t="str">
        <f>IFERROR(INDEX(입력!$Q$2:$Q$500, MATCH($BO190, 입력!$Z$2:$Z$500, 0)) &amp; "", "")</f>
        <v/>
      </c>
      <c r="AE190" s="64" t="str">
        <f>IFERROR(INDEX(입력!$R$2:$R$500, MATCH($BO190, 입력!$Z$2:$Z$500, 0)) &amp; "", "")</f>
        <v/>
      </c>
      <c r="AF190" s="64" t="str">
        <f>IFERROR(INDEX(입력!$S$2:$S$500, MATCH($BO190, 입력!$Z$2:$Z$500, 0)) &amp; "", "")</f>
        <v/>
      </c>
      <c r="AG190" s="64" t="str">
        <f>IFERROR(INDEX(입력!$T$2:$T$500, MATCH($BO190, 입력!$Z$2:$Z$500, 0)) &amp; "", "")</f>
        <v/>
      </c>
      <c r="AH190" s="64" t="str">
        <f>IFERROR(INDEX(입력!$U$2:$U$500, MATCH($BO190, 입력!$Z$2:$Z$500, 0)) &amp; "", "")</f>
        <v/>
      </c>
      <c r="AI190" s="64" t="str">
        <f>IFERROR(INDEX(입력!$V$2:$V$500, MATCH($BO190, 입력!$Z$2:$Z$500, 0)) &amp; "", "")</f>
        <v/>
      </c>
      <c r="AJ190" s="44" t="str">
        <f>IFERROR(INDEX(입력!$W$2:$W$500, MATCH($BO190, 입력!$Z$2:$Z$500, 0)) &amp; "", "")</f>
        <v/>
      </c>
      <c r="AK190" s="44" t="str">
        <f>IFERROR(INDEX(입력!$X$2:$X$500, MATCH($BO190, 입력!$Z$2:$Z$500, 0)) &amp; "", "")</f>
        <v/>
      </c>
      <c r="AL190" s="2"/>
      <c r="AM190" s="17" t="s">
        <v>1650</v>
      </c>
      <c r="AN190" s="101">
        <v>2025</v>
      </c>
      <c r="AO190" s="17" t="s">
        <v>3275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3131</v>
      </c>
      <c r="AZ190" s="71" t="str">
        <f>IFERROR(IF(INDEX(입력!$C$2:$C$500, MATCH($BO190, 입력!$Z$2:$Z$500, 0))="", "", TEXT(INDEX(입력!$C$2:$C$500, MATCH($BO190, 입력!$Z$2:$Z$500, 0)), "yyyy-mm-dd")), "")</f>
        <v/>
      </c>
      <c r="BA190" s="44" t="str">
        <f>IFERROR(INDEX(입력!$B$2:$B$500, MATCH($BO190, 입력!$Z$2:$Z$500, 0)) &amp; "", "")</f>
        <v/>
      </c>
      <c r="BB190" s="83" t="str">
        <f>IFERROR(INDEX(입력!$Y$2:$Y$500, MATCH($BO190, 입력!$Z$2:$Z$500, 0)) &amp; "", "")</f>
        <v/>
      </c>
      <c r="BC190" s="83" t="s">
        <v>3112</v>
      </c>
      <c r="BD190" s="83"/>
      <c r="BE190" s="101"/>
      <c r="BF190" s="101"/>
      <c r="BG190" s="101"/>
      <c r="BH190" s="101"/>
      <c r="BI190" s="101"/>
      <c r="BJ190" s="101"/>
      <c r="BK190" s="110"/>
      <c r="BL190" s="21"/>
      <c r="BM190" s="22">
        <v>1231</v>
      </c>
      <c r="BN190" s="23"/>
      <c r="BO190" s="47" t="s">
        <v>498</v>
      </c>
    </row>
    <row r="191" spans="1:67" x14ac:dyDescent="0.45">
      <c r="A191" s="19">
        <v>190</v>
      </c>
      <c r="B191" s="1" t="s">
        <v>1647</v>
      </c>
      <c r="C191" s="17" t="str">
        <f t="shared" si="16"/>
        <v>이행완료</v>
      </c>
      <c r="D191" s="17" t="str">
        <f t="shared" si="22"/>
        <v/>
      </c>
      <c r="E191" s="2" t="s">
        <v>1679</v>
      </c>
      <c r="F191" s="1" t="s">
        <v>499</v>
      </c>
      <c r="G191" s="11" t="s">
        <v>1680</v>
      </c>
      <c r="H191" s="18" t="s">
        <v>1335</v>
      </c>
      <c r="I191" s="19">
        <v>556</v>
      </c>
      <c r="J191" s="2"/>
      <c r="K191" s="20" t="s">
        <v>2438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MATCH($BO191, 입력!$Z$2:$Z$500, 0)) &amp; "", "")</f>
        <v/>
      </c>
      <c r="S191" s="64" t="str">
        <f>IFERROR(INDEX(입력!$K$2:$K$500, MATCH($BO191,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 t="str">
        <f t="shared" si="21"/>
        <v/>
      </c>
      <c r="X191" s="1">
        <v>28</v>
      </c>
      <c r="Y191" s="64" t="str">
        <f>IFERROR(INDEX(입력!$M$2:$M$500, MATCH($BO191, 입력!$Z$2:$Z$500, 0)) &amp; "", "")</f>
        <v/>
      </c>
      <c r="Z191" s="64" t="str">
        <f>IFERROR(INDEX(입력!$N$2:$N$500, MATCH($BO191, 입력!$Z$2:$Z$500, 0)) &amp; "", "")</f>
        <v/>
      </c>
      <c r="AA191" s="64">
        <f>MAX(0, 표1[[#This Row],[의무_시설]]-표1[[#This Row],[시설합]])</f>
        <v>0</v>
      </c>
      <c r="AB191" s="17" t="str">
        <f t="shared" si="23"/>
        <v>이행완료</v>
      </c>
      <c r="AC191" s="64" t="str">
        <f>IFERROR(INDEX(입력!$P$2:$P$500, MATCH($BO191, 입력!$Z$2:$Z$500, 0)) &amp; "", "")</f>
        <v/>
      </c>
      <c r="AD191" s="64" t="str">
        <f>IFERROR(INDEX(입력!$Q$2:$Q$500, MATCH($BO191, 입력!$Z$2:$Z$500, 0)) &amp; "", "")</f>
        <v/>
      </c>
      <c r="AE191" s="64" t="str">
        <f>IFERROR(INDEX(입력!$R$2:$R$500, MATCH($BO191, 입력!$Z$2:$Z$500, 0)) &amp; "", "")</f>
        <v/>
      </c>
      <c r="AF191" s="64" t="str">
        <f>IFERROR(INDEX(입력!$S$2:$S$500, MATCH($BO191, 입력!$Z$2:$Z$500, 0)) &amp; "", "")</f>
        <v/>
      </c>
      <c r="AG191" s="64" t="str">
        <f>IFERROR(INDEX(입력!$T$2:$T$500, MATCH($BO191, 입력!$Z$2:$Z$500, 0)) &amp; "", "")</f>
        <v/>
      </c>
      <c r="AH191" s="64" t="str">
        <f>IFERROR(INDEX(입력!$U$2:$U$500, MATCH($BO191, 입력!$Z$2:$Z$500, 0)) &amp; "", "")</f>
        <v/>
      </c>
      <c r="AI191" s="64" t="str">
        <f>IFERROR(INDEX(입력!$V$2:$V$500, MATCH($BO191, 입력!$Z$2:$Z$500, 0)) &amp; "", "")</f>
        <v/>
      </c>
      <c r="AJ191" s="44" t="str">
        <f>IFERROR(INDEX(입력!$W$2:$W$500, MATCH($BO191, 입력!$Z$2:$Z$500, 0)) &amp; "", "")</f>
        <v/>
      </c>
      <c r="AK191" s="44" t="str">
        <f>IFERROR(INDEX(입력!$X$2:$X$500, MATCH($BO191, 입력!$Z$2:$Z$500, 0)) &amp; "", "")</f>
        <v/>
      </c>
      <c r="AL191" s="2"/>
      <c r="AM191" s="17" t="s">
        <v>1650</v>
      </c>
      <c r="AN191" s="101">
        <v>2025</v>
      </c>
      <c r="AO191" s="17" t="s">
        <v>3275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3137</v>
      </c>
      <c r="AZ191" s="71" t="str">
        <f>IFERROR(IF(INDEX(입력!$C$2:$C$500, MATCH($BO191, 입력!$Z$2:$Z$500, 0))="", "", TEXT(INDEX(입력!$C$2:$C$500, MATCH($BO191, 입력!$Z$2:$Z$500, 0)), "yyyy-mm-dd")), "")</f>
        <v/>
      </c>
      <c r="BA191" s="44" t="str">
        <f>IFERROR(INDEX(입력!$B$2:$B$500, MATCH($BO191, 입력!$Z$2:$Z$500, 0)) &amp; "", "")</f>
        <v/>
      </c>
      <c r="BB191" s="83" t="str">
        <f>IFERROR(INDEX(입력!$Y$2:$Y$500, MATCH($BO191, 입력!$Z$2:$Z$500, 0)) &amp; "", "")</f>
        <v/>
      </c>
      <c r="BC191" s="83" t="s">
        <v>3112</v>
      </c>
      <c r="BD191" s="83"/>
      <c r="BE191" s="101"/>
      <c r="BF191" s="101"/>
      <c r="BG191" s="101"/>
      <c r="BH191" s="101"/>
      <c r="BI191" s="101"/>
      <c r="BJ191" s="101"/>
      <c r="BK191" s="110"/>
      <c r="BL191" s="21"/>
      <c r="BM191" s="22">
        <v>556</v>
      </c>
      <c r="BN191" s="23"/>
      <c r="BO191" s="47" t="s">
        <v>500</v>
      </c>
    </row>
    <row r="192" spans="1:67" x14ac:dyDescent="0.45">
      <c r="A192" s="46">
        <v>191</v>
      </c>
      <c r="B192" s="1" t="s">
        <v>1647</v>
      </c>
      <c r="C192" s="17" t="str">
        <f t="shared" si="16"/>
        <v>이행완료</v>
      </c>
      <c r="D192" s="17" t="str">
        <f t="shared" si="22"/>
        <v>조사완료</v>
      </c>
      <c r="E192" s="1" t="s">
        <v>1681</v>
      </c>
      <c r="F192" s="1" t="s">
        <v>501</v>
      </c>
      <c r="G192" s="11" t="s">
        <v>1682</v>
      </c>
      <c r="H192" s="18" t="s">
        <v>1202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MATCH($BO192, 입력!$Z$2:$Z$500, 0)) &amp; "", "")</f>
        <v>14</v>
      </c>
      <c r="S192" s="64" t="str">
        <f>IFERROR(INDEX(입력!$K$2:$K$500, MATCH($BO192,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 t="str">
        <f t="shared" ref="W192:W255" si="26">IF(OR(M192="", V192&lt;5), "", IF(OR(M192="신축", B192&lt;&gt;"공동주택"), 1, ""))</f>
        <v/>
      </c>
      <c r="X192" s="1">
        <v>14</v>
      </c>
      <c r="Y192" s="64" t="str">
        <f>IFERROR(INDEX(입력!$M$2:$M$500, MATCH($BO192, 입력!$Z$2:$Z$500, 0)) &amp; "", "")</f>
        <v/>
      </c>
      <c r="Z192" s="64" t="str">
        <f>IFERROR(INDEX(입력!$N$2:$N$500, MATCH($BO192,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3"/>
        <v>이행완료</v>
      </c>
      <c r="AC192" s="64" t="str">
        <f>IFERROR(INDEX(입력!$P$2:$P$500, MATCH($BO192, 입력!$Z$2:$Z$500, 0)) &amp; "", "")</f>
        <v>584</v>
      </c>
      <c r="AD192" s="64" t="str">
        <f>IFERROR(INDEX(입력!$Q$2:$Q$500, MATCH($BO192, 입력!$Z$2:$Z$500, 0)) &amp; "", "")</f>
        <v>20</v>
      </c>
      <c r="AE192" s="64" t="str">
        <f>IFERROR(INDEX(입력!$R$2:$R$500, MATCH($BO192, 입력!$Z$2:$Z$500, 0)) &amp; "", "")</f>
        <v>여</v>
      </c>
      <c r="AF192" s="64" t="str">
        <f>IFERROR(INDEX(입력!$S$2:$S$500, MATCH($BO192, 입력!$Z$2:$Z$500, 0)) &amp; "", "")</f>
        <v>여</v>
      </c>
      <c r="AG192" s="64" t="str">
        <f>IFERROR(INDEX(입력!$T$2:$T$500, MATCH($BO192, 입력!$Z$2:$Z$500, 0)) &amp; "", "")</f>
        <v>부</v>
      </c>
      <c r="AH192" s="64" t="str">
        <f>IFERROR(INDEX(입력!$U$2:$U$500, MATCH($BO192, 입력!$Z$2:$Z$500, 0)) &amp; "", "")</f>
        <v/>
      </c>
      <c r="AI192" s="64" t="str">
        <f>IFERROR(INDEX(입력!$V$2:$V$500, MATCH($BO192, 입력!$Z$2:$Z$500, 0)) &amp; "", "")</f>
        <v>여</v>
      </c>
      <c r="AJ192" s="44" t="str">
        <f>IFERROR(INDEX(입력!$W$2:$W$500, MATCH($BO192, 입력!$Z$2:$Z$500, 0)) &amp; "", "")</f>
        <v>정경희</v>
      </c>
      <c r="AK192" s="44" t="str">
        <f>IFERROR(INDEX(입력!$X$2:$X$500, MATCH($BO192, 입력!$Z$2:$Z$500, 0)) &amp; "", "")</f>
        <v>962-3680</v>
      </c>
      <c r="AL192" s="2" t="s">
        <v>1683</v>
      </c>
      <c r="AM192" s="17" t="s">
        <v>1650</v>
      </c>
      <c r="AN192" s="101">
        <v>2025</v>
      </c>
      <c r="AO192" s="17" t="s">
        <v>3274</v>
      </c>
      <c r="AP192" s="118"/>
      <c r="AQ192" s="21"/>
      <c r="AR192" s="119" t="s">
        <v>1685</v>
      </c>
      <c r="AS192" s="101" t="s">
        <v>3124</v>
      </c>
      <c r="AT192" s="109">
        <v>46034</v>
      </c>
      <c r="AU192" s="101" t="s">
        <v>3126</v>
      </c>
      <c r="AV192" s="21" t="s">
        <v>1684</v>
      </c>
      <c r="AW192" s="120"/>
      <c r="AX192" s="119" t="s">
        <v>1685</v>
      </c>
      <c r="AY192" s="83" t="s">
        <v>3131</v>
      </c>
      <c r="AZ192" s="71" t="str">
        <f>IFERROR(IF(INDEX(입력!$C$2:$C$500, MATCH($BO192, 입력!$Z$2:$Z$500, 0))="", "", TEXT(INDEX(입력!$C$2:$C$500, MATCH($BO192, 입력!$Z$2:$Z$500, 0)), "yyyy-mm-dd")), "")</f>
        <v>2026-04-13</v>
      </c>
      <c r="BA192" s="44" t="str">
        <f>IFERROR(INDEX(입력!$B$2:$B$500, MATCH($BO192, 입력!$Z$2:$Z$500, 0)) &amp; "", "")</f>
        <v>노기섭</v>
      </c>
      <c r="BB192" s="83" t="str">
        <f>IFERROR(INDEX(입력!$Y$2:$Y$500, MATCH($BO192, 입력!$Z$2:$Z$500, 0)) &amp; "", "")</f>
        <v/>
      </c>
      <c r="BC192" s="83" t="s">
        <v>3112</v>
      </c>
      <c r="BD192" s="83"/>
      <c r="BE192" s="101"/>
      <c r="BF192" s="101"/>
      <c r="BG192" s="101"/>
      <c r="BH192" s="101"/>
      <c r="BI192" s="101"/>
      <c r="BJ192" s="101"/>
      <c r="BK192" s="110"/>
      <c r="BL192" s="21"/>
      <c r="BM192" s="22">
        <v>667</v>
      </c>
      <c r="BN192" s="23"/>
      <c r="BO192" s="47" t="s">
        <v>502</v>
      </c>
    </row>
    <row r="193" spans="1:67" x14ac:dyDescent="0.45">
      <c r="A193" s="19">
        <v>192</v>
      </c>
      <c r="B193" s="1" t="s">
        <v>1647</v>
      </c>
      <c r="C193" s="17" t="str">
        <f t="shared" ref="C193:C256" si="27">IF(OR(U193="", AB193=""), "", IF(AND(U193="이행완료", AB193="이행완료"), "이행완료", "미이행"))</f>
        <v>이행완료</v>
      </c>
      <c r="D193" s="17" t="str">
        <f t="shared" si="22"/>
        <v/>
      </c>
      <c r="E193" s="2" t="s">
        <v>1686</v>
      </c>
      <c r="F193" s="1" t="s">
        <v>503</v>
      </c>
      <c r="G193" s="11" t="s">
        <v>1687</v>
      </c>
      <c r="H193" s="18" t="s">
        <v>1276</v>
      </c>
      <c r="I193" s="19"/>
      <c r="J193" s="2">
        <v>564</v>
      </c>
      <c r="K193" s="20">
        <v>33218</v>
      </c>
      <c r="L193" s="20"/>
      <c r="M193" s="17" t="str">
        <f t="shared" ref="M193:M256" si="28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MATCH($BO193, 입력!$Z$2:$Z$500, 0)) &amp; "", "")</f>
        <v/>
      </c>
      <c r="S193" s="64" t="str">
        <f>IFERROR(INDEX(입력!$K$2:$K$500, MATCH($BO193,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9">IF(OR(IF(I193="", J193, I193)="", IF(I193="", J193, I193)=0), 0, IF(M193="신축", ROUND(IF(I193="", J193, I193)*0.05, 0), ROUND(IF(I193="", J193, I193)*0.02, 0)))</f>
        <v>11</v>
      </c>
      <c r="W193" s="1" t="str">
        <f t="shared" si="26"/>
        <v/>
      </c>
      <c r="X193" s="1">
        <v>12</v>
      </c>
      <c r="Y193" s="64" t="str">
        <f>IFERROR(INDEX(입력!$M$2:$M$500, MATCH($BO193, 입력!$Z$2:$Z$500, 0)) &amp; "", "")</f>
        <v/>
      </c>
      <c r="Z193" s="64" t="str">
        <f>IFERROR(INDEX(입력!$N$2:$N$500, MATCH($BO193, 입력!$Z$2:$Z$500, 0)) &amp; "", "")</f>
        <v/>
      </c>
      <c r="AA193" s="64">
        <f>MAX(0, 표1[[#This Row],[의무_시설]]-표1[[#This Row],[시설합]])</f>
        <v>0</v>
      </c>
      <c r="AB193" s="17" t="str">
        <f t="shared" si="23"/>
        <v>이행완료</v>
      </c>
      <c r="AC193" s="64" t="str">
        <f>IFERROR(INDEX(입력!$P$2:$P$500, MATCH($BO193, 입력!$Z$2:$Z$500, 0)) &amp; "", "")</f>
        <v/>
      </c>
      <c r="AD193" s="64" t="str">
        <f>IFERROR(INDEX(입력!$Q$2:$Q$500, MATCH($BO193, 입력!$Z$2:$Z$500, 0)) &amp; "", "")</f>
        <v/>
      </c>
      <c r="AE193" s="64" t="str">
        <f>IFERROR(INDEX(입력!$R$2:$R$500, MATCH($BO193, 입력!$Z$2:$Z$500, 0)) &amp; "", "")</f>
        <v/>
      </c>
      <c r="AF193" s="64" t="str">
        <f>IFERROR(INDEX(입력!$S$2:$S$500, MATCH($BO193, 입력!$Z$2:$Z$500, 0)) &amp; "", "")</f>
        <v/>
      </c>
      <c r="AG193" s="64" t="str">
        <f>IFERROR(INDEX(입력!$T$2:$T$500, MATCH($BO193, 입력!$Z$2:$Z$500, 0)) &amp; "", "")</f>
        <v/>
      </c>
      <c r="AH193" s="64" t="str">
        <f>IFERROR(INDEX(입력!$U$2:$U$500, MATCH($BO193, 입력!$Z$2:$Z$500, 0)) &amp; "", "")</f>
        <v/>
      </c>
      <c r="AI193" s="64" t="str">
        <f>IFERROR(INDEX(입력!$V$2:$V$500, MATCH($BO193, 입력!$Z$2:$Z$500, 0)) &amp; "", "")</f>
        <v/>
      </c>
      <c r="AJ193" s="44" t="str">
        <f>IFERROR(INDEX(입력!$W$2:$W$500, MATCH($BO193, 입력!$Z$2:$Z$500, 0)) &amp; "", "")</f>
        <v/>
      </c>
      <c r="AK193" s="44" t="str">
        <f>IFERROR(INDEX(입력!$X$2:$X$500, MATCH($BO193, 입력!$Z$2:$Z$500, 0)) &amp; "", "")</f>
        <v/>
      </c>
      <c r="AL193" s="2"/>
      <c r="AM193" s="17" t="s">
        <v>1650</v>
      </c>
      <c r="AN193" s="101">
        <v>2025</v>
      </c>
      <c r="AO193" s="17" t="s">
        <v>3274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3132</v>
      </c>
      <c r="AZ193" s="71" t="str">
        <f>IFERROR(IF(INDEX(입력!$C$2:$C$500, MATCH($BO193, 입력!$Z$2:$Z$500, 0))="", "", TEXT(INDEX(입력!$C$2:$C$500, MATCH($BO193, 입력!$Z$2:$Z$500, 0)), "yyyy-mm-dd")), "")</f>
        <v/>
      </c>
      <c r="BA193" s="44" t="str">
        <f>IFERROR(INDEX(입력!$B$2:$B$500, MATCH($BO193, 입력!$Z$2:$Z$500, 0)) &amp; "", "")</f>
        <v/>
      </c>
      <c r="BB193" s="83" t="str">
        <f>IFERROR(INDEX(입력!$Y$2:$Y$500, MATCH($BO193, 입력!$Z$2:$Z$500, 0)) &amp; "", "")</f>
        <v/>
      </c>
      <c r="BC193" s="83" t="s">
        <v>3112</v>
      </c>
      <c r="BD193" s="83"/>
      <c r="BE193" s="101"/>
      <c r="BF193" s="101"/>
      <c r="BG193" s="101"/>
      <c r="BH193" s="101"/>
      <c r="BI193" s="101"/>
      <c r="BJ193" s="101"/>
      <c r="BK193" s="110"/>
      <c r="BL193" s="21"/>
      <c r="BM193" s="22">
        <v>559</v>
      </c>
      <c r="BN193" s="23"/>
      <c r="BO193" s="47" t="s">
        <v>504</v>
      </c>
    </row>
    <row r="194" spans="1:67" x14ac:dyDescent="0.45">
      <c r="A194" s="46">
        <v>193</v>
      </c>
      <c r="B194" s="1" t="s">
        <v>1647</v>
      </c>
      <c r="C194" s="17" t="str">
        <f t="shared" si="27"/>
        <v>이행완료</v>
      </c>
      <c r="D194" s="17" t="str">
        <f t="shared" ref="D194:D257" si="30">IF(AZ194&lt;&gt;"", "조사완료", "")</f>
        <v/>
      </c>
      <c r="E194" s="2" t="s">
        <v>1688</v>
      </c>
      <c r="F194" s="1" t="s">
        <v>505</v>
      </c>
      <c r="G194" s="11" t="s">
        <v>1689</v>
      </c>
      <c r="H194" s="18" t="s">
        <v>1097</v>
      </c>
      <c r="I194" s="19">
        <v>153</v>
      </c>
      <c r="J194" s="2"/>
      <c r="K194" s="20" t="s">
        <v>2439</v>
      </c>
      <c r="L194" s="20"/>
      <c r="M194" s="17" t="str">
        <f t="shared" si="28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MATCH($BO194, 입력!$Z$2:$Z$500, 0)) &amp; "", "")</f>
        <v/>
      </c>
      <c r="S194" s="64" t="str">
        <f>IFERROR(INDEX(입력!$K$2:$K$500, MATCH($BO194,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9"/>
        <v>3</v>
      </c>
      <c r="W194" s="1" t="str">
        <f t="shared" si="26"/>
        <v/>
      </c>
      <c r="X194" s="1">
        <v>3</v>
      </c>
      <c r="Y194" s="64" t="str">
        <f>IFERROR(INDEX(입력!$M$2:$M$500, MATCH($BO194, 입력!$Z$2:$Z$500, 0)) &amp; "", "")</f>
        <v/>
      </c>
      <c r="Z194" s="64" t="str">
        <f>IFERROR(INDEX(입력!$N$2:$N$500, MATCH($BO194, 입력!$Z$2:$Z$500, 0)) &amp; "", "")</f>
        <v/>
      </c>
      <c r="AA194" s="64">
        <f>MAX(0, 표1[[#This Row],[의무_시설]]-표1[[#This Row],[시설합]])</f>
        <v>0</v>
      </c>
      <c r="AB194" s="17" t="str">
        <f t="shared" ref="AB194:AB257" si="31">IF(OR(V194="", X194=""), "", IF(X194 &gt;= V194, "이행완료", "미이행"))</f>
        <v>이행완료</v>
      </c>
      <c r="AC194" s="64" t="str">
        <f>IFERROR(INDEX(입력!$P$2:$P$500, MATCH($BO194, 입력!$Z$2:$Z$500, 0)) &amp; "", "")</f>
        <v/>
      </c>
      <c r="AD194" s="64" t="str">
        <f>IFERROR(INDEX(입력!$Q$2:$Q$500, MATCH($BO194, 입력!$Z$2:$Z$500, 0)) &amp; "", "")</f>
        <v/>
      </c>
      <c r="AE194" s="64" t="str">
        <f>IFERROR(INDEX(입력!$R$2:$R$500, MATCH($BO194, 입력!$Z$2:$Z$500, 0)) &amp; "", "")</f>
        <v/>
      </c>
      <c r="AF194" s="64" t="str">
        <f>IFERROR(INDEX(입력!$S$2:$S$500, MATCH($BO194, 입력!$Z$2:$Z$500, 0)) &amp; "", "")</f>
        <v/>
      </c>
      <c r="AG194" s="64" t="str">
        <f>IFERROR(INDEX(입력!$T$2:$T$500, MATCH($BO194, 입력!$Z$2:$Z$500, 0)) &amp; "", "")</f>
        <v/>
      </c>
      <c r="AH194" s="64" t="str">
        <f>IFERROR(INDEX(입력!$U$2:$U$500, MATCH($BO194, 입력!$Z$2:$Z$500, 0)) &amp; "", "")</f>
        <v/>
      </c>
      <c r="AI194" s="64" t="str">
        <f>IFERROR(INDEX(입력!$V$2:$V$500, MATCH($BO194, 입력!$Z$2:$Z$500, 0)) &amp; "", "")</f>
        <v/>
      </c>
      <c r="AJ194" s="44" t="str">
        <f>IFERROR(INDEX(입력!$W$2:$W$500, MATCH($BO194, 입력!$Z$2:$Z$500, 0)) &amp; "", "")</f>
        <v/>
      </c>
      <c r="AK194" s="44" t="str">
        <f>IFERROR(INDEX(입력!$X$2:$X$500, MATCH($BO194, 입력!$Z$2:$Z$500, 0)) &amp; "", "")</f>
        <v/>
      </c>
      <c r="AL194" s="2"/>
      <c r="AM194" s="17" t="s">
        <v>1650</v>
      </c>
      <c r="AN194" s="101">
        <v>2025</v>
      </c>
      <c r="AO194" s="17" t="s">
        <v>3275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3131</v>
      </c>
      <c r="AZ194" s="71" t="str">
        <f>IFERROR(IF(INDEX(입력!$C$2:$C$500, MATCH($BO194, 입력!$Z$2:$Z$500, 0))="", "", TEXT(INDEX(입력!$C$2:$C$500, MATCH($BO194, 입력!$Z$2:$Z$500, 0)), "yyyy-mm-dd")), "")</f>
        <v/>
      </c>
      <c r="BA194" s="44" t="str">
        <f>IFERROR(INDEX(입력!$B$2:$B$500, MATCH($BO194, 입력!$Z$2:$Z$500, 0)) &amp; "", "")</f>
        <v/>
      </c>
      <c r="BB194" s="83" t="str">
        <f>IFERROR(INDEX(입력!$Y$2:$Y$500, MATCH($BO194, 입력!$Z$2:$Z$500, 0)) &amp; "", "")</f>
        <v/>
      </c>
      <c r="BC194" s="83" t="s">
        <v>3112</v>
      </c>
      <c r="BD194" s="83"/>
      <c r="BE194" s="101"/>
      <c r="BF194" s="101"/>
      <c r="BG194" s="101"/>
      <c r="BH194" s="101"/>
      <c r="BI194" s="101"/>
      <c r="BJ194" s="101"/>
      <c r="BK194" s="110"/>
      <c r="BL194" s="21"/>
      <c r="BM194" s="22">
        <v>153</v>
      </c>
      <c r="BN194" s="23"/>
      <c r="BO194" s="47" t="s">
        <v>506</v>
      </c>
    </row>
    <row r="195" spans="1:67" x14ac:dyDescent="0.45">
      <c r="A195" s="19">
        <v>194</v>
      </c>
      <c r="B195" s="1" t="s">
        <v>1647</v>
      </c>
      <c r="C195" s="17" t="str">
        <f t="shared" si="27"/>
        <v>이행완료</v>
      </c>
      <c r="D195" s="17" t="str">
        <f t="shared" si="30"/>
        <v/>
      </c>
      <c r="E195" s="2" t="s">
        <v>1690</v>
      </c>
      <c r="F195" s="1" t="s">
        <v>507</v>
      </c>
      <c r="G195" s="11" t="s">
        <v>1691</v>
      </c>
      <c r="H195" s="18" t="s">
        <v>1335</v>
      </c>
      <c r="I195" s="19">
        <v>881</v>
      </c>
      <c r="J195" s="2"/>
      <c r="K195" s="20">
        <v>34240</v>
      </c>
      <c r="L195" s="20"/>
      <c r="M195" s="17" t="str">
        <f t="shared" si="28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MATCH($BO195, 입력!$Z$2:$Z$500, 0)) &amp; "", "")</f>
        <v/>
      </c>
      <c r="S195" s="64" t="str">
        <f>IFERROR(INDEX(입력!$K$2:$K$500, MATCH($BO195,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9"/>
        <v>18</v>
      </c>
      <c r="W195" s="1" t="str">
        <f t="shared" si="26"/>
        <v/>
      </c>
      <c r="X195" s="1">
        <v>18</v>
      </c>
      <c r="Y195" s="64" t="str">
        <f>IFERROR(INDEX(입력!$M$2:$M$500, MATCH($BO195, 입력!$Z$2:$Z$500, 0)) &amp; "", "")</f>
        <v/>
      </c>
      <c r="Z195" s="64" t="str">
        <f>IFERROR(INDEX(입력!$N$2:$N$500, MATCH($BO195, 입력!$Z$2:$Z$500, 0)) &amp; "", "")</f>
        <v/>
      </c>
      <c r="AA195" s="64">
        <f>MAX(0, 표1[[#This Row],[의무_시설]]-표1[[#This Row],[시설합]])</f>
        <v>0</v>
      </c>
      <c r="AB195" s="17" t="str">
        <f t="shared" si="31"/>
        <v>이행완료</v>
      </c>
      <c r="AC195" s="64" t="str">
        <f>IFERROR(INDEX(입력!$P$2:$P$500, MATCH($BO195, 입력!$Z$2:$Z$500, 0)) &amp; "", "")</f>
        <v/>
      </c>
      <c r="AD195" s="64" t="str">
        <f>IFERROR(INDEX(입력!$Q$2:$Q$500, MATCH($BO195, 입력!$Z$2:$Z$500, 0)) &amp; "", "")</f>
        <v/>
      </c>
      <c r="AE195" s="64" t="str">
        <f>IFERROR(INDEX(입력!$R$2:$R$500, MATCH($BO195, 입력!$Z$2:$Z$500, 0)) &amp; "", "")</f>
        <v/>
      </c>
      <c r="AF195" s="64" t="str">
        <f>IFERROR(INDEX(입력!$S$2:$S$500, MATCH($BO195, 입력!$Z$2:$Z$500, 0)) &amp; "", "")</f>
        <v/>
      </c>
      <c r="AG195" s="64" t="str">
        <f>IFERROR(INDEX(입력!$T$2:$T$500, MATCH($BO195, 입력!$Z$2:$Z$500, 0)) &amp; "", "")</f>
        <v/>
      </c>
      <c r="AH195" s="64" t="str">
        <f>IFERROR(INDEX(입력!$U$2:$U$500, MATCH($BO195, 입력!$Z$2:$Z$500, 0)) &amp; "", "")</f>
        <v/>
      </c>
      <c r="AI195" s="64" t="str">
        <f>IFERROR(INDEX(입력!$V$2:$V$500, MATCH($BO195, 입력!$Z$2:$Z$500, 0)) &amp; "", "")</f>
        <v/>
      </c>
      <c r="AJ195" s="44" t="str">
        <f>IFERROR(INDEX(입력!$W$2:$W$500, MATCH($BO195, 입력!$Z$2:$Z$500, 0)) &amp; "", "")</f>
        <v/>
      </c>
      <c r="AK195" s="44" t="str">
        <f>IFERROR(INDEX(입력!$X$2:$X$500, MATCH($BO195, 입력!$Z$2:$Z$500, 0)) &amp; "", "")</f>
        <v/>
      </c>
      <c r="AL195" s="2"/>
      <c r="AM195" s="17" t="s">
        <v>1650</v>
      </c>
      <c r="AN195" s="101">
        <v>2025</v>
      </c>
      <c r="AO195" s="17" t="s">
        <v>3275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3131</v>
      </c>
      <c r="AZ195" s="71" t="str">
        <f>IFERROR(IF(INDEX(입력!$C$2:$C$500, MATCH($BO195, 입력!$Z$2:$Z$500, 0))="", "", TEXT(INDEX(입력!$C$2:$C$500, MATCH($BO195, 입력!$Z$2:$Z$500, 0)), "yyyy-mm-dd")), "")</f>
        <v/>
      </c>
      <c r="BA195" s="44" t="str">
        <f>IFERROR(INDEX(입력!$B$2:$B$500, MATCH($BO195, 입력!$Z$2:$Z$500, 0)) &amp; "", "")</f>
        <v/>
      </c>
      <c r="BB195" s="83" t="str">
        <f>IFERROR(INDEX(입력!$Y$2:$Y$500, MATCH($BO195, 입력!$Z$2:$Z$500, 0)) &amp; "", "")</f>
        <v/>
      </c>
      <c r="BC195" s="83" t="s">
        <v>3112</v>
      </c>
      <c r="BD195" s="83"/>
      <c r="BE195" s="101"/>
      <c r="BF195" s="101"/>
      <c r="BG195" s="101"/>
      <c r="BH195" s="101"/>
      <c r="BI195" s="101"/>
      <c r="BJ195" s="101"/>
      <c r="BK195" s="110"/>
      <c r="BL195" s="21"/>
      <c r="BM195" s="22">
        <v>881</v>
      </c>
      <c r="BN195" s="23"/>
      <c r="BO195" s="47" t="s">
        <v>508</v>
      </c>
    </row>
    <row r="196" spans="1:67" x14ac:dyDescent="0.45">
      <c r="A196" s="46">
        <v>195</v>
      </c>
      <c r="B196" s="1" t="s">
        <v>1647</v>
      </c>
      <c r="C196" s="17" t="str">
        <f t="shared" si="27"/>
        <v>이행완료</v>
      </c>
      <c r="D196" s="17" t="str">
        <f t="shared" si="30"/>
        <v/>
      </c>
      <c r="E196" s="2" t="s">
        <v>1692</v>
      </c>
      <c r="F196" s="1" t="s">
        <v>509</v>
      </c>
      <c r="G196" s="11" t="s">
        <v>1693</v>
      </c>
      <c r="H196" s="18" t="s">
        <v>1152</v>
      </c>
      <c r="I196" s="19">
        <v>422</v>
      </c>
      <c r="J196" s="2"/>
      <c r="K196" s="20" t="s">
        <v>2440</v>
      </c>
      <c r="L196" s="20"/>
      <c r="M196" s="17" t="str">
        <f t="shared" si="28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MATCH($BO196, 입력!$Z$2:$Z$500, 0)) &amp; "", "")</f>
        <v/>
      </c>
      <c r="S196" s="64" t="str">
        <f>IFERROR(INDEX(입력!$K$2:$K$500, MATCH($BO196,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9"/>
        <v>8</v>
      </c>
      <c r="W196" s="1" t="str">
        <f t="shared" si="26"/>
        <v/>
      </c>
      <c r="X196" s="1">
        <v>20</v>
      </c>
      <c r="Y196" s="64" t="str">
        <f>IFERROR(INDEX(입력!$M$2:$M$500, MATCH($BO196, 입력!$Z$2:$Z$500, 0)) &amp; "", "")</f>
        <v/>
      </c>
      <c r="Z196" s="64" t="str">
        <f>IFERROR(INDEX(입력!$N$2:$N$500, MATCH($BO196, 입력!$Z$2:$Z$500, 0)) &amp; "", "")</f>
        <v/>
      </c>
      <c r="AA196" s="64">
        <f>MAX(0, 표1[[#This Row],[의무_시설]]-표1[[#This Row],[시설합]])</f>
        <v>0</v>
      </c>
      <c r="AB196" s="17" t="str">
        <f t="shared" si="31"/>
        <v>이행완료</v>
      </c>
      <c r="AC196" s="64" t="str">
        <f>IFERROR(INDEX(입력!$P$2:$P$500, MATCH($BO196, 입력!$Z$2:$Z$500, 0)) &amp; "", "")</f>
        <v/>
      </c>
      <c r="AD196" s="64" t="str">
        <f>IFERROR(INDEX(입력!$Q$2:$Q$500, MATCH($BO196, 입력!$Z$2:$Z$500, 0)) &amp; "", "")</f>
        <v/>
      </c>
      <c r="AE196" s="64" t="str">
        <f>IFERROR(INDEX(입력!$R$2:$R$500, MATCH($BO196, 입력!$Z$2:$Z$500, 0)) &amp; "", "")</f>
        <v/>
      </c>
      <c r="AF196" s="64" t="str">
        <f>IFERROR(INDEX(입력!$S$2:$S$500, MATCH($BO196, 입력!$Z$2:$Z$500, 0)) &amp; "", "")</f>
        <v/>
      </c>
      <c r="AG196" s="64" t="str">
        <f>IFERROR(INDEX(입력!$T$2:$T$500, MATCH($BO196, 입력!$Z$2:$Z$500, 0)) &amp; "", "")</f>
        <v/>
      </c>
      <c r="AH196" s="64" t="str">
        <f>IFERROR(INDEX(입력!$U$2:$U$500, MATCH($BO196, 입력!$Z$2:$Z$500, 0)) &amp; "", "")</f>
        <v/>
      </c>
      <c r="AI196" s="64" t="str">
        <f>IFERROR(INDEX(입력!$V$2:$V$500, MATCH($BO196, 입력!$Z$2:$Z$500, 0)) &amp; "", "")</f>
        <v/>
      </c>
      <c r="AJ196" s="44" t="str">
        <f>IFERROR(INDEX(입력!$W$2:$W$500, MATCH($BO196, 입력!$Z$2:$Z$500, 0)) &amp; "", "")</f>
        <v/>
      </c>
      <c r="AK196" s="44" t="str">
        <f>IFERROR(INDEX(입력!$X$2:$X$500, MATCH($BO196, 입력!$Z$2:$Z$500, 0)) &amp; "", "")</f>
        <v/>
      </c>
      <c r="AL196" s="2"/>
      <c r="AM196" s="17" t="s">
        <v>1650</v>
      </c>
      <c r="AN196" s="101">
        <v>2025</v>
      </c>
      <c r="AO196" s="17" t="s">
        <v>3275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3132</v>
      </c>
      <c r="AZ196" s="71" t="str">
        <f>IFERROR(IF(INDEX(입력!$C$2:$C$500, MATCH($BO196, 입력!$Z$2:$Z$500, 0))="", "", TEXT(INDEX(입력!$C$2:$C$500, MATCH($BO196, 입력!$Z$2:$Z$500, 0)), "yyyy-mm-dd")), "")</f>
        <v/>
      </c>
      <c r="BA196" s="44" t="str">
        <f>IFERROR(INDEX(입력!$B$2:$B$500, MATCH($BO196, 입력!$Z$2:$Z$500, 0)) &amp; "", "")</f>
        <v/>
      </c>
      <c r="BB196" s="83" t="str">
        <f>IFERROR(INDEX(입력!$Y$2:$Y$500, MATCH($BO196, 입력!$Z$2:$Z$500, 0)) &amp; "", "")</f>
        <v/>
      </c>
      <c r="BC196" s="83" t="s">
        <v>3112</v>
      </c>
      <c r="BD196" s="83"/>
      <c r="BE196" s="101"/>
      <c r="BF196" s="101"/>
      <c r="BG196" s="101"/>
      <c r="BH196" s="101"/>
      <c r="BI196" s="101"/>
      <c r="BJ196" s="101"/>
      <c r="BK196" s="110"/>
      <c r="BL196" s="21"/>
      <c r="BM196" s="22">
        <v>417</v>
      </c>
      <c r="BN196" s="23"/>
      <c r="BO196" s="47" t="s">
        <v>510</v>
      </c>
    </row>
    <row r="197" spans="1:67" x14ac:dyDescent="0.45">
      <c r="A197" s="19">
        <v>196</v>
      </c>
      <c r="B197" s="1" t="s">
        <v>1647</v>
      </c>
      <c r="C197" s="17" t="str">
        <f t="shared" si="27"/>
        <v>이행완료</v>
      </c>
      <c r="D197" s="17" t="str">
        <f t="shared" si="30"/>
        <v/>
      </c>
      <c r="E197" s="2" t="s">
        <v>1694</v>
      </c>
      <c r="F197" s="1" t="s">
        <v>511</v>
      </c>
      <c r="G197" s="11" t="s">
        <v>1695</v>
      </c>
      <c r="H197" s="18" t="s">
        <v>1202</v>
      </c>
      <c r="I197" s="19">
        <v>699</v>
      </c>
      <c r="J197" s="2"/>
      <c r="K197" s="20" t="s">
        <v>2441</v>
      </c>
      <c r="L197" s="20"/>
      <c r="M197" s="17" t="str">
        <f t="shared" si="28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MATCH($BO197, 입력!$Z$2:$Z$500, 0)) &amp; "", "")</f>
        <v/>
      </c>
      <c r="S197" s="64" t="str">
        <f>IFERROR(INDEX(입력!$K$2:$K$500, MATCH($BO197,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9"/>
        <v>14</v>
      </c>
      <c r="W197" s="1" t="str">
        <f t="shared" si="26"/>
        <v/>
      </c>
      <c r="X197" s="1">
        <v>15</v>
      </c>
      <c r="Y197" s="64" t="str">
        <f>IFERROR(INDEX(입력!$M$2:$M$500, MATCH($BO197, 입력!$Z$2:$Z$500, 0)) &amp; "", "")</f>
        <v/>
      </c>
      <c r="Z197" s="64" t="str">
        <f>IFERROR(INDEX(입력!$N$2:$N$500, MATCH($BO197, 입력!$Z$2:$Z$500, 0)) &amp; "", "")</f>
        <v/>
      </c>
      <c r="AA197" s="64">
        <f>MAX(0, 표1[[#This Row],[의무_시설]]-표1[[#This Row],[시설합]])</f>
        <v>0</v>
      </c>
      <c r="AB197" s="17" t="str">
        <f t="shared" si="31"/>
        <v>이행완료</v>
      </c>
      <c r="AC197" s="64" t="str">
        <f>IFERROR(INDEX(입력!$P$2:$P$500, MATCH($BO197, 입력!$Z$2:$Z$500, 0)) &amp; "", "")</f>
        <v/>
      </c>
      <c r="AD197" s="64" t="str">
        <f>IFERROR(INDEX(입력!$Q$2:$Q$500, MATCH($BO197, 입력!$Z$2:$Z$500, 0)) &amp; "", "")</f>
        <v/>
      </c>
      <c r="AE197" s="64" t="str">
        <f>IFERROR(INDEX(입력!$R$2:$R$500, MATCH($BO197, 입력!$Z$2:$Z$500, 0)) &amp; "", "")</f>
        <v/>
      </c>
      <c r="AF197" s="64" t="str">
        <f>IFERROR(INDEX(입력!$S$2:$S$500, MATCH($BO197, 입력!$Z$2:$Z$500, 0)) &amp; "", "")</f>
        <v/>
      </c>
      <c r="AG197" s="64" t="str">
        <f>IFERROR(INDEX(입력!$T$2:$T$500, MATCH($BO197, 입력!$Z$2:$Z$500, 0)) &amp; "", "")</f>
        <v/>
      </c>
      <c r="AH197" s="64" t="str">
        <f>IFERROR(INDEX(입력!$U$2:$U$500, MATCH($BO197, 입력!$Z$2:$Z$500, 0)) &amp; "", "")</f>
        <v/>
      </c>
      <c r="AI197" s="64" t="str">
        <f>IFERROR(INDEX(입력!$V$2:$V$500, MATCH($BO197, 입력!$Z$2:$Z$500, 0)) &amp; "", "")</f>
        <v/>
      </c>
      <c r="AJ197" s="44" t="str">
        <f>IFERROR(INDEX(입력!$W$2:$W$500, MATCH($BO197, 입력!$Z$2:$Z$500, 0)) &amp; "", "")</f>
        <v/>
      </c>
      <c r="AK197" s="44" t="str">
        <f>IFERROR(INDEX(입력!$X$2:$X$500, MATCH($BO197, 입력!$Z$2:$Z$500, 0)) &amp; "", "")</f>
        <v/>
      </c>
      <c r="AL197" s="2"/>
      <c r="AM197" s="17" t="s">
        <v>1650</v>
      </c>
      <c r="AN197" s="101">
        <v>2025</v>
      </c>
      <c r="AO197" s="17" t="s">
        <v>3274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3132</v>
      </c>
      <c r="AZ197" s="71" t="str">
        <f>IFERROR(IF(INDEX(입력!$C$2:$C$500, MATCH($BO197, 입력!$Z$2:$Z$500, 0))="", "", TEXT(INDEX(입력!$C$2:$C$500, MATCH($BO197, 입력!$Z$2:$Z$500, 0)), "yyyy-mm-dd")), "")</f>
        <v/>
      </c>
      <c r="BA197" s="44" t="str">
        <f>IFERROR(INDEX(입력!$B$2:$B$500, MATCH($BO197, 입력!$Z$2:$Z$500, 0)) &amp; "", "")</f>
        <v/>
      </c>
      <c r="BB197" s="83" t="str">
        <f>IFERROR(INDEX(입력!$Y$2:$Y$500, MATCH($BO197, 입력!$Z$2:$Z$500, 0)) &amp; "", "")</f>
        <v/>
      </c>
      <c r="BC197" s="83" t="s">
        <v>3112</v>
      </c>
      <c r="BD197" s="83"/>
      <c r="BE197" s="101"/>
      <c r="BF197" s="101"/>
      <c r="BG197" s="101"/>
      <c r="BH197" s="101"/>
      <c r="BI197" s="101"/>
      <c r="BJ197" s="101"/>
      <c r="BK197" s="110"/>
      <c r="BL197" s="21"/>
      <c r="BM197" s="22">
        <v>762</v>
      </c>
      <c r="BN197" s="23"/>
      <c r="BO197" s="47" t="s">
        <v>512</v>
      </c>
    </row>
    <row r="198" spans="1:67" x14ac:dyDescent="0.45">
      <c r="A198" s="46">
        <v>197</v>
      </c>
      <c r="B198" s="1" t="s">
        <v>1647</v>
      </c>
      <c r="C198" s="17" t="str">
        <f t="shared" si="27"/>
        <v>이행완료</v>
      </c>
      <c r="D198" s="17" t="str">
        <f t="shared" si="30"/>
        <v/>
      </c>
      <c r="E198" s="1" t="s">
        <v>1696</v>
      </c>
      <c r="F198" s="1" t="s">
        <v>513</v>
      </c>
      <c r="G198" s="11" t="s">
        <v>1697</v>
      </c>
      <c r="H198" s="18" t="s">
        <v>1172</v>
      </c>
      <c r="I198" s="19">
        <v>817</v>
      </c>
      <c r="J198" s="2"/>
      <c r="K198" s="20" t="s">
        <v>2590</v>
      </c>
      <c r="L198" s="20"/>
      <c r="M198" s="17" t="str">
        <f t="shared" si="28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MATCH($BO198, 입력!$Z$2:$Z$500, 0)) &amp; "", "")</f>
        <v/>
      </c>
      <c r="S198" s="64" t="str">
        <f>IFERROR(INDEX(입력!$K$2:$K$500, MATCH($BO198, 입력!$Z$2:$Z$500, 0)) &amp; "", "")</f>
        <v/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9"/>
        <v>16</v>
      </c>
      <c r="W198" s="1" t="str">
        <f t="shared" si="26"/>
        <v/>
      </c>
      <c r="X198" s="1">
        <v>17</v>
      </c>
      <c r="Y198" s="64" t="str">
        <f>IFERROR(INDEX(입력!$M$2:$M$500, MATCH($BO198, 입력!$Z$2:$Z$500, 0)) &amp; "", "")</f>
        <v/>
      </c>
      <c r="Z198" s="64" t="str">
        <f>IFERROR(INDEX(입력!$N$2:$N$500, MATCH($BO198, 입력!$Z$2:$Z$500, 0)) &amp; "", "")</f>
        <v/>
      </c>
      <c r="AA198" s="64">
        <f>MAX(0, 표1[[#This Row],[의무_시설]]-표1[[#This Row],[시설합]])</f>
        <v>0</v>
      </c>
      <c r="AB198" s="17" t="str">
        <f t="shared" si="31"/>
        <v>이행완료</v>
      </c>
      <c r="AC198" s="64" t="str">
        <f>IFERROR(INDEX(입력!$P$2:$P$500, MATCH($BO198, 입력!$Z$2:$Z$500, 0)) &amp; "", "")</f>
        <v/>
      </c>
      <c r="AD198" s="64" t="str">
        <f>IFERROR(INDEX(입력!$Q$2:$Q$500, MATCH($BO198, 입력!$Z$2:$Z$500, 0)) &amp; "", "")</f>
        <v/>
      </c>
      <c r="AE198" s="64" t="str">
        <f>IFERROR(INDEX(입력!$R$2:$R$500, MATCH($BO198, 입력!$Z$2:$Z$500, 0)) &amp; "", "")</f>
        <v/>
      </c>
      <c r="AF198" s="64" t="str">
        <f>IFERROR(INDEX(입력!$S$2:$S$500, MATCH($BO198, 입력!$Z$2:$Z$500, 0)) &amp; "", "")</f>
        <v/>
      </c>
      <c r="AG198" s="64" t="str">
        <f>IFERROR(INDEX(입력!$T$2:$T$500, MATCH($BO198, 입력!$Z$2:$Z$500, 0)) &amp; "", "")</f>
        <v/>
      </c>
      <c r="AH198" s="64" t="str">
        <f>IFERROR(INDEX(입력!$U$2:$U$500, MATCH($BO198, 입력!$Z$2:$Z$500, 0)) &amp; "", "")</f>
        <v/>
      </c>
      <c r="AI198" s="64" t="str">
        <f>IFERROR(INDEX(입력!$V$2:$V$500, MATCH($BO198, 입력!$Z$2:$Z$500, 0)) &amp; "", "")</f>
        <v/>
      </c>
      <c r="AJ198" s="44" t="str">
        <f>IFERROR(INDEX(입력!$W$2:$W$500, MATCH($BO198, 입력!$Z$2:$Z$500, 0)) &amp; "", "")</f>
        <v/>
      </c>
      <c r="AK198" s="44" t="str">
        <f>IFERROR(INDEX(입력!$X$2:$X$500, MATCH($BO198, 입력!$Z$2:$Z$500, 0)) &amp; "", "")</f>
        <v/>
      </c>
      <c r="AL198" s="2"/>
      <c r="AM198" s="17" t="s">
        <v>1650</v>
      </c>
      <c r="AN198" s="101">
        <v>2025</v>
      </c>
      <c r="AO198" s="17" t="s">
        <v>3274</v>
      </c>
      <c r="AP198" s="101"/>
      <c r="AQ198" s="31"/>
      <c r="AR198" s="119"/>
      <c r="AS198" s="121" t="s">
        <v>3278</v>
      </c>
      <c r="AT198" s="109"/>
      <c r="AU198" s="101"/>
      <c r="AV198" s="101"/>
      <c r="AW198" s="101"/>
      <c r="AX198" s="101"/>
      <c r="AY198" s="83" t="s">
        <v>3131</v>
      </c>
      <c r="AZ198" s="71" t="str">
        <f>IFERROR(IF(INDEX(입력!$C$2:$C$500, MATCH($BO198, 입력!$Z$2:$Z$500, 0))="", "", TEXT(INDEX(입력!$C$2:$C$500, MATCH($BO198, 입력!$Z$2:$Z$500, 0)), "yyyy-mm-dd")), "")</f>
        <v/>
      </c>
      <c r="BA198" s="44" t="str">
        <f>IFERROR(INDEX(입력!$B$2:$B$500, MATCH($BO198, 입력!$Z$2:$Z$500, 0)) &amp; "", "")</f>
        <v/>
      </c>
      <c r="BB198" s="83" t="str">
        <f>IFERROR(INDEX(입력!$Y$2:$Y$500, MATCH($BO198, 입력!$Z$2:$Z$500, 0)) &amp; "", "")</f>
        <v/>
      </c>
      <c r="BC198" s="83" t="s">
        <v>3280</v>
      </c>
      <c r="BD198" s="83"/>
      <c r="BE198" s="114" t="s">
        <v>3281</v>
      </c>
      <c r="BF198" s="101"/>
      <c r="BG198" s="101"/>
      <c r="BH198" s="101"/>
      <c r="BI198" s="101"/>
      <c r="BJ198" s="101"/>
      <c r="BK198" s="110"/>
      <c r="BL198" s="21"/>
      <c r="BM198" s="22">
        <v>846</v>
      </c>
      <c r="BN198" s="23"/>
      <c r="BO198" s="47" t="s">
        <v>514</v>
      </c>
    </row>
    <row r="199" spans="1:67" x14ac:dyDescent="0.45">
      <c r="A199" s="19">
        <v>198</v>
      </c>
      <c r="B199" s="1" t="s">
        <v>1647</v>
      </c>
      <c r="C199" s="17" t="str">
        <f t="shared" si="27"/>
        <v>이행완료</v>
      </c>
      <c r="D199" s="17" t="str">
        <f t="shared" si="30"/>
        <v/>
      </c>
      <c r="E199" s="2" t="s">
        <v>1698</v>
      </c>
      <c r="F199" s="1" t="s">
        <v>515</v>
      </c>
      <c r="G199" s="11" t="s">
        <v>1699</v>
      </c>
      <c r="H199" s="18" t="s">
        <v>1276</v>
      </c>
      <c r="I199" s="19">
        <v>1360</v>
      </c>
      <c r="J199" s="2"/>
      <c r="K199" s="20" t="s">
        <v>2442</v>
      </c>
      <c r="L199" s="20"/>
      <c r="M199" s="17" t="str">
        <f t="shared" si="28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MATCH($BO199, 입력!$Z$2:$Z$500, 0)) &amp; "", "")</f>
        <v/>
      </c>
      <c r="S199" s="64" t="str">
        <f>IFERROR(INDEX(입력!$K$2:$K$500, MATCH($BO199,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9"/>
        <v>27</v>
      </c>
      <c r="W199" s="1" t="str">
        <f t="shared" si="26"/>
        <v/>
      </c>
      <c r="X199" s="1">
        <v>28</v>
      </c>
      <c r="Y199" s="64" t="str">
        <f>IFERROR(INDEX(입력!$M$2:$M$500, MATCH($BO199, 입력!$Z$2:$Z$500, 0)) &amp; "", "")</f>
        <v/>
      </c>
      <c r="Z199" s="64" t="str">
        <f>IFERROR(INDEX(입력!$N$2:$N$500, MATCH($BO199, 입력!$Z$2:$Z$500, 0)) &amp; "", "")</f>
        <v/>
      </c>
      <c r="AA199" s="64">
        <f>MAX(0, 표1[[#This Row],[의무_시설]]-표1[[#This Row],[시설합]])</f>
        <v>0</v>
      </c>
      <c r="AB199" s="17" t="str">
        <f t="shared" si="31"/>
        <v>이행완료</v>
      </c>
      <c r="AC199" s="64" t="str">
        <f>IFERROR(INDEX(입력!$P$2:$P$500, MATCH($BO199, 입력!$Z$2:$Z$500, 0)) &amp; "", "")</f>
        <v/>
      </c>
      <c r="AD199" s="64" t="str">
        <f>IFERROR(INDEX(입력!$Q$2:$Q$500, MATCH($BO199, 입력!$Z$2:$Z$500, 0)) &amp; "", "")</f>
        <v/>
      </c>
      <c r="AE199" s="64" t="str">
        <f>IFERROR(INDEX(입력!$R$2:$R$500, MATCH($BO199, 입력!$Z$2:$Z$500, 0)) &amp; "", "")</f>
        <v/>
      </c>
      <c r="AF199" s="64" t="str">
        <f>IFERROR(INDEX(입력!$S$2:$S$500, MATCH($BO199, 입력!$Z$2:$Z$500, 0)) &amp; "", "")</f>
        <v/>
      </c>
      <c r="AG199" s="64" t="str">
        <f>IFERROR(INDEX(입력!$T$2:$T$500, MATCH($BO199, 입력!$Z$2:$Z$500, 0)) &amp; "", "")</f>
        <v/>
      </c>
      <c r="AH199" s="64" t="str">
        <f>IFERROR(INDEX(입력!$U$2:$U$500, MATCH($BO199, 입력!$Z$2:$Z$500, 0)) &amp; "", "")</f>
        <v/>
      </c>
      <c r="AI199" s="64" t="str">
        <f>IFERROR(INDEX(입력!$V$2:$V$500, MATCH($BO199, 입력!$Z$2:$Z$500, 0)) &amp; "", "")</f>
        <v/>
      </c>
      <c r="AJ199" s="44" t="str">
        <f>IFERROR(INDEX(입력!$W$2:$W$500, MATCH($BO199, 입력!$Z$2:$Z$500, 0)) &amp; "", "")</f>
        <v/>
      </c>
      <c r="AK199" s="44" t="str">
        <f>IFERROR(INDEX(입력!$X$2:$X$500, MATCH($BO199, 입력!$Z$2:$Z$500, 0)) &amp; "", "")</f>
        <v/>
      </c>
      <c r="AL199" s="2"/>
      <c r="AM199" s="17" t="s">
        <v>1650</v>
      </c>
      <c r="AN199" s="101">
        <v>2025</v>
      </c>
      <c r="AO199" s="17" t="s">
        <v>3275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3137</v>
      </c>
      <c r="AZ199" s="71" t="str">
        <f>IFERROR(IF(INDEX(입력!$C$2:$C$500, MATCH($BO199, 입력!$Z$2:$Z$500, 0))="", "", TEXT(INDEX(입력!$C$2:$C$500, MATCH($BO199, 입력!$Z$2:$Z$500, 0)), "yyyy-mm-dd")), "")</f>
        <v/>
      </c>
      <c r="BA199" s="44" t="str">
        <f>IFERROR(INDEX(입력!$B$2:$B$500, MATCH($BO199, 입력!$Z$2:$Z$500, 0)) &amp; "", "")</f>
        <v/>
      </c>
      <c r="BB199" s="83" t="str">
        <f>IFERROR(INDEX(입력!$Y$2:$Y$500, MATCH($BO199, 입력!$Z$2:$Z$500, 0)) &amp; "", "")</f>
        <v/>
      </c>
      <c r="BC199" s="83" t="s">
        <v>3112</v>
      </c>
      <c r="BD199" s="83"/>
      <c r="BE199" s="101"/>
      <c r="BF199" s="101"/>
      <c r="BG199" s="101"/>
      <c r="BH199" s="101"/>
      <c r="BI199" s="101"/>
      <c r="BJ199" s="101"/>
      <c r="BK199" s="110"/>
      <c r="BL199" s="21"/>
      <c r="BM199" s="22">
        <v>1360</v>
      </c>
      <c r="BN199" s="23"/>
      <c r="BO199" s="47" t="s">
        <v>516</v>
      </c>
    </row>
    <row r="200" spans="1:67" x14ac:dyDescent="0.45">
      <c r="A200" s="46">
        <v>199</v>
      </c>
      <c r="B200" s="1" t="s">
        <v>1647</v>
      </c>
      <c r="C200" s="17" t="str">
        <f t="shared" si="27"/>
        <v>이행완료</v>
      </c>
      <c r="D200" s="17" t="str">
        <f t="shared" si="30"/>
        <v/>
      </c>
      <c r="E200" s="2" t="s">
        <v>1700</v>
      </c>
      <c r="F200" s="1" t="s">
        <v>517</v>
      </c>
      <c r="G200" s="11" t="s">
        <v>1701</v>
      </c>
      <c r="H200" s="18" t="s">
        <v>1056</v>
      </c>
      <c r="I200" s="19">
        <v>1791</v>
      </c>
      <c r="J200" s="2"/>
      <c r="K200" s="20" t="s">
        <v>2453</v>
      </c>
      <c r="L200" s="20"/>
      <c r="M200" s="17" t="str">
        <f t="shared" si="28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MATCH($BO200, 입력!$Z$2:$Z$500, 0)) &amp; "", "")</f>
        <v/>
      </c>
      <c r="S200" s="64" t="str">
        <f>IFERROR(INDEX(입력!$K$2:$K$500, MATCH($BO200,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9"/>
        <v>36</v>
      </c>
      <c r="W200" s="1" t="str">
        <f t="shared" si="26"/>
        <v/>
      </c>
      <c r="X200" s="1">
        <v>46</v>
      </c>
      <c r="Y200" s="64" t="str">
        <f>IFERROR(INDEX(입력!$M$2:$M$500, MATCH($BO200, 입력!$Z$2:$Z$500, 0)) &amp; "", "")</f>
        <v/>
      </c>
      <c r="Z200" s="64" t="str">
        <f>IFERROR(INDEX(입력!$N$2:$N$500, MATCH($BO200, 입력!$Z$2:$Z$500, 0)) &amp; "", "")</f>
        <v/>
      </c>
      <c r="AA200" s="64">
        <f>MAX(0, 표1[[#This Row],[의무_시설]]-표1[[#This Row],[시설합]])</f>
        <v>0</v>
      </c>
      <c r="AB200" s="17" t="str">
        <f t="shared" si="31"/>
        <v>이행완료</v>
      </c>
      <c r="AC200" s="64" t="str">
        <f>IFERROR(INDEX(입력!$P$2:$P$500, MATCH($BO200, 입력!$Z$2:$Z$500, 0)) &amp; "", "")</f>
        <v/>
      </c>
      <c r="AD200" s="64" t="str">
        <f>IFERROR(INDEX(입력!$Q$2:$Q$500, MATCH($BO200, 입력!$Z$2:$Z$500, 0)) &amp; "", "")</f>
        <v/>
      </c>
      <c r="AE200" s="64" t="str">
        <f>IFERROR(INDEX(입력!$R$2:$R$500, MATCH($BO200, 입력!$Z$2:$Z$500, 0)) &amp; "", "")</f>
        <v/>
      </c>
      <c r="AF200" s="64" t="str">
        <f>IFERROR(INDEX(입력!$S$2:$S$500, MATCH($BO200, 입력!$Z$2:$Z$500, 0)) &amp; "", "")</f>
        <v/>
      </c>
      <c r="AG200" s="64" t="str">
        <f>IFERROR(INDEX(입력!$T$2:$T$500, MATCH($BO200, 입력!$Z$2:$Z$500, 0)) &amp; "", "")</f>
        <v/>
      </c>
      <c r="AH200" s="64" t="str">
        <f>IFERROR(INDEX(입력!$U$2:$U$500, MATCH($BO200, 입력!$Z$2:$Z$500, 0)) &amp; "", "")</f>
        <v/>
      </c>
      <c r="AI200" s="64" t="str">
        <f>IFERROR(INDEX(입력!$V$2:$V$500, MATCH($BO200, 입력!$Z$2:$Z$500, 0)) &amp; "", "")</f>
        <v/>
      </c>
      <c r="AJ200" s="44" t="str">
        <f>IFERROR(INDEX(입력!$W$2:$W$500, MATCH($BO200, 입력!$Z$2:$Z$500, 0)) &amp; "", "")</f>
        <v/>
      </c>
      <c r="AK200" s="44" t="str">
        <f>IFERROR(INDEX(입력!$X$2:$X$500, MATCH($BO200, 입력!$Z$2:$Z$500, 0)) &amp; "", "")</f>
        <v/>
      </c>
      <c r="AL200" s="2"/>
      <c r="AM200" s="17" t="s">
        <v>1650</v>
      </c>
      <c r="AN200" s="101">
        <v>2025</v>
      </c>
      <c r="AO200" s="17" t="s">
        <v>3275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3137</v>
      </c>
      <c r="AZ200" s="71" t="str">
        <f>IFERROR(IF(INDEX(입력!$C$2:$C$500, MATCH($BO200, 입력!$Z$2:$Z$500, 0))="", "", TEXT(INDEX(입력!$C$2:$C$500, MATCH($BO200, 입력!$Z$2:$Z$500, 0)), "yyyy-mm-dd")), "")</f>
        <v/>
      </c>
      <c r="BA200" s="44" t="str">
        <f>IFERROR(INDEX(입력!$B$2:$B$500, MATCH($BO200, 입력!$Z$2:$Z$500, 0)) &amp; "", "")</f>
        <v/>
      </c>
      <c r="BB200" s="83" t="str">
        <f>IFERROR(INDEX(입력!$Y$2:$Y$500, MATCH($BO200, 입력!$Z$2:$Z$500, 0)) &amp; "", "")</f>
        <v/>
      </c>
      <c r="BC200" s="83" t="s">
        <v>3112</v>
      </c>
      <c r="BD200" s="83"/>
      <c r="BE200" s="101"/>
      <c r="BF200" s="101"/>
      <c r="BG200" s="101"/>
      <c r="BH200" s="101"/>
      <c r="BI200" s="101"/>
      <c r="BJ200" s="101"/>
      <c r="BK200" s="110"/>
      <c r="BL200" s="21"/>
      <c r="BM200" s="22">
        <v>1833</v>
      </c>
      <c r="BN200" s="23"/>
      <c r="BO200" s="47" t="s">
        <v>518</v>
      </c>
    </row>
    <row r="201" spans="1:67" x14ac:dyDescent="0.45">
      <c r="A201" s="19">
        <v>200</v>
      </c>
      <c r="B201" s="1" t="s">
        <v>1647</v>
      </c>
      <c r="C201" s="17" t="str">
        <f t="shared" si="27"/>
        <v>이행완료</v>
      </c>
      <c r="D201" s="17" t="str">
        <f t="shared" si="30"/>
        <v/>
      </c>
      <c r="E201" s="2" t="s">
        <v>1702</v>
      </c>
      <c r="F201" s="1" t="s">
        <v>519</v>
      </c>
      <c r="G201" s="11" t="s">
        <v>1703</v>
      </c>
      <c r="H201" s="18" t="s">
        <v>1621</v>
      </c>
      <c r="I201" s="19">
        <v>692</v>
      </c>
      <c r="J201" s="2"/>
      <c r="K201" s="20" t="s">
        <v>2591</v>
      </c>
      <c r="L201" s="20"/>
      <c r="M201" s="17" t="str">
        <f t="shared" si="28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MATCH($BO201, 입력!$Z$2:$Z$500, 0)) &amp; "", "")</f>
        <v/>
      </c>
      <c r="S201" s="64" t="str">
        <f>IFERROR(INDEX(입력!$K$2:$K$500, MATCH($BO201,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9"/>
        <v>14</v>
      </c>
      <c r="W201" s="1" t="str">
        <f t="shared" si="26"/>
        <v/>
      </c>
      <c r="X201" s="1">
        <v>33</v>
      </c>
      <c r="Y201" s="64" t="str">
        <f>IFERROR(INDEX(입력!$M$2:$M$500, MATCH($BO201, 입력!$Z$2:$Z$500, 0)) &amp; "", "")</f>
        <v/>
      </c>
      <c r="Z201" s="64" t="str">
        <f>IFERROR(INDEX(입력!$N$2:$N$500, MATCH($BO201, 입력!$Z$2:$Z$500, 0)) &amp; "", "")</f>
        <v/>
      </c>
      <c r="AA201" s="64">
        <f>MAX(0, 표1[[#This Row],[의무_시설]]-표1[[#This Row],[시설합]])</f>
        <v>0</v>
      </c>
      <c r="AB201" s="17" t="str">
        <f t="shared" si="31"/>
        <v>이행완료</v>
      </c>
      <c r="AC201" s="64" t="str">
        <f>IFERROR(INDEX(입력!$P$2:$P$500, MATCH($BO201, 입력!$Z$2:$Z$500, 0)) &amp; "", "")</f>
        <v/>
      </c>
      <c r="AD201" s="64" t="str">
        <f>IFERROR(INDEX(입력!$Q$2:$Q$500, MATCH($BO201, 입력!$Z$2:$Z$500, 0)) &amp; "", "")</f>
        <v/>
      </c>
      <c r="AE201" s="64" t="str">
        <f>IFERROR(INDEX(입력!$R$2:$R$500, MATCH($BO201, 입력!$Z$2:$Z$500, 0)) &amp; "", "")</f>
        <v/>
      </c>
      <c r="AF201" s="64" t="str">
        <f>IFERROR(INDEX(입력!$S$2:$S$500, MATCH($BO201, 입력!$Z$2:$Z$500, 0)) &amp; "", "")</f>
        <v/>
      </c>
      <c r="AG201" s="64" t="str">
        <f>IFERROR(INDEX(입력!$T$2:$T$500, MATCH($BO201, 입력!$Z$2:$Z$500, 0)) &amp; "", "")</f>
        <v/>
      </c>
      <c r="AH201" s="64" t="str">
        <f>IFERROR(INDEX(입력!$U$2:$U$500, MATCH($BO201, 입력!$Z$2:$Z$500, 0)) &amp; "", "")</f>
        <v/>
      </c>
      <c r="AI201" s="64" t="str">
        <f>IFERROR(INDEX(입력!$V$2:$V$500, MATCH($BO201, 입력!$Z$2:$Z$500, 0)) &amp; "", "")</f>
        <v/>
      </c>
      <c r="AJ201" s="44" t="str">
        <f>IFERROR(INDEX(입력!$W$2:$W$500, MATCH($BO201, 입력!$Z$2:$Z$500, 0)) &amp; "", "")</f>
        <v/>
      </c>
      <c r="AK201" s="44" t="str">
        <f>IFERROR(INDEX(입력!$X$2:$X$500, MATCH($BO201, 입력!$Z$2:$Z$500, 0)) &amp; "", "")</f>
        <v/>
      </c>
      <c r="AL201" s="2"/>
      <c r="AM201" s="17" t="s">
        <v>1650</v>
      </c>
      <c r="AN201" s="101">
        <v>2025</v>
      </c>
      <c r="AO201" s="17" t="s">
        <v>3274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3132</v>
      </c>
      <c r="AZ201" s="71" t="str">
        <f>IFERROR(IF(INDEX(입력!$C$2:$C$500, MATCH($BO201, 입력!$Z$2:$Z$500, 0))="", "", TEXT(INDEX(입력!$C$2:$C$500, MATCH($BO201, 입력!$Z$2:$Z$500, 0)), "yyyy-mm-dd")), "")</f>
        <v/>
      </c>
      <c r="BA201" s="44" t="str">
        <f>IFERROR(INDEX(입력!$B$2:$B$500, MATCH($BO201, 입력!$Z$2:$Z$500, 0)) &amp; "", "")</f>
        <v/>
      </c>
      <c r="BB201" s="83" t="str">
        <f>IFERROR(INDEX(입력!$Y$2:$Y$500, MATCH($BO201, 입력!$Z$2:$Z$500, 0)) &amp; "", "")</f>
        <v/>
      </c>
      <c r="BC201" s="83" t="s">
        <v>3112</v>
      </c>
      <c r="BD201" s="83"/>
      <c r="BE201" s="101"/>
      <c r="BF201" s="101"/>
      <c r="BG201" s="101"/>
      <c r="BH201" s="101"/>
      <c r="BI201" s="101"/>
      <c r="BJ201" s="101"/>
      <c r="BK201" s="110"/>
      <c r="BL201" s="21"/>
      <c r="BM201" s="22">
        <v>1090</v>
      </c>
      <c r="BN201" s="23"/>
      <c r="BO201" s="47" t="s">
        <v>520</v>
      </c>
    </row>
    <row r="202" spans="1:67" x14ac:dyDescent="0.45">
      <c r="A202" s="46">
        <v>201</v>
      </c>
      <c r="B202" s="1" t="s">
        <v>1647</v>
      </c>
      <c r="C202" s="17" t="str">
        <f t="shared" si="27"/>
        <v>이행완료</v>
      </c>
      <c r="D202" s="17" t="str">
        <f t="shared" si="30"/>
        <v/>
      </c>
      <c r="E202" s="2" t="s">
        <v>1704</v>
      </c>
      <c r="F202" s="1" t="s">
        <v>521</v>
      </c>
      <c r="G202" s="11" t="s">
        <v>1705</v>
      </c>
      <c r="H202" s="18" t="s">
        <v>1266</v>
      </c>
      <c r="I202" s="19">
        <v>731</v>
      </c>
      <c r="J202" s="2"/>
      <c r="K202" s="20" t="s">
        <v>2592</v>
      </c>
      <c r="L202" s="20"/>
      <c r="M202" s="17" t="str">
        <f t="shared" si="28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MATCH($BO202, 입력!$Z$2:$Z$500, 0)) &amp; "", "")</f>
        <v/>
      </c>
      <c r="S202" s="64" t="str">
        <f>IFERROR(INDEX(입력!$K$2:$K$500, MATCH($BO202,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9"/>
        <v>15</v>
      </c>
      <c r="W202" s="1" t="str">
        <f t="shared" si="26"/>
        <v/>
      </c>
      <c r="X202" s="1">
        <v>15</v>
      </c>
      <c r="Y202" s="64" t="str">
        <f>IFERROR(INDEX(입력!$M$2:$M$500, MATCH($BO202, 입력!$Z$2:$Z$500, 0)) &amp; "", "")</f>
        <v/>
      </c>
      <c r="Z202" s="64" t="str">
        <f>IFERROR(INDEX(입력!$N$2:$N$500, MATCH($BO202, 입력!$Z$2:$Z$500, 0)) &amp; "", "")</f>
        <v/>
      </c>
      <c r="AA202" s="64">
        <f>MAX(0, 표1[[#This Row],[의무_시설]]-표1[[#This Row],[시설합]])</f>
        <v>0</v>
      </c>
      <c r="AB202" s="17" t="str">
        <f t="shared" si="31"/>
        <v>이행완료</v>
      </c>
      <c r="AC202" s="64" t="str">
        <f>IFERROR(INDEX(입력!$P$2:$P$500, MATCH($BO202, 입력!$Z$2:$Z$500, 0)) &amp; "", "")</f>
        <v/>
      </c>
      <c r="AD202" s="64" t="str">
        <f>IFERROR(INDEX(입력!$Q$2:$Q$500, MATCH($BO202, 입력!$Z$2:$Z$500, 0)) &amp; "", "")</f>
        <v/>
      </c>
      <c r="AE202" s="64" t="str">
        <f>IFERROR(INDEX(입력!$R$2:$R$500, MATCH($BO202, 입력!$Z$2:$Z$500, 0)) &amp; "", "")</f>
        <v/>
      </c>
      <c r="AF202" s="64" t="str">
        <f>IFERROR(INDEX(입력!$S$2:$S$500, MATCH($BO202, 입력!$Z$2:$Z$500, 0)) &amp; "", "")</f>
        <v/>
      </c>
      <c r="AG202" s="64" t="str">
        <f>IFERROR(INDEX(입력!$T$2:$T$500, MATCH($BO202, 입력!$Z$2:$Z$500, 0)) &amp; "", "")</f>
        <v/>
      </c>
      <c r="AH202" s="64" t="str">
        <f>IFERROR(INDEX(입력!$U$2:$U$500, MATCH($BO202, 입력!$Z$2:$Z$500, 0)) &amp; "", "")</f>
        <v/>
      </c>
      <c r="AI202" s="64" t="str">
        <f>IFERROR(INDEX(입력!$V$2:$V$500, MATCH($BO202, 입력!$Z$2:$Z$500, 0)) &amp; "", "")</f>
        <v/>
      </c>
      <c r="AJ202" s="44" t="str">
        <f>IFERROR(INDEX(입력!$W$2:$W$500, MATCH($BO202, 입력!$Z$2:$Z$500, 0)) &amp; "", "")</f>
        <v/>
      </c>
      <c r="AK202" s="44" t="str">
        <f>IFERROR(INDEX(입력!$X$2:$X$500, MATCH($BO202, 입력!$Z$2:$Z$500, 0)) &amp; "", "")</f>
        <v/>
      </c>
      <c r="AL202" s="2"/>
      <c r="AM202" s="17" t="s">
        <v>1650</v>
      </c>
      <c r="AN202" s="101">
        <v>2025</v>
      </c>
      <c r="AO202" s="17" t="s">
        <v>3275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3137</v>
      </c>
      <c r="AZ202" s="71" t="str">
        <f>IFERROR(IF(INDEX(입력!$C$2:$C$500, MATCH($BO202, 입력!$Z$2:$Z$500, 0))="", "", TEXT(INDEX(입력!$C$2:$C$500, MATCH($BO202, 입력!$Z$2:$Z$500, 0)), "yyyy-mm-dd")), "")</f>
        <v/>
      </c>
      <c r="BA202" s="44" t="str">
        <f>IFERROR(INDEX(입력!$B$2:$B$500, MATCH($BO202, 입력!$Z$2:$Z$500, 0)) &amp; "", "")</f>
        <v/>
      </c>
      <c r="BB202" s="83" t="str">
        <f>IFERROR(INDEX(입력!$Y$2:$Y$500, MATCH($BO202, 입력!$Z$2:$Z$500, 0)) &amp; "", "")</f>
        <v/>
      </c>
      <c r="BC202" s="83" t="s">
        <v>3112</v>
      </c>
      <c r="BD202" s="83"/>
      <c r="BE202" s="101"/>
      <c r="BF202" s="101"/>
      <c r="BG202" s="101"/>
      <c r="BH202" s="101"/>
      <c r="BI202" s="101"/>
      <c r="BJ202" s="101"/>
      <c r="BK202" s="110"/>
      <c r="BL202" s="21"/>
      <c r="BM202" s="22">
        <v>731</v>
      </c>
      <c r="BN202" s="23"/>
      <c r="BO202" s="47" t="s">
        <v>522</v>
      </c>
    </row>
    <row r="203" spans="1:67" x14ac:dyDescent="0.45">
      <c r="A203" s="19">
        <v>202</v>
      </c>
      <c r="B203" s="1" t="s">
        <v>1647</v>
      </c>
      <c r="C203" s="17" t="str">
        <f t="shared" si="27"/>
        <v>이행완료</v>
      </c>
      <c r="D203" s="17" t="str">
        <f t="shared" si="30"/>
        <v/>
      </c>
      <c r="E203" s="2" t="s">
        <v>1706</v>
      </c>
      <c r="F203" s="1" t="s">
        <v>523</v>
      </c>
      <c r="G203" s="11" t="s">
        <v>1707</v>
      </c>
      <c r="H203" s="18" t="s">
        <v>1335</v>
      </c>
      <c r="I203" s="19">
        <v>1531</v>
      </c>
      <c r="J203" s="2"/>
      <c r="K203" s="20" t="s">
        <v>2443</v>
      </c>
      <c r="L203" s="20"/>
      <c r="M203" s="17" t="str">
        <f t="shared" si="28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MATCH($BO203, 입력!$Z$2:$Z$500, 0)) &amp; "", "")</f>
        <v/>
      </c>
      <c r="S203" s="64" t="str">
        <f>IFERROR(INDEX(입력!$K$2:$K$500, MATCH($BO203,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9"/>
        <v>31</v>
      </c>
      <c r="W203" s="1" t="str">
        <f t="shared" si="26"/>
        <v/>
      </c>
      <c r="X203" s="1">
        <v>37</v>
      </c>
      <c r="Y203" s="64" t="str">
        <f>IFERROR(INDEX(입력!$M$2:$M$500, MATCH($BO203, 입력!$Z$2:$Z$500, 0)) &amp; "", "")</f>
        <v/>
      </c>
      <c r="Z203" s="64" t="str">
        <f>IFERROR(INDEX(입력!$N$2:$N$500, MATCH($BO203, 입력!$Z$2:$Z$500, 0)) &amp; "", "")</f>
        <v/>
      </c>
      <c r="AA203" s="64">
        <f>MAX(0, 표1[[#This Row],[의무_시설]]-표1[[#This Row],[시설합]])</f>
        <v>0</v>
      </c>
      <c r="AB203" s="17" t="str">
        <f t="shared" si="31"/>
        <v>이행완료</v>
      </c>
      <c r="AC203" s="64" t="str">
        <f>IFERROR(INDEX(입력!$P$2:$P$500, MATCH($BO203, 입력!$Z$2:$Z$500, 0)) &amp; "", "")</f>
        <v/>
      </c>
      <c r="AD203" s="64" t="str">
        <f>IFERROR(INDEX(입력!$Q$2:$Q$500, MATCH($BO203, 입력!$Z$2:$Z$500, 0)) &amp; "", "")</f>
        <v/>
      </c>
      <c r="AE203" s="64" t="str">
        <f>IFERROR(INDEX(입력!$R$2:$R$500, MATCH($BO203, 입력!$Z$2:$Z$500, 0)) &amp; "", "")</f>
        <v/>
      </c>
      <c r="AF203" s="64" t="str">
        <f>IFERROR(INDEX(입력!$S$2:$S$500, MATCH($BO203, 입력!$Z$2:$Z$500, 0)) &amp; "", "")</f>
        <v/>
      </c>
      <c r="AG203" s="64" t="str">
        <f>IFERROR(INDEX(입력!$T$2:$T$500, MATCH($BO203, 입력!$Z$2:$Z$500, 0)) &amp; "", "")</f>
        <v/>
      </c>
      <c r="AH203" s="64" t="str">
        <f>IFERROR(INDEX(입력!$U$2:$U$500, MATCH($BO203, 입력!$Z$2:$Z$500, 0)) &amp; "", "")</f>
        <v/>
      </c>
      <c r="AI203" s="64" t="str">
        <f>IFERROR(INDEX(입력!$V$2:$V$500, MATCH($BO203, 입력!$Z$2:$Z$500, 0)) &amp; "", "")</f>
        <v/>
      </c>
      <c r="AJ203" s="44" t="str">
        <f>IFERROR(INDEX(입력!$W$2:$W$500, MATCH($BO203, 입력!$Z$2:$Z$500, 0)) &amp; "", "")</f>
        <v/>
      </c>
      <c r="AK203" s="44" t="str">
        <f>IFERROR(INDEX(입력!$X$2:$X$500, MATCH($BO203, 입력!$Z$2:$Z$500, 0)) &amp; "", "")</f>
        <v/>
      </c>
      <c r="AL203" s="2"/>
      <c r="AM203" s="17" t="s">
        <v>1650</v>
      </c>
      <c r="AN203" s="101">
        <v>2025</v>
      </c>
      <c r="AO203" s="17" t="s">
        <v>3274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3137</v>
      </c>
      <c r="AZ203" s="71" t="str">
        <f>IFERROR(IF(INDEX(입력!$C$2:$C$500, MATCH($BO203, 입력!$Z$2:$Z$500, 0))="", "", TEXT(INDEX(입력!$C$2:$C$500, MATCH($BO203, 입력!$Z$2:$Z$500, 0)), "yyyy-mm-dd")), "")</f>
        <v/>
      </c>
      <c r="BA203" s="44" t="str">
        <f>IFERROR(INDEX(입력!$B$2:$B$500, MATCH($BO203, 입력!$Z$2:$Z$500, 0)) &amp; "", "")</f>
        <v/>
      </c>
      <c r="BB203" s="83" t="str">
        <f>IFERROR(INDEX(입력!$Y$2:$Y$500, MATCH($BO203, 입력!$Z$2:$Z$500, 0)) &amp; "", "")</f>
        <v/>
      </c>
      <c r="BC203" s="83" t="s">
        <v>3112</v>
      </c>
      <c r="BD203" s="83"/>
      <c r="BE203" s="101"/>
      <c r="BF203" s="101"/>
      <c r="BG203" s="101"/>
      <c r="BH203" s="101"/>
      <c r="BI203" s="101"/>
      <c r="BJ203" s="101"/>
      <c r="BK203" s="110"/>
      <c r="BL203" s="21"/>
      <c r="BM203" s="22">
        <v>1531</v>
      </c>
      <c r="BN203" s="23"/>
      <c r="BO203" s="47" t="s">
        <v>524</v>
      </c>
    </row>
    <row r="204" spans="1:67" x14ac:dyDescent="0.45">
      <c r="A204" s="46">
        <v>203</v>
      </c>
      <c r="B204" s="1" t="s">
        <v>1647</v>
      </c>
      <c r="C204" s="17" t="str">
        <f t="shared" si="27"/>
        <v>이행완료</v>
      </c>
      <c r="D204" s="17" t="str">
        <f t="shared" si="30"/>
        <v/>
      </c>
      <c r="E204" s="2" t="s">
        <v>1708</v>
      </c>
      <c r="F204" s="1" t="s">
        <v>525</v>
      </c>
      <c r="G204" s="11" t="s">
        <v>1709</v>
      </c>
      <c r="H204" s="18" t="s">
        <v>1335</v>
      </c>
      <c r="I204" s="19">
        <v>1521</v>
      </c>
      <c r="J204" s="2"/>
      <c r="K204" s="20" t="s">
        <v>2444</v>
      </c>
      <c r="L204" s="20"/>
      <c r="M204" s="17" t="str">
        <f t="shared" si="28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MATCH($BO204, 입력!$Z$2:$Z$500, 0)) &amp; "", "")</f>
        <v/>
      </c>
      <c r="S204" s="64" t="str">
        <f>IFERROR(INDEX(입력!$K$2:$K$500, MATCH($BO204,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9"/>
        <v>30</v>
      </c>
      <c r="W204" s="1" t="str">
        <f t="shared" si="26"/>
        <v/>
      </c>
      <c r="X204" s="1">
        <v>33</v>
      </c>
      <c r="Y204" s="64" t="str">
        <f>IFERROR(INDEX(입력!$M$2:$M$500, MATCH($BO204, 입력!$Z$2:$Z$500, 0)) &amp; "", "")</f>
        <v/>
      </c>
      <c r="Z204" s="64" t="str">
        <f>IFERROR(INDEX(입력!$N$2:$N$500, MATCH($BO204, 입력!$Z$2:$Z$500, 0)) &amp; "", "")</f>
        <v/>
      </c>
      <c r="AA204" s="64">
        <f>MAX(0, 표1[[#This Row],[의무_시설]]-표1[[#This Row],[시설합]])</f>
        <v>0</v>
      </c>
      <c r="AB204" s="17" t="str">
        <f t="shared" si="31"/>
        <v>이행완료</v>
      </c>
      <c r="AC204" s="64" t="str">
        <f>IFERROR(INDEX(입력!$P$2:$P$500, MATCH($BO204, 입력!$Z$2:$Z$500, 0)) &amp; "", "")</f>
        <v/>
      </c>
      <c r="AD204" s="64" t="str">
        <f>IFERROR(INDEX(입력!$Q$2:$Q$500, MATCH($BO204, 입력!$Z$2:$Z$500, 0)) &amp; "", "")</f>
        <v/>
      </c>
      <c r="AE204" s="64" t="str">
        <f>IFERROR(INDEX(입력!$R$2:$R$500, MATCH($BO204, 입력!$Z$2:$Z$500, 0)) &amp; "", "")</f>
        <v/>
      </c>
      <c r="AF204" s="64" t="str">
        <f>IFERROR(INDEX(입력!$S$2:$S$500, MATCH($BO204, 입력!$Z$2:$Z$500, 0)) &amp; "", "")</f>
        <v/>
      </c>
      <c r="AG204" s="64" t="str">
        <f>IFERROR(INDEX(입력!$T$2:$T$500, MATCH($BO204, 입력!$Z$2:$Z$500, 0)) &amp; "", "")</f>
        <v/>
      </c>
      <c r="AH204" s="64" t="str">
        <f>IFERROR(INDEX(입력!$U$2:$U$500, MATCH($BO204, 입력!$Z$2:$Z$500, 0)) &amp; "", "")</f>
        <v/>
      </c>
      <c r="AI204" s="64" t="str">
        <f>IFERROR(INDEX(입력!$V$2:$V$500, MATCH($BO204, 입력!$Z$2:$Z$500, 0)) &amp; "", "")</f>
        <v/>
      </c>
      <c r="AJ204" s="44" t="str">
        <f>IFERROR(INDEX(입력!$W$2:$W$500, MATCH($BO204, 입력!$Z$2:$Z$500, 0)) &amp; "", "")</f>
        <v/>
      </c>
      <c r="AK204" s="44" t="str">
        <f>IFERROR(INDEX(입력!$X$2:$X$500, MATCH($BO204, 입력!$Z$2:$Z$500, 0)) &amp; "", "")</f>
        <v/>
      </c>
      <c r="AL204" s="2"/>
      <c r="AM204" s="17" t="s">
        <v>1650</v>
      </c>
      <c r="AN204" s="101">
        <v>2025</v>
      </c>
      <c r="AO204" s="17" t="s">
        <v>3275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3137</v>
      </c>
      <c r="AZ204" s="71" t="str">
        <f>IFERROR(IF(INDEX(입력!$C$2:$C$500, MATCH($BO204, 입력!$Z$2:$Z$500, 0))="", "", TEXT(INDEX(입력!$C$2:$C$500, MATCH($BO204, 입력!$Z$2:$Z$500, 0)), "yyyy-mm-dd")), "")</f>
        <v/>
      </c>
      <c r="BA204" s="44" t="str">
        <f>IFERROR(INDEX(입력!$B$2:$B$500, MATCH($BO204, 입력!$Z$2:$Z$500, 0)) &amp; "", "")</f>
        <v/>
      </c>
      <c r="BB204" s="83" t="str">
        <f>IFERROR(INDEX(입력!$Y$2:$Y$500, MATCH($BO204, 입력!$Z$2:$Z$500, 0)) &amp; "", "")</f>
        <v/>
      </c>
      <c r="BC204" s="83" t="s">
        <v>3112</v>
      </c>
      <c r="BD204" s="83"/>
      <c r="BE204" s="101"/>
      <c r="BF204" s="101"/>
      <c r="BG204" s="101"/>
      <c r="BH204" s="101"/>
      <c r="BI204" s="101"/>
      <c r="BJ204" s="101"/>
      <c r="BK204" s="110"/>
      <c r="BL204" s="21"/>
      <c r="BM204" s="22">
        <v>1624</v>
      </c>
      <c r="BN204" s="23"/>
      <c r="BO204" s="47" t="s">
        <v>526</v>
      </c>
    </row>
    <row r="205" spans="1:67" x14ac:dyDescent="0.45">
      <c r="A205" s="19">
        <v>204</v>
      </c>
      <c r="B205" s="1" t="s">
        <v>1647</v>
      </c>
      <c r="C205" s="17" t="str">
        <f t="shared" si="27"/>
        <v>이행완료</v>
      </c>
      <c r="D205" s="17" t="str">
        <f t="shared" si="30"/>
        <v/>
      </c>
      <c r="E205" s="2" t="s">
        <v>1710</v>
      </c>
      <c r="F205" s="1" t="s">
        <v>527</v>
      </c>
      <c r="G205" s="11" t="s">
        <v>1711</v>
      </c>
      <c r="H205" s="18" t="s">
        <v>1105</v>
      </c>
      <c r="I205" s="19">
        <v>735</v>
      </c>
      <c r="J205" s="2"/>
      <c r="K205" s="20" t="s">
        <v>2445</v>
      </c>
      <c r="L205" s="20"/>
      <c r="M205" s="17" t="str">
        <f t="shared" si="28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MATCH($BO205, 입력!$Z$2:$Z$500, 0)) &amp; "", "")</f>
        <v/>
      </c>
      <c r="S205" s="64" t="str">
        <f>IFERROR(INDEX(입력!$K$2:$K$500, MATCH($BO205,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9"/>
        <v>15</v>
      </c>
      <c r="W205" s="1" t="str">
        <f t="shared" si="26"/>
        <v/>
      </c>
      <c r="X205" s="1">
        <v>21</v>
      </c>
      <c r="Y205" s="64" t="str">
        <f>IFERROR(INDEX(입력!$M$2:$M$500, MATCH($BO205, 입력!$Z$2:$Z$500, 0)) &amp; "", "")</f>
        <v/>
      </c>
      <c r="Z205" s="64" t="str">
        <f>IFERROR(INDEX(입력!$N$2:$N$500, MATCH($BO205, 입력!$Z$2:$Z$500, 0)) &amp; "", "")</f>
        <v/>
      </c>
      <c r="AA205" s="64">
        <f>MAX(0, 표1[[#This Row],[의무_시설]]-표1[[#This Row],[시설합]])</f>
        <v>0</v>
      </c>
      <c r="AB205" s="17" t="str">
        <f t="shared" si="31"/>
        <v>이행완료</v>
      </c>
      <c r="AC205" s="64" t="str">
        <f>IFERROR(INDEX(입력!$P$2:$P$500, MATCH($BO205, 입력!$Z$2:$Z$500, 0)) &amp; "", "")</f>
        <v/>
      </c>
      <c r="AD205" s="64" t="str">
        <f>IFERROR(INDEX(입력!$Q$2:$Q$500, MATCH($BO205, 입력!$Z$2:$Z$500, 0)) &amp; "", "")</f>
        <v/>
      </c>
      <c r="AE205" s="64" t="str">
        <f>IFERROR(INDEX(입력!$R$2:$R$500, MATCH($BO205, 입력!$Z$2:$Z$500, 0)) &amp; "", "")</f>
        <v/>
      </c>
      <c r="AF205" s="64" t="str">
        <f>IFERROR(INDEX(입력!$S$2:$S$500, MATCH($BO205, 입력!$Z$2:$Z$500, 0)) &amp; "", "")</f>
        <v/>
      </c>
      <c r="AG205" s="64" t="str">
        <f>IFERROR(INDEX(입력!$T$2:$T$500, MATCH($BO205, 입력!$Z$2:$Z$500, 0)) &amp; "", "")</f>
        <v/>
      </c>
      <c r="AH205" s="64" t="str">
        <f>IFERROR(INDEX(입력!$U$2:$U$500, MATCH($BO205, 입력!$Z$2:$Z$500, 0)) &amp; "", "")</f>
        <v/>
      </c>
      <c r="AI205" s="64" t="str">
        <f>IFERROR(INDEX(입력!$V$2:$V$500, MATCH($BO205, 입력!$Z$2:$Z$500, 0)) &amp; "", "")</f>
        <v/>
      </c>
      <c r="AJ205" s="44" t="str">
        <f>IFERROR(INDEX(입력!$W$2:$W$500, MATCH($BO205, 입력!$Z$2:$Z$500, 0)) &amp; "", "")</f>
        <v/>
      </c>
      <c r="AK205" s="44" t="str">
        <f>IFERROR(INDEX(입력!$X$2:$X$500, MATCH($BO205, 입력!$Z$2:$Z$500, 0)) &amp; "", "")</f>
        <v/>
      </c>
      <c r="AL205" s="2"/>
      <c r="AM205" s="17" t="s">
        <v>1650</v>
      </c>
      <c r="AN205" s="101">
        <v>2025</v>
      </c>
      <c r="AO205" s="17" t="s">
        <v>3277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3131</v>
      </c>
      <c r="AZ205" s="71" t="str">
        <f>IFERROR(IF(INDEX(입력!$C$2:$C$500, MATCH($BO205, 입력!$Z$2:$Z$500, 0))="", "", TEXT(INDEX(입력!$C$2:$C$500, MATCH($BO205, 입력!$Z$2:$Z$500, 0)), "yyyy-mm-dd")), "")</f>
        <v/>
      </c>
      <c r="BA205" s="44" t="str">
        <f>IFERROR(INDEX(입력!$B$2:$B$500, MATCH($BO205, 입력!$Z$2:$Z$500, 0)) &amp; "", "")</f>
        <v/>
      </c>
      <c r="BB205" s="83" t="str">
        <f>IFERROR(INDEX(입력!$Y$2:$Y$500, MATCH($BO205, 입력!$Z$2:$Z$500, 0)) &amp; "", "")</f>
        <v/>
      </c>
      <c r="BC205" s="83" t="s">
        <v>3112</v>
      </c>
      <c r="BD205" s="83"/>
      <c r="BE205" s="101"/>
      <c r="BF205" s="101"/>
      <c r="BG205" s="101"/>
      <c r="BH205" s="101"/>
      <c r="BI205" s="101"/>
      <c r="BJ205" s="101"/>
      <c r="BK205" s="110"/>
      <c r="BL205" s="21"/>
      <c r="BM205" s="22">
        <v>729</v>
      </c>
      <c r="BN205" s="23"/>
      <c r="BO205" s="47" t="s">
        <v>528</v>
      </c>
    </row>
    <row r="206" spans="1:67" x14ac:dyDescent="0.45">
      <c r="A206" s="46">
        <v>205</v>
      </c>
      <c r="B206" s="1" t="s">
        <v>1647</v>
      </c>
      <c r="C206" s="17" t="str">
        <f t="shared" si="27"/>
        <v>이행완료</v>
      </c>
      <c r="D206" s="17" t="str">
        <f t="shared" si="30"/>
        <v>조사완료</v>
      </c>
      <c r="E206" s="2" t="s">
        <v>1712</v>
      </c>
      <c r="F206" s="1" t="s">
        <v>529</v>
      </c>
      <c r="G206" s="11" t="s">
        <v>1713</v>
      </c>
      <c r="H206" s="18" t="s">
        <v>1056</v>
      </c>
      <c r="I206" s="19">
        <v>445</v>
      </c>
      <c r="J206" s="2"/>
      <c r="K206" s="20" t="s">
        <v>2514</v>
      </c>
      <c r="L206" s="20"/>
      <c r="M206" s="17" t="str">
        <f t="shared" si="28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MATCH($BO206, 입력!$Z$2:$Z$500, 0)) &amp; "", "")</f>
        <v>9</v>
      </c>
      <c r="S206" s="64" t="str">
        <f>IFERROR(INDEX(입력!$K$2:$K$500, MATCH($BO206,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9"/>
        <v>9</v>
      </c>
      <c r="W206" s="1" t="str">
        <f t="shared" si="26"/>
        <v/>
      </c>
      <c r="X206" s="1">
        <v>10</v>
      </c>
      <c r="Y206" s="64" t="str">
        <f>IFERROR(INDEX(입력!$M$2:$M$500, MATCH($BO206, 입력!$Z$2:$Z$500, 0)) &amp; "", "")</f>
        <v/>
      </c>
      <c r="Z206" s="64" t="str">
        <f>IFERROR(INDEX(입력!$N$2:$N$500, MATCH($BO206,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1"/>
        <v>이행완료</v>
      </c>
      <c r="AC206" s="64" t="str">
        <f>IFERROR(INDEX(입력!$P$2:$P$500, MATCH($BO206, 입력!$Z$2:$Z$500, 0)) &amp; "", "")</f>
        <v>237</v>
      </c>
      <c r="AD206" s="64" t="str">
        <f>IFERROR(INDEX(입력!$Q$2:$Q$500, MATCH($BO206, 입력!$Z$2:$Z$500, 0)) &amp; "", "")</f>
        <v/>
      </c>
      <c r="AE206" s="64" t="str">
        <f>IFERROR(INDEX(입력!$R$2:$R$500, MATCH($BO206, 입력!$Z$2:$Z$500, 0)) &amp; "", "")</f>
        <v>여</v>
      </c>
      <c r="AF206" s="64" t="str">
        <f>IFERROR(INDEX(입력!$S$2:$S$500, MATCH($BO206, 입력!$Z$2:$Z$500, 0)) &amp; "", "")</f>
        <v>여</v>
      </c>
      <c r="AG206" s="64" t="str">
        <f>IFERROR(INDEX(입력!$T$2:$T$500, MATCH($BO206, 입력!$Z$2:$Z$500, 0)) &amp; "", "")</f>
        <v>부</v>
      </c>
      <c r="AH206" s="64" t="str">
        <f>IFERROR(INDEX(입력!$U$2:$U$500, MATCH($BO206, 입력!$Z$2:$Z$500, 0)) &amp; "", "")</f>
        <v/>
      </c>
      <c r="AI206" s="64" t="str">
        <f>IFERROR(INDEX(입력!$V$2:$V$500, MATCH($BO206, 입력!$Z$2:$Z$500, 0)) &amp; "", "")</f>
        <v>여</v>
      </c>
      <c r="AJ206" s="44" t="str">
        <f>IFERROR(INDEX(입력!$W$2:$W$500, MATCH($BO206, 입력!$Z$2:$Z$500, 0)) &amp; "", "")</f>
        <v>이승용</v>
      </c>
      <c r="AK206" s="44" t="str">
        <f>IFERROR(INDEX(입력!$X$2:$X$500, MATCH($BO206, 입력!$Z$2:$Z$500, 0)) &amp; "", "")</f>
        <v>010-4245-5255</v>
      </c>
      <c r="AL206" s="2" t="s">
        <v>1714</v>
      </c>
      <c r="AM206" s="17" t="s">
        <v>1650</v>
      </c>
      <c r="AN206" s="101">
        <v>2025</v>
      </c>
      <c r="AO206" s="17" t="s">
        <v>3275</v>
      </c>
      <c r="AP206" s="118"/>
      <c r="AQ206" s="21"/>
      <c r="AR206" s="119"/>
      <c r="AS206" s="101" t="s">
        <v>3163</v>
      </c>
      <c r="AT206" s="109">
        <v>46034</v>
      </c>
      <c r="AU206" s="101" t="s">
        <v>3126</v>
      </c>
      <c r="AV206" s="21" t="s">
        <v>1715</v>
      </c>
      <c r="AW206" s="120"/>
      <c r="AX206" s="119" t="s">
        <v>1716</v>
      </c>
      <c r="AY206" s="83" t="s">
        <v>3131</v>
      </c>
      <c r="AZ206" s="71" t="str">
        <f>IFERROR(IF(INDEX(입력!$C$2:$C$500, MATCH($BO206, 입력!$Z$2:$Z$500, 0))="", "", TEXT(INDEX(입력!$C$2:$C$500, MATCH($BO206, 입력!$Z$2:$Z$500, 0)), "yyyy-mm-dd")), "")</f>
        <v>2026-04-08</v>
      </c>
      <c r="BA206" s="44" t="str">
        <f>IFERROR(INDEX(입력!$B$2:$B$500, MATCH($BO206, 입력!$Z$2:$Z$500, 0)) &amp; "", "")</f>
        <v>정은진</v>
      </c>
      <c r="BB206" s="83" t="str">
        <f>IFERROR(INDEX(입력!$Y$2:$Y$500, MATCH($BO206, 입력!$Z$2:$Z$500, 0)) &amp; "", "")</f>
        <v/>
      </c>
      <c r="BC206" s="83" t="s">
        <v>3112</v>
      </c>
      <c r="BD206" s="83"/>
      <c r="BE206" s="101"/>
      <c r="BF206" s="101"/>
      <c r="BG206" s="101"/>
      <c r="BH206" s="101"/>
      <c r="BI206" s="101"/>
      <c r="BJ206" s="101"/>
      <c r="BK206" s="110"/>
      <c r="BL206" s="21"/>
      <c r="BM206" s="22">
        <v>437</v>
      </c>
      <c r="BN206" s="23"/>
      <c r="BO206" s="47" t="s">
        <v>530</v>
      </c>
    </row>
    <row r="207" spans="1:67" x14ac:dyDescent="0.45">
      <c r="A207" s="19">
        <v>206</v>
      </c>
      <c r="B207" s="1" t="s">
        <v>1647</v>
      </c>
      <c r="C207" s="17" t="str">
        <f t="shared" si="27"/>
        <v>이행완료</v>
      </c>
      <c r="D207" s="17" t="str">
        <f t="shared" si="30"/>
        <v/>
      </c>
      <c r="E207" s="2" t="s">
        <v>1717</v>
      </c>
      <c r="F207" s="1" t="s">
        <v>531</v>
      </c>
      <c r="G207" s="12" t="s">
        <v>1718</v>
      </c>
      <c r="H207" s="18" t="s">
        <v>1133</v>
      </c>
      <c r="I207" s="19">
        <v>412</v>
      </c>
      <c r="J207" s="2"/>
      <c r="K207" s="20" t="s">
        <v>2491</v>
      </c>
      <c r="L207" s="20"/>
      <c r="M207" s="17" t="str">
        <f t="shared" si="28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MATCH($BO207, 입력!$Z$2:$Z$500, 0)) &amp; "", "")</f>
        <v/>
      </c>
      <c r="S207" s="64" t="str">
        <f>IFERROR(INDEX(입력!$K$2:$K$500, MATCH($BO207,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9"/>
        <v>8</v>
      </c>
      <c r="W207" s="1" t="str">
        <f t="shared" si="26"/>
        <v/>
      </c>
      <c r="X207" s="1">
        <v>12</v>
      </c>
      <c r="Y207" s="64" t="str">
        <f>IFERROR(INDEX(입력!$M$2:$M$500, MATCH($BO207, 입력!$Z$2:$Z$500, 0)) &amp; "", "")</f>
        <v/>
      </c>
      <c r="Z207" s="64" t="str">
        <f>IFERROR(INDEX(입력!$N$2:$N$500, MATCH($BO207, 입력!$Z$2:$Z$500, 0)) &amp; "", "")</f>
        <v/>
      </c>
      <c r="AA207" s="64">
        <f>MAX(0, 표1[[#This Row],[의무_시설]]-표1[[#This Row],[시설합]])</f>
        <v>0</v>
      </c>
      <c r="AB207" s="17" t="str">
        <f t="shared" si="31"/>
        <v>이행완료</v>
      </c>
      <c r="AC207" s="64" t="str">
        <f>IFERROR(INDEX(입력!$P$2:$P$500, MATCH($BO207, 입력!$Z$2:$Z$500, 0)) &amp; "", "")</f>
        <v/>
      </c>
      <c r="AD207" s="64" t="str">
        <f>IFERROR(INDEX(입력!$Q$2:$Q$500, MATCH($BO207, 입력!$Z$2:$Z$500, 0)) &amp; "", "")</f>
        <v/>
      </c>
      <c r="AE207" s="64" t="str">
        <f>IFERROR(INDEX(입력!$R$2:$R$500, MATCH($BO207, 입력!$Z$2:$Z$500, 0)) &amp; "", "")</f>
        <v/>
      </c>
      <c r="AF207" s="64" t="str">
        <f>IFERROR(INDEX(입력!$S$2:$S$500, MATCH($BO207, 입력!$Z$2:$Z$500, 0)) &amp; "", "")</f>
        <v/>
      </c>
      <c r="AG207" s="64" t="str">
        <f>IFERROR(INDEX(입력!$T$2:$T$500, MATCH($BO207, 입력!$Z$2:$Z$500, 0)) &amp; "", "")</f>
        <v/>
      </c>
      <c r="AH207" s="64" t="str">
        <f>IFERROR(INDEX(입력!$U$2:$U$500, MATCH($BO207, 입력!$Z$2:$Z$500, 0)) &amp; "", "")</f>
        <v/>
      </c>
      <c r="AI207" s="64" t="str">
        <f>IFERROR(INDEX(입력!$V$2:$V$500, MATCH($BO207, 입력!$Z$2:$Z$500, 0)) &amp; "", "")</f>
        <v/>
      </c>
      <c r="AJ207" s="44" t="str">
        <f>IFERROR(INDEX(입력!$W$2:$W$500, MATCH($BO207, 입력!$Z$2:$Z$500, 0)) &amp; "", "")</f>
        <v/>
      </c>
      <c r="AK207" s="44" t="str">
        <f>IFERROR(INDEX(입력!$X$2:$X$500, MATCH($BO207, 입력!$Z$2:$Z$500, 0)) &amp; "", "")</f>
        <v/>
      </c>
      <c r="AL207" s="2"/>
      <c r="AM207" s="17" t="s">
        <v>1650</v>
      </c>
      <c r="AN207" s="101">
        <v>2025</v>
      </c>
      <c r="AO207" s="17" t="s">
        <v>3275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3137</v>
      </c>
      <c r="AZ207" s="71" t="str">
        <f>IFERROR(IF(INDEX(입력!$C$2:$C$500, MATCH($BO207, 입력!$Z$2:$Z$500, 0))="", "", TEXT(INDEX(입력!$C$2:$C$500, MATCH($BO207, 입력!$Z$2:$Z$500, 0)), "yyyy-mm-dd")), "")</f>
        <v/>
      </c>
      <c r="BA207" s="44" t="str">
        <f>IFERROR(INDEX(입력!$B$2:$B$500, MATCH($BO207, 입력!$Z$2:$Z$500, 0)) &amp; "", "")</f>
        <v/>
      </c>
      <c r="BB207" s="83" t="str">
        <f>IFERROR(INDEX(입력!$Y$2:$Y$500, MATCH($BO207, 입력!$Z$2:$Z$500, 0)) &amp; "", "")</f>
        <v/>
      </c>
      <c r="BC207" s="83" t="s">
        <v>3112</v>
      </c>
      <c r="BD207" s="83"/>
      <c r="BE207" s="101"/>
      <c r="BF207" s="101"/>
      <c r="BG207" s="101"/>
      <c r="BH207" s="101"/>
      <c r="BI207" s="101"/>
      <c r="BJ207" s="101"/>
      <c r="BK207" s="110"/>
      <c r="BL207" s="21"/>
      <c r="BM207" s="22">
        <v>408</v>
      </c>
      <c r="BN207" s="23"/>
      <c r="BO207" s="47" t="s">
        <v>532</v>
      </c>
    </row>
    <row r="208" spans="1:67" x14ac:dyDescent="0.45">
      <c r="A208" s="46">
        <v>207</v>
      </c>
      <c r="B208" s="1" t="s">
        <v>1647</v>
      </c>
      <c r="C208" s="17" t="str">
        <f t="shared" si="27"/>
        <v>이행완료</v>
      </c>
      <c r="D208" s="17" t="str">
        <f t="shared" si="30"/>
        <v/>
      </c>
      <c r="E208" s="2" t="s">
        <v>1719</v>
      </c>
      <c r="F208" s="1" t="s">
        <v>533</v>
      </c>
      <c r="G208" s="13" t="s">
        <v>1720</v>
      </c>
      <c r="H208" s="18" t="s">
        <v>1056</v>
      </c>
      <c r="I208" s="19">
        <v>1078</v>
      </c>
      <c r="J208" s="2"/>
      <c r="K208" s="20" t="s">
        <v>2446</v>
      </c>
      <c r="L208" s="20"/>
      <c r="M208" s="17" t="str">
        <f t="shared" si="28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MATCH($BO208, 입력!$Z$2:$Z$500, 0)) &amp; "", "")</f>
        <v/>
      </c>
      <c r="S208" s="64" t="str">
        <f>IFERROR(INDEX(입력!$K$2:$K$500, MATCH($BO208, 입력!$Z$2:$Z$500, 0)) &amp; "", "")</f>
        <v/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9"/>
        <v>22</v>
      </c>
      <c r="W208" s="1" t="str">
        <f t="shared" si="26"/>
        <v/>
      </c>
      <c r="X208" s="1">
        <v>22</v>
      </c>
      <c r="Y208" s="64" t="str">
        <f>IFERROR(INDEX(입력!$M$2:$M$500, MATCH($BO208, 입력!$Z$2:$Z$500, 0)) &amp; "", "")</f>
        <v/>
      </c>
      <c r="Z208" s="64" t="str">
        <f>IFERROR(INDEX(입력!$N$2:$N$500, MATCH($BO208, 입력!$Z$2:$Z$500, 0)) &amp; "", "")</f>
        <v/>
      </c>
      <c r="AA208" s="64">
        <f>MAX(0, 표1[[#This Row],[의무_시설]]-표1[[#This Row],[시설합]])</f>
        <v>0</v>
      </c>
      <c r="AB208" s="17" t="str">
        <f t="shared" si="31"/>
        <v>이행완료</v>
      </c>
      <c r="AC208" s="64" t="str">
        <f>IFERROR(INDEX(입력!$P$2:$P$500, MATCH($BO208, 입력!$Z$2:$Z$500, 0)) &amp; "", "")</f>
        <v/>
      </c>
      <c r="AD208" s="64" t="str">
        <f>IFERROR(INDEX(입력!$Q$2:$Q$500, MATCH($BO208, 입력!$Z$2:$Z$500, 0)) &amp; "", "")</f>
        <v/>
      </c>
      <c r="AE208" s="64" t="str">
        <f>IFERROR(INDEX(입력!$R$2:$R$500, MATCH($BO208, 입력!$Z$2:$Z$500, 0)) &amp; "", "")</f>
        <v/>
      </c>
      <c r="AF208" s="64" t="str">
        <f>IFERROR(INDEX(입력!$S$2:$S$500, MATCH($BO208, 입력!$Z$2:$Z$500, 0)) &amp; "", "")</f>
        <v/>
      </c>
      <c r="AG208" s="64" t="str">
        <f>IFERROR(INDEX(입력!$T$2:$T$500, MATCH($BO208, 입력!$Z$2:$Z$500, 0)) &amp; "", "")</f>
        <v/>
      </c>
      <c r="AH208" s="64" t="str">
        <f>IFERROR(INDEX(입력!$U$2:$U$500, MATCH($BO208, 입력!$Z$2:$Z$500, 0)) &amp; "", "")</f>
        <v/>
      </c>
      <c r="AI208" s="64" t="str">
        <f>IFERROR(INDEX(입력!$V$2:$V$500, MATCH($BO208, 입력!$Z$2:$Z$500, 0)) &amp; "", "")</f>
        <v/>
      </c>
      <c r="AJ208" s="44" t="str">
        <f>IFERROR(INDEX(입력!$W$2:$W$500, MATCH($BO208, 입력!$Z$2:$Z$500, 0)) &amp; "", "")</f>
        <v/>
      </c>
      <c r="AK208" s="44" t="str">
        <f>IFERROR(INDEX(입력!$X$2:$X$500, MATCH($BO208, 입력!$Z$2:$Z$500, 0)) &amp; "", "")</f>
        <v/>
      </c>
      <c r="AL208" s="2"/>
      <c r="AM208" s="17" t="s">
        <v>1650</v>
      </c>
      <c r="AN208" s="101">
        <v>2025</v>
      </c>
      <c r="AO208" s="17" t="s">
        <v>3275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3137</v>
      </c>
      <c r="AZ208" s="71" t="str">
        <f>IFERROR(IF(INDEX(입력!$C$2:$C$500, MATCH($BO208, 입력!$Z$2:$Z$500, 0))="", "", TEXT(INDEX(입력!$C$2:$C$500, MATCH($BO208, 입력!$Z$2:$Z$500, 0)), "yyyy-mm-dd")), "")</f>
        <v/>
      </c>
      <c r="BA208" s="44" t="str">
        <f>IFERROR(INDEX(입력!$B$2:$B$500, MATCH($BO208, 입력!$Z$2:$Z$500, 0)) &amp; "", "")</f>
        <v/>
      </c>
      <c r="BB208" s="83" t="str">
        <f>IFERROR(INDEX(입력!$Y$2:$Y$500, MATCH($BO208, 입력!$Z$2:$Z$500, 0)) &amp; "", "")</f>
        <v/>
      </c>
      <c r="BC208" s="83" t="s">
        <v>3112</v>
      </c>
      <c r="BD208" s="83"/>
      <c r="BE208" s="101"/>
      <c r="BF208" s="101"/>
      <c r="BG208" s="101"/>
      <c r="BH208" s="101"/>
      <c r="BI208" s="101"/>
      <c r="BJ208" s="101"/>
      <c r="BK208" s="110"/>
      <c r="BL208" s="21"/>
      <c r="BM208" s="22">
        <v>1078</v>
      </c>
      <c r="BN208" s="23"/>
      <c r="BO208" s="47" t="s">
        <v>534</v>
      </c>
    </row>
    <row r="209" spans="1:67" x14ac:dyDescent="0.45">
      <c r="A209" s="19">
        <v>208</v>
      </c>
      <c r="B209" s="1" t="s">
        <v>1647</v>
      </c>
      <c r="C209" s="17" t="str">
        <f t="shared" si="27"/>
        <v>이행완료</v>
      </c>
      <c r="D209" s="17" t="str">
        <f t="shared" si="30"/>
        <v/>
      </c>
      <c r="E209" s="2" t="s">
        <v>1721</v>
      </c>
      <c r="F209" s="1" t="s">
        <v>535</v>
      </c>
      <c r="G209" s="12" t="s">
        <v>1722</v>
      </c>
      <c r="H209" s="18" t="s">
        <v>1172</v>
      </c>
      <c r="I209" s="19">
        <v>804</v>
      </c>
      <c r="J209" s="2"/>
      <c r="K209" s="20" t="s">
        <v>2447</v>
      </c>
      <c r="L209" s="20"/>
      <c r="M209" s="17" t="str">
        <f t="shared" si="28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MATCH($BO209, 입력!$Z$2:$Z$500, 0)) &amp; "", "")</f>
        <v/>
      </c>
      <c r="S209" s="64" t="str">
        <f>IFERROR(INDEX(입력!$K$2:$K$500, MATCH($BO209,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9"/>
        <v>16</v>
      </c>
      <c r="W209" s="1" t="str">
        <f t="shared" si="26"/>
        <v/>
      </c>
      <c r="X209" s="1">
        <v>41</v>
      </c>
      <c r="Y209" s="64" t="str">
        <f>IFERROR(INDEX(입력!$M$2:$M$500, MATCH($BO209, 입력!$Z$2:$Z$500, 0)) &amp; "", "")</f>
        <v/>
      </c>
      <c r="Z209" s="64" t="str">
        <f>IFERROR(INDEX(입력!$N$2:$N$500, MATCH($BO209, 입력!$Z$2:$Z$500, 0)) &amp; "", "")</f>
        <v/>
      </c>
      <c r="AA209" s="64">
        <f>MAX(0, 표1[[#This Row],[의무_시설]]-표1[[#This Row],[시설합]])</f>
        <v>0</v>
      </c>
      <c r="AB209" s="17" t="str">
        <f t="shared" si="31"/>
        <v>이행완료</v>
      </c>
      <c r="AC209" s="64" t="str">
        <f>IFERROR(INDEX(입력!$P$2:$P$500, MATCH($BO209, 입력!$Z$2:$Z$500, 0)) &amp; "", "")</f>
        <v/>
      </c>
      <c r="AD209" s="64" t="str">
        <f>IFERROR(INDEX(입력!$Q$2:$Q$500, MATCH($BO209, 입력!$Z$2:$Z$500, 0)) &amp; "", "")</f>
        <v/>
      </c>
      <c r="AE209" s="64" t="str">
        <f>IFERROR(INDEX(입력!$R$2:$R$500, MATCH($BO209, 입력!$Z$2:$Z$500, 0)) &amp; "", "")</f>
        <v/>
      </c>
      <c r="AF209" s="64" t="str">
        <f>IFERROR(INDEX(입력!$S$2:$S$500, MATCH($BO209, 입력!$Z$2:$Z$500, 0)) &amp; "", "")</f>
        <v/>
      </c>
      <c r="AG209" s="64" t="str">
        <f>IFERROR(INDEX(입력!$T$2:$T$500, MATCH($BO209, 입력!$Z$2:$Z$500, 0)) &amp; "", "")</f>
        <v/>
      </c>
      <c r="AH209" s="64" t="str">
        <f>IFERROR(INDEX(입력!$U$2:$U$500, MATCH($BO209, 입력!$Z$2:$Z$500, 0)) &amp; "", "")</f>
        <v/>
      </c>
      <c r="AI209" s="64" t="str">
        <f>IFERROR(INDEX(입력!$V$2:$V$500, MATCH($BO209, 입력!$Z$2:$Z$500, 0)) &amp; "", "")</f>
        <v/>
      </c>
      <c r="AJ209" s="44" t="str">
        <f>IFERROR(INDEX(입력!$W$2:$W$500, MATCH($BO209, 입력!$Z$2:$Z$500, 0)) &amp; "", "")</f>
        <v/>
      </c>
      <c r="AK209" s="44" t="str">
        <f>IFERROR(INDEX(입력!$X$2:$X$500, MATCH($BO209, 입력!$Z$2:$Z$500, 0)) &amp; "", "")</f>
        <v/>
      </c>
      <c r="AL209" s="2"/>
      <c r="AM209" s="17" t="s">
        <v>1650</v>
      </c>
      <c r="AN209" s="101">
        <v>2025</v>
      </c>
      <c r="AO209" s="17" t="s">
        <v>3275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3137</v>
      </c>
      <c r="AZ209" s="71" t="str">
        <f>IFERROR(IF(INDEX(입력!$C$2:$C$500, MATCH($BO209, 입력!$Z$2:$Z$500, 0))="", "", TEXT(INDEX(입력!$C$2:$C$500, MATCH($BO209, 입력!$Z$2:$Z$500, 0)), "yyyy-mm-dd")), "")</f>
        <v/>
      </c>
      <c r="BA209" s="44" t="str">
        <f>IFERROR(INDEX(입력!$B$2:$B$500, MATCH($BO209, 입력!$Z$2:$Z$500, 0)) &amp; "", "")</f>
        <v/>
      </c>
      <c r="BB209" s="83" t="str">
        <f>IFERROR(INDEX(입력!$Y$2:$Y$500, MATCH($BO209, 입력!$Z$2:$Z$500, 0)) &amp; "", "")</f>
        <v/>
      </c>
      <c r="BC209" s="83" t="s">
        <v>3112</v>
      </c>
      <c r="BD209" s="83"/>
      <c r="BE209" s="101"/>
      <c r="BF209" s="101"/>
      <c r="BG209" s="101"/>
      <c r="BH209" s="101"/>
      <c r="BI209" s="101"/>
      <c r="BJ209" s="101"/>
      <c r="BK209" s="110"/>
      <c r="BL209" s="21"/>
      <c r="BM209" s="22">
        <v>724</v>
      </c>
      <c r="BN209" s="23"/>
      <c r="BO209" s="47" t="s">
        <v>536</v>
      </c>
    </row>
    <row r="210" spans="1:67" x14ac:dyDescent="0.45">
      <c r="A210" s="46">
        <v>209</v>
      </c>
      <c r="B210" s="1" t="s">
        <v>1647</v>
      </c>
      <c r="C210" s="17" t="str">
        <f t="shared" si="27"/>
        <v>이행완료</v>
      </c>
      <c r="D210" s="17" t="str">
        <f t="shared" si="30"/>
        <v/>
      </c>
      <c r="E210" s="2" t="s">
        <v>1723</v>
      </c>
      <c r="F210" s="1" t="s">
        <v>537</v>
      </c>
      <c r="G210" s="12" t="s">
        <v>1724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8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MATCH($BO210, 입력!$Z$2:$Z$500, 0)) &amp; "", "")</f>
        <v/>
      </c>
      <c r="S210" s="64" t="str">
        <f>IFERROR(INDEX(입력!$K$2:$K$500, MATCH($BO210,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9"/>
        <v>7</v>
      </c>
      <c r="W210" s="1" t="str">
        <f t="shared" si="26"/>
        <v/>
      </c>
      <c r="X210" s="1">
        <v>8</v>
      </c>
      <c r="Y210" s="64" t="str">
        <f>IFERROR(INDEX(입력!$M$2:$M$500, MATCH($BO210, 입력!$Z$2:$Z$500, 0)) &amp; "", "")</f>
        <v/>
      </c>
      <c r="Z210" s="64" t="str">
        <f>IFERROR(INDEX(입력!$N$2:$N$500, MATCH($BO210, 입력!$Z$2:$Z$500, 0)) &amp; "", "")</f>
        <v/>
      </c>
      <c r="AA210" s="64">
        <f>MAX(0, 표1[[#This Row],[의무_시설]]-표1[[#This Row],[시설합]])</f>
        <v>0</v>
      </c>
      <c r="AB210" s="17" t="str">
        <f t="shared" si="31"/>
        <v>이행완료</v>
      </c>
      <c r="AC210" s="64" t="str">
        <f>IFERROR(INDEX(입력!$P$2:$P$500, MATCH($BO210, 입력!$Z$2:$Z$500, 0)) &amp; "", "")</f>
        <v/>
      </c>
      <c r="AD210" s="64" t="str">
        <f>IFERROR(INDEX(입력!$Q$2:$Q$500, MATCH($BO210, 입력!$Z$2:$Z$500, 0)) &amp; "", "")</f>
        <v/>
      </c>
      <c r="AE210" s="64" t="str">
        <f>IFERROR(INDEX(입력!$R$2:$R$500, MATCH($BO210, 입력!$Z$2:$Z$500, 0)) &amp; "", "")</f>
        <v/>
      </c>
      <c r="AF210" s="64" t="str">
        <f>IFERROR(INDEX(입력!$S$2:$S$500, MATCH($BO210, 입력!$Z$2:$Z$500, 0)) &amp; "", "")</f>
        <v/>
      </c>
      <c r="AG210" s="64" t="str">
        <f>IFERROR(INDEX(입력!$T$2:$T$500, MATCH($BO210, 입력!$Z$2:$Z$500, 0)) &amp; "", "")</f>
        <v/>
      </c>
      <c r="AH210" s="64" t="str">
        <f>IFERROR(INDEX(입력!$U$2:$U$500, MATCH($BO210, 입력!$Z$2:$Z$500, 0)) &amp; "", "")</f>
        <v/>
      </c>
      <c r="AI210" s="64" t="str">
        <f>IFERROR(INDEX(입력!$V$2:$V$500, MATCH($BO210, 입력!$Z$2:$Z$500, 0)) &amp; "", "")</f>
        <v/>
      </c>
      <c r="AJ210" s="44" t="str">
        <f>IFERROR(INDEX(입력!$W$2:$W$500, MATCH($BO210, 입력!$Z$2:$Z$500, 0)) &amp; "", "")</f>
        <v/>
      </c>
      <c r="AK210" s="44" t="str">
        <f>IFERROR(INDEX(입력!$X$2:$X$500, MATCH($BO210, 입력!$Z$2:$Z$500, 0)) &amp; "", "")</f>
        <v/>
      </c>
      <c r="AL210" s="2" t="s">
        <v>1725</v>
      </c>
      <c r="AM210" s="17" t="s">
        <v>1650</v>
      </c>
      <c r="AN210" s="101">
        <v>2025</v>
      </c>
      <c r="AO210" s="17" t="s">
        <v>3275</v>
      </c>
      <c r="AP210" s="118"/>
      <c r="AQ210" s="21"/>
      <c r="AR210" s="119"/>
      <c r="AS210" s="101" t="s">
        <v>3124</v>
      </c>
      <c r="AT210" s="109">
        <v>46034</v>
      </c>
      <c r="AU210" s="101" t="s">
        <v>3127</v>
      </c>
      <c r="AV210" s="21" t="s">
        <v>1726</v>
      </c>
      <c r="AW210" s="101"/>
      <c r="AX210" s="119" t="s">
        <v>1727</v>
      </c>
      <c r="AY210" s="83" t="s">
        <v>3137</v>
      </c>
      <c r="AZ210" s="71" t="str">
        <f>IFERROR(IF(INDEX(입력!$C$2:$C$500, MATCH($BO210, 입력!$Z$2:$Z$500, 0))="", "", TEXT(INDEX(입력!$C$2:$C$500, MATCH($BO210, 입력!$Z$2:$Z$500, 0)), "yyyy-mm-dd")), "")</f>
        <v/>
      </c>
      <c r="BA210" s="44" t="str">
        <f>IFERROR(INDEX(입력!$B$2:$B$500, MATCH($BO210, 입력!$Z$2:$Z$500, 0)) &amp; "", "")</f>
        <v/>
      </c>
      <c r="BB210" s="83" t="str">
        <f>IFERROR(INDEX(입력!$Y$2:$Y$500, MATCH($BO210, 입력!$Z$2:$Z$500, 0)) &amp; "", "")</f>
        <v/>
      </c>
      <c r="BC210" s="83" t="s">
        <v>3112</v>
      </c>
      <c r="BD210" s="83"/>
      <c r="BE210" s="101"/>
      <c r="BF210" s="101"/>
      <c r="BG210" s="101"/>
      <c r="BH210" s="101"/>
      <c r="BI210" s="101"/>
      <c r="BJ210" s="101"/>
      <c r="BK210" s="110"/>
      <c r="BL210" s="21"/>
      <c r="BM210" s="22">
        <v>628</v>
      </c>
      <c r="BN210" s="23"/>
      <c r="BO210" s="47" t="s">
        <v>538</v>
      </c>
    </row>
    <row r="211" spans="1:67" x14ac:dyDescent="0.45">
      <c r="A211" s="19">
        <v>210</v>
      </c>
      <c r="B211" s="1" t="s">
        <v>1647</v>
      </c>
      <c r="C211" s="17" t="str">
        <f t="shared" si="27"/>
        <v>이행완료</v>
      </c>
      <c r="D211" s="17" t="str">
        <f t="shared" si="30"/>
        <v/>
      </c>
      <c r="E211" s="2" t="s">
        <v>1728</v>
      </c>
      <c r="F211" s="1" t="s">
        <v>539</v>
      </c>
      <c r="G211" s="12" t="s">
        <v>1729</v>
      </c>
      <c r="H211" s="18" t="s">
        <v>1105</v>
      </c>
      <c r="I211" s="19"/>
      <c r="J211" s="2">
        <v>222</v>
      </c>
      <c r="K211" s="20" t="s">
        <v>2448</v>
      </c>
      <c r="L211" s="20"/>
      <c r="M211" s="17" t="str">
        <f t="shared" si="28"/>
        <v>기축</v>
      </c>
      <c r="N211" s="21"/>
      <c r="O211" s="21"/>
      <c r="P211" s="1">
        <f t="shared" si="24"/>
        <v>4</v>
      </c>
      <c r="Q211" s="1">
        <v>9</v>
      </c>
      <c r="R211" s="64" t="str">
        <f>IFERROR(INDEX(입력!$J$2:$J$500, MATCH($BO211, 입력!$Z$2:$Z$500, 0)) &amp; "", "")</f>
        <v/>
      </c>
      <c r="S211" s="64" t="str">
        <f>IFERROR(INDEX(입력!$K$2:$K$500, MATCH($BO211,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9"/>
        <v>4</v>
      </c>
      <c r="W211" s="1" t="str">
        <f t="shared" si="26"/>
        <v/>
      </c>
      <c r="X211" s="1">
        <v>9</v>
      </c>
      <c r="Y211" s="64" t="str">
        <f>IFERROR(INDEX(입력!$M$2:$M$500, MATCH($BO211, 입력!$Z$2:$Z$500, 0)) &amp; "", "")</f>
        <v/>
      </c>
      <c r="Z211" s="64" t="str">
        <f>IFERROR(INDEX(입력!$N$2:$N$500, MATCH($BO211, 입력!$Z$2:$Z$500, 0)) &amp; "", "")</f>
        <v/>
      </c>
      <c r="AA211" s="64">
        <f>MAX(0, 표1[[#This Row],[의무_시설]]-표1[[#This Row],[시설합]])</f>
        <v>0</v>
      </c>
      <c r="AB211" s="17" t="str">
        <f t="shared" si="31"/>
        <v>이행완료</v>
      </c>
      <c r="AC211" s="64" t="str">
        <f>IFERROR(INDEX(입력!$P$2:$P$500, MATCH($BO211, 입력!$Z$2:$Z$500, 0)) &amp; "", "")</f>
        <v/>
      </c>
      <c r="AD211" s="64" t="str">
        <f>IFERROR(INDEX(입력!$Q$2:$Q$500, MATCH($BO211, 입력!$Z$2:$Z$500, 0)) &amp; "", "")</f>
        <v/>
      </c>
      <c r="AE211" s="64" t="str">
        <f>IFERROR(INDEX(입력!$R$2:$R$500, MATCH($BO211, 입력!$Z$2:$Z$500, 0)) &amp; "", "")</f>
        <v/>
      </c>
      <c r="AF211" s="64" t="str">
        <f>IFERROR(INDEX(입력!$S$2:$S$500, MATCH($BO211, 입력!$Z$2:$Z$500, 0)) &amp; "", "")</f>
        <v/>
      </c>
      <c r="AG211" s="64" t="str">
        <f>IFERROR(INDEX(입력!$T$2:$T$500, MATCH($BO211, 입력!$Z$2:$Z$500, 0)) &amp; "", "")</f>
        <v/>
      </c>
      <c r="AH211" s="64" t="str">
        <f>IFERROR(INDEX(입력!$U$2:$U$500, MATCH($BO211, 입력!$Z$2:$Z$500, 0)) &amp; "", "")</f>
        <v/>
      </c>
      <c r="AI211" s="64" t="str">
        <f>IFERROR(INDEX(입력!$V$2:$V$500, MATCH($BO211, 입력!$Z$2:$Z$500, 0)) &amp; "", "")</f>
        <v/>
      </c>
      <c r="AJ211" s="44" t="str">
        <f>IFERROR(INDEX(입력!$W$2:$W$500, MATCH($BO211, 입력!$Z$2:$Z$500, 0)) &amp; "", "")</f>
        <v/>
      </c>
      <c r="AK211" s="44" t="str">
        <f>IFERROR(INDEX(입력!$X$2:$X$500, MATCH($BO211, 입력!$Z$2:$Z$500, 0)) &amp; "", "")</f>
        <v/>
      </c>
      <c r="AL211" s="2"/>
      <c r="AM211" s="17" t="s">
        <v>1650</v>
      </c>
      <c r="AN211" s="101">
        <v>2025</v>
      </c>
      <c r="AO211" s="17" t="s">
        <v>3274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3131</v>
      </c>
      <c r="AZ211" s="71" t="str">
        <f>IFERROR(IF(INDEX(입력!$C$2:$C$500, MATCH($BO211, 입력!$Z$2:$Z$500, 0))="", "", TEXT(INDEX(입력!$C$2:$C$500, MATCH($BO211, 입력!$Z$2:$Z$500, 0)), "yyyy-mm-dd")), "")</f>
        <v/>
      </c>
      <c r="BA211" s="44" t="str">
        <f>IFERROR(INDEX(입력!$B$2:$B$500, MATCH($BO211, 입력!$Z$2:$Z$500, 0)) &amp; "", "")</f>
        <v/>
      </c>
      <c r="BB211" s="83" t="str">
        <f>IFERROR(INDEX(입력!$Y$2:$Y$500, MATCH($BO211, 입력!$Z$2:$Z$500, 0)) &amp; "", "")</f>
        <v/>
      </c>
      <c r="BC211" s="83" t="s">
        <v>3112</v>
      </c>
      <c r="BD211" s="83"/>
      <c r="BE211" s="101"/>
      <c r="BF211" s="101"/>
      <c r="BG211" s="101"/>
      <c r="BH211" s="101"/>
      <c r="BI211" s="101"/>
      <c r="BJ211" s="101"/>
      <c r="BK211" s="110"/>
      <c r="BL211" s="21"/>
      <c r="BM211" s="22">
        <v>178</v>
      </c>
      <c r="BN211" s="23"/>
      <c r="BO211" s="47" t="s">
        <v>540</v>
      </c>
    </row>
    <row r="212" spans="1:67" x14ac:dyDescent="0.45">
      <c r="A212" s="46">
        <v>211</v>
      </c>
      <c r="B212" s="1" t="s">
        <v>1647</v>
      </c>
      <c r="C212" s="17" t="str">
        <f t="shared" si="27"/>
        <v>이행완료</v>
      </c>
      <c r="D212" s="17" t="str">
        <f t="shared" si="30"/>
        <v/>
      </c>
      <c r="E212" s="2" t="s">
        <v>1730</v>
      </c>
      <c r="F212" s="1" t="s">
        <v>541</v>
      </c>
      <c r="G212" s="14" t="s">
        <v>1731</v>
      </c>
      <c r="H212" s="18" t="s">
        <v>1097</v>
      </c>
      <c r="I212" s="19">
        <v>666</v>
      </c>
      <c r="J212" s="2"/>
      <c r="K212" s="20" t="s">
        <v>2449</v>
      </c>
      <c r="L212" s="20"/>
      <c r="M212" s="17" t="str">
        <f t="shared" si="28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MATCH($BO212, 입력!$Z$2:$Z$500, 0)) &amp; "", "")</f>
        <v/>
      </c>
      <c r="S212" s="64" t="str">
        <f>IFERROR(INDEX(입력!$K$2:$K$500, MATCH($BO212, 입력!$Z$2:$Z$500, 0)) &amp; "", "")</f>
        <v/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9"/>
        <v>13</v>
      </c>
      <c r="W212" s="1" t="str">
        <f t="shared" si="26"/>
        <v/>
      </c>
      <c r="X212" s="1">
        <v>18</v>
      </c>
      <c r="Y212" s="64" t="str">
        <f>IFERROR(INDEX(입력!$M$2:$M$500, MATCH($BO212, 입력!$Z$2:$Z$500, 0)) &amp; "", "")</f>
        <v/>
      </c>
      <c r="Z212" s="64" t="str">
        <f>IFERROR(INDEX(입력!$N$2:$N$500, MATCH($BO212, 입력!$Z$2:$Z$500, 0)) &amp; "", "")</f>
        <v/>
      </c>
      <c r="AA212" s="64">
        <f>MAX(0, 표1[[#This Row],[의무_시설]]-표1[[#This Row],[시설합]])</f>
        <v>0</v>
      </c>
      <c r="AB212" s="17" t="str">
        <f t="shared" si="31"/>
        <v>이행완료</v>
      </c>
      <c r="AC212" s="64" t="str">
        <f>IFERROR(INDEX(입력!$P$2:$P$500, MATCH($BO212, 입력!$Z$2:$Z$500, 0)) &amp; "", "")</f>
        <v/>
      </c>
      <c r="AD212" s="64" t="str">
        <f>IFERROR(INDEX(입력!$Q$2:$Q$500, MATCH($BO212, 입력!$Z$2:$Z$500, 0)) &amp; "", "")</f>
        <v/>
      </c>
      <c r="AE212" s="64" t="str">
        <f>IFERROR(INDEX(입력!$R$2:$R$500, MATCH($BO212, 입력!$Z$2:$Z$500, 0)) &amp; "", "")</f>
        <v/>
      </c>
      <c r="AF212" s="64" t="str">
        <f>IFERROR(INDEX(입력!$S$2:$S$500, MATCH($BO212, 입력!$Z$2:$Z$500, 0)) &amp; "", "")</f>
        <v/>
      </c>
      <c r="AG212" s="64" t="str">
        <f>IFERROR(INDEX(입력!$T$2:$T$500, MATCH($BO212, 입력!$Z$2:$Z$500, 0)) &amp; "", "")</f>
        <v/>
      </c>
      <c r="AH212" s="64" t="str">
        <f>IFERROR(INDEX(입력!$U$2:$U$500, MATCH($BO212, 입력!$Z$2:$Z$500, 0)) &amp; "", "")</f>
        <v/>
      </c>
      <c r="AI212" s="64" t="str">
        <f>IFERROR(INDEX(입력!$V$2:$V$500, MATCH($BO212, 입력!$Z$2:$Z$500, 0)) &amp; "", "")</f>
        <v/>
      </c>
      <c r="AJ212" s="44" t="str">
        <f>IFERROR(INDEX(입력!$W$2:$W$500, MATCH($BO212, 입력!$Z$2:$Z$500, 0)) &amp; "", "")</f>
        <v/>
      </c>
      <c r="AK212" s="44" t="str">
        <f>IFERROR(INDEX(입력!$X$2:$X$500, MATCH($BO212, 입력!$Z$2:$Z$500, 0)) &amp; "", "")</f>
        <v/>
      </c>
      <c r="AL212" s="2"/>
      <c r="AM212" s="17" t="s">
        <v>1650</v>
      </c>
      <c r="AN212" s="101">
        <v>2025</v>
      </c>
      <c r="AO212" s="17" t="s">
        <v>3275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3137</v>
      </c>
      <c r="AZ212" s="71" t="str">
        <f>IFERROR(IF(INDEX(입력!$C$2:$C$500, MATCH($BO212, 입력!$Z$2:$Z$500, 0))="", "", TEXT(INDEX(입력!$C$2:$C$500, MATCH($BO212, 입력!$Z$2:$Z$500, 0)), "yyyy-mm-dd")), "")</f>
        <v/>
      </c>
      <c r="BA212" s="44" t="str">
        <f>IFERROR(INDEX(입력!$B$2:$B$500, MATCH($BO212, 입력!$Z$2:$Z$500, 0)) &amp; "", "")</f>
        <v/>
      </c>
      <c r="BB212" s="83" t="str">
        <f>IFERROR(INDEX(입력!$Y$2:$Y$500, MATCH($BO212, 입력!$Z$2:$Z$500, 0)) &amp; "", "")</f>
        <v/>
      </c>
      <c r="BC212" s="83" t="s">
        <v>3112</v>
      </c>
      <c r="BD212" s="83"/>
      <c r="BE212" s="101"/>
      <c r="BF212" s="101"/>
      <c r="BG212" s="101"/>
      <c r="BH212" s="101"/>
      <c r="BI212" s="101"/>
      <c r="BJ212" s="101"/>
      <c r="BK212" s="110"/>
      <c r="BL212" s="21"/>
      <c r="BM212" s="22">
        <v>665</v>
      </c>
      <c r="BN212" s="23"/>
      <c r="BO212" s="47" t="s">
        <v>542</v>
      </c>
    </row>
    <row r="213" spans="1:67" x14ac:dyDescent="0.45">
      <c r="A213" s="19">
        <v>212</v>
      </c>
      <c r="B213" s="1" t="s">
        <v>1647</v>
      </c>
      <c r="C213" s="17" t="str">
        <f t="shared" si="27"/>
        <v>이행완료</v>
      </c>
      <c r="D213" s="17" t="str">
        <f t="shared" si="30"/>
        <v/>
      </c>
      <c r="E213" s="2" t="s">
        <v>1732</v>
      </c>
      <c r="F213" s="1" t="s">
        <v>543</v>
      </c>
      <c r="G213" s="13" t="s">
        <v>1733</v>
      </c>
      <c r="H213" s="18" t="s">
        <v>1202</v>
      </c>
      <c r="I213" s="19">
        <v>432</v>
      </c>
      <c r="J213" s="2"/>
      <c r="K213" s="20" t="s">
        <v>2418</v>
      </c>
      <c r="L213" s="20"/>
      <c r="M213" s="17" t="str">
        <f t="shared" si="28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MATCH($BO213, 입력!$Z$2:$Z$500, 0)) &amp; "", "")</f>
        <v/>
      </c>
      <c r="S213" s="64" t="str">
        <f>IFERROR(INDEX(입력!$K$2:$K$500, MATCH($BO213,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9"/>
        <v>9</v>
      </c>
      <c r="W213" s="1" t="str">
        <f t="shared" si="26"/>
        <v/>
      </c>
      <c r="X213" s="1">
        <v>9</v>
      </c>
      <c r="Y213" s="64" t="str">
        <f>IFERROR(INDEX(입력!$M$2:$M$500, MATCH($BO213, 입력!$Z$2:$Z$500, 0)) &amp; "", "")</f>
        <v/>
      </c>
      <c r="Z213" s="64" t="str">
        <f>IFERROR(INDEX(입력!$N$2:$N$500, MATCH($BO213, 입력!$Z$2:$Z$500, 0)) &amp; "", "")</f>
        <v/>
      </c>
      <c r="AA213" s="64">
        <f>MAX(0, 표1[[#This Row],[의무_시설]]-표1[[#This Row],[시설합]])</f>
        <v>0</v>
      </c>
      <c r="AB213" s="17" t="str">
        <f t="shared" si="31"/>
        <v>이행완료</v>
      </c>
      <c r="AC213" s="64" t="str">
        <f>IFERROR(INDEX(입력!$P$2:$P$500, MATCH($BO213, 입력!$Z$2:$Z$500, 0)) &amp; "", "")</f>
        <v/>
      </c>
      <c r="AD213" s="64" t="str">
        <f>IFERROR(INDEX(입력!$Q$2:$Q$500, MATCH($BO213, 입력!$Z$2:$Z$500, 0)) &amp; "", "")</f>
        <v/>
      </c>
      <c r="AE213" s="64" t="str">
        <f>IFERROR(INDEX(입력!$R$2:$R$500, MATCH($BO213, 입력!$Z$2:$Z$500, 0)) &amp; "", "")</f>
        <v/>
      </c>
      <c r="AF213" s="64" t="str">
        <f>IFERROR(INDEX(입력!$S$2:$S$500, MATCH($BO213, 입력!$Z$2:$Z$500, 0)) &amp; "", "")</f>
        <v/>
      </c>
      <c r="AG213" s="64" t="str">
        <f>IFERROR(INDEX(입력!$T$2:$T$500, MATCH($BO213, 입력!$Z$2:$Z$500, 0)) &amp; "", "")</f>
        <v/>
      </c>
      <c r="AH213" s="64" t="str">
        <f>IFERROR(INDEX(입력!$U$2:$U$500, MATCH($BO213, 입력!$Z$2:$Z$500, 0)) &amp; "", "")</f>
        <v/>
      </c>
      <c r="AI213" s="64" t="str">
        <f>IFERROR(INDEX(입력!$V$2:$V$500, MATCH($BO213, 입력!$Z$2:$Z$500, 0)) &amp; "", "")</f>
        <v/>
      </c>
      <c r="AJ213" s="44" t="str">
        <f>IFERROR(INDEX(입력!$W$2:$W$500, MATCH($BO213, 입력!$Z$2:$Z$500, 0)) &amp; "", "")</f>
        <v/>
      </c>
      <c r="AK213" s="44" t="str">
        <f>IFERROR(INDEX(입력!$X$2:$X$500, MATCH($BO213, 입력!$Z$2:$Z$500, 0)) &amp; "", "")</f>
        <v/>
      </c>
      <c r="AL213" s="2"/>
      <c r="AM213" s="17" t="s">
        <v>1650</v>
      </c>
      <c r="AN213" s="101">
        <v>2025</v>
      </c>
      <c r="AO213" s="17" t="s">
        <v>3274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3137</v>
      </c>
      <c r="AZ213" s="71" t="str">
        <f>IFERROR(IF(INDEX(입력!$C$2:$C$500, MATCH($BO213, 입력!$Z$2:$Z$500, 0))="", "", TEXT(INDEX(입력!$C$2:$C$500, MATCH($BO213, 입력!$Z$2:$Z$500, 0)), "yyyy-mm-dd")), "")</f>
        <v/>
      </c>
      <c r="BA213" s="44" t="str">
        <f>IFERROR(INDEX(입력!$B$2:$B$500, MATCH($BO213, 입력!$Z$2:$Z$500, 0)) &amp; "", "")</f>
        <v/>
      </c>
      <c r="BB213" s="83" t="str">
        <f>IFERROR(INDEX(입력!$Y$2:$Y$500, MATCH($BO213, 입력!$Z$2:$Z$500, 0)) &amp; "", "")</f>
        <v/>
      </c>
      <c r="BC213" s="83" t="s">
        <v>3112</v>
      </c>
      <c r="BD213" s="83"/>
      <c r="BE213" s="101"/>
      <c r="BF213" s="101"/>
      <c r="BG213" s="101"/>
      <c r="BH213" s="101"/>
      <c r="BI213" s="101"/>
      <c r="BJ213" s="101"/>
      <c r="BK213" s="110"/>
      <c r="BL213" s="21"/>
      <c r="BM213" s="22">
        <v>432</v>
      </c>
      <c r="BN213" s="23"/>
      <c r="BO213" s="47" t="s">
        <v>544</v>
      </c>
    </row>
    <row r="214" spans="1:67" x14ac:dyDescent="0.45">
      <c r="A214" s="46">
        <v>213</v>
      </c>
      <c r="B214" s="1" t="s">
        <v>1647</v>
      </c>
      <c r="C214" s="17" t="str">
        <f t="shared" si="27"/>
        <v>이행완료</v>
      </c>
      <c r="D214" s="17" t="str">
        <f t="shared" si="30"/>
        <v/>
      </c>
      <c r="E214" s="2" t="s">
        <v>1734</v>
      </c>
      <c r="F214" s="1" t="s">
        <v>545</v>
      </c>
      <c r="G214" s="13" t="s">
        <v>1735</v>
      </c>
      <c r="H214" s="18" t="s">
        <v>1056</v>
      </c>
      <c r="I214" s="19">
        <v>1301</v>
      </c>
      <c r="J214" s="2"/>
      <c r="K214" s="20" t="s">
        <v>2450</v>
      </c>
      <c r="L214" s="20"/>
      <c r="M214" s="17" t="str">
        <f t="shared" si="28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MATCH($BO214, 입력!$Z$2:$Z$500, 0)) &amp; "", "")</f>
        <v/>
      </c>
      <c r="S214" s="64" t="str">
        <f>IFERROR(INDEX(입력!$K$2:$K$500, MATCH($BO214,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9"/>
        <v>26</v>
      </c>
      <c r="W214" s="1" t="str">
        <f t="shared" si="26"/>
        <v/>
      </c>
      <c r="X214" s="1">
        <v>27</v>
      </c>
      <c r="Y214" s="64" t="str">
        <f>IFERROR(INDEX(입력!$M$2:$M$500, MATCH($BO214, 입력!$Z$2:$Z$500, 0)) &amp; "", "")</f>
        <v/>
      </c>
      <c r="Z214" s="64" t="str">
        <f>IFERROR(INDEX(입력!$N$2:$N$500, MATCH($BO214, 입력!$Z$2:$Z$500, 0)) &amp; "", "")</f>
        <v/>
      </c>
      <c r="AA214" s="64">
        <f>MAX(0, 표1[[#This Row],[의무_시설]]-표1[[#This Row],[시설합]])</f>
        <v>0</v>
      </c>
      <c r="AB214" s="17" t="str">
        <f t="shared" si="31"/>
        <v>이행완료</v>
      </c>
      <c r="AC214" s="64" t="str">
        <f>IFERROR(INDEX(입력!$P$2:$P$500, MATCH($BO214, 입력!$Z$2:$Z$500, 0)) &amp; "", "")</f>
        <v/>
      </c>
      <c r="AD214" s="64" t="str">
        <f>IFERROR(INDEX(입력!$Q$2:$Q$500, MATCH($BO214, 입력!$Z$2:$Z$500, 0)) &amp; "", "")</f>
        <v/>
      </c>
      <c r="AE214" s="64" t="str">
        <f>IFERROR(INDEX(입력!$R$2:$R$500, MATCH($BO214, 입력!$Z$2:$Z$500, 0)) &amp; "", "")</f>
        <v/>
      </c>
      <c r="AF214" s="64" t="str">
        <f>IFERROR(INDEX(입력!$S$2:$S$500, MATCH($BO214, 입력!$Z$2:$Z$500, 0)) &amp; "", "")</f>
        <v/>
      </c>
      <c r="AG214" s="64" t="str">
        <f>IFERROR(INDEX(입력!$T$2:$T$500, MATCH($BO214, 입력!$Z$2:$Z$500, 0)) &amp; "", "")</f>
        <v/>
      </c>
      <c r="AH214" s="64" t="str">
        <f>IFERROR(INDEX(입력!$U$2:$U$500, MATCH($BO214, 입력!$Z$2:$Z$500, 0)) &amp; "", "")</f>
        <v/>
      </c>
      <c r="AI214" s="64" t="str">
        <f>IFERROR(INDEX(입력!$V$2:$V$500, MATCH($BO214, 입력!$Z$2:$Z$500, 0)) &amp; "", "")</f>
        <v/>
      </c>
      <c r="AJ214" s="44" t="str">
        <f>IFERROR(INDEX(입력!$W$2:$W$500, MATCH($BO214, 입력!$Z$2:$Z$500, 0)) &amp; "", "")</f>
        <v/>
      </c>
      <c r="AK214" s="44" t="str">
        <f>IFERROR(INDEX(입력!$X$2:$X$500, MATCH($BO214, 입력!$Z$2:$Z$500, 0)) &amp; "", "")</f>
        <v/>
      </c>
      <c r="AL214" s="2"/>
      <c r="AM214" s="17" t="s">
        <v>1650</v>
      </c>
      <c r="AN214" s="101">
        <v>2025</v>
      </c>
      <c r="AO214" s="17" t="s">
        <v>3275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3137</v>
      </c>
      <c r="AZ214" s="71" t="str">
        <f>IFERROR(IF(INDEX(입력!$C$2:$C$500, MATCH($BO214, 입력!$Z$2:$Z$500, 0))="", "", TEXT(INDEX(입력!$C$2:$C$500, MATCH($BO214, 입력!$Z$2:$Z$500, 0)), "yyyy-mm-dd")), "")</f>
        <v/>
      </c>
      <c r="BA214" s="44" t="str">
        <f>IFERROR(INDEX(입력!$B$2:$B$500, MATCH($BO214, 입력!$Z$2:$Z$500, 0)) &amp; "", "")</f>
        <v/>
      </c>
      <c r="BB214" s="83" t="str">
        <f>IFERROR(INDEX(입력!$Y$2:$Y$500, MATCH($BO214, 입력!$Z$2:$Z$500, 0)) &amp; "", "")</f>
        <v/>
      </c>
      <c r="BC214" s="83" t="s">
        <v>3112</v>
      </c>
      <c r="BD214" s="83"/>
      <c r="BE214" s="101"/>
      <c r="BF214" s="101"/>
      <c r="BG214" s="101"/>
      <c r="BH214" s="101"/>
      <c r="BI214" s="101"/>
      <c r="BJ214" s="101"/>
      <c r="BK214" s="110"/>
      <c r="BL214" s="21"/>
      <c r="BM214" s="22">
        <v>1301</v>
      </c>
      <c r="BN214" s="23"/>
      <c r="BO214" s="47" t="s">
        <v>546</v>
      </c>
    </row>
    <row r="215" spans="1:67" x14ac:dyDescent="0.45">
      <c r="A215" s="19">
        <v>214</v>
      </c>
      <c r="B215" s="1" t="s">
        <v>1647</v>
      </c>
      <c r="C215" s="17" t="str">
        <f t="shared" si="27"/>
        <v>이행완료</v>
      </c>
      <c r="D215" s="17" t="str">
        <f t="shared" si="30"/>
        <v/>
      </c>
      <c r="E215" s="2" t="s">
        <v>1736</v>
      </c>
      <c r="F215" s="1" t="s">
        <v>547</v>
      </c>
      <c r="G215" s="13" t="s">
        <v>1737</v>
      </c>
      <c r="H215" s="18" t="s">
        <v>1088</v>
      </c>
      <c r="I215" s="19">
        <v>1205</v>
      </c>
      <c r="J215" s="2"/>
      <c r="K215" s="20" t="s">
        <v>2451</v>
      </c>
      <c r="L215" s="20"/>
      <c r="M215" s="17" t="str">
        <f t="shared" si="28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MATCH($BO215, 입력!$Z$2:$Z$500, 0)) &amp; "", "")</f>
        <v/>
      </c>
      <c r="S215" s="64" t="str">
        <f>IFERROR(INDEX(입력!$K$2:$K$500, MATCH($BO215,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9"/>
        <v>24</v>
      </c>
      <c r="W215" s="1" t="str">
        <f t="shared" si="26"/>
        <v/>
      </c>
      <c r="X215" s="1">
        <v>24</v>
      </c>
      <c r="Y215" s="64" t="str">
        <f>IFERROR(INDEX(입력!$M$2:$M$500, MATCH($BO215, 입력!$Z$2:$Z$500, 0)) &amp; "", "")</f>
        <v/>
      </c>
      <c r="Z215" s="64" t="str">
        <f>IFERROR(INDEX(입력!$N$2:$N$500, MATCH($BO215, 입력!$Z$2:$Z$500, 0)) &amp; "", "")</f>
        <v/>
      </c>
      <c r="AA215" s="64">
        <f>MAX(0, 표1[[#This Row],[의무_시설]]-표1[[#This Row],[시설합]])</f>
        <v>0</v>
      </c>
      <c r="AB215" s="17" t="str">
        <f t="shared" si="31"/>
        <v>이행완료</v>
      </c>
      <c r="AC215" s="64" t="str">
        <f>IFERROR(INDEX(입력!$P$2:$P$500, MATCH($BO215, 입력!$Z$2:$Z$500, 0)) &amp; "", "")</f>
        <v/>
      </c>
      <c r="AD215" s="64" t="str">
        <f>IFERROR(INDEX(입력!$Q$2:$Q$500, MATCH($BO215, 입력!$Z$2:$Z$500, 0)) &amp; "", "")</f>
        <v/>
      </c>
      <c r="AE215" s="64" t="str">
        <f>IFERROR(INDEX(입력!$R$2:$R$500, MATCH($BO215, 입력!$Z$2:$Z$500, 0)) &amp; "", "")</f>
        <v/>
      </c>
      <c r="AF215" s="64" t="str">
        <f>IFERROR(INDEX(입력!$S$2:$S$500, MATCH($BO215, 입력!$Z$2:$Z$500, 0)) &amp; "", "")</f>
        <v/>
      </c>
      <c r="AG215" s="64" t="str">
        <f>IFERROR(INDEX(입력!$T$2:$T$500, MATCH($BO215, 입력!$Z$2:$Z$500, 0)) &amp; "", "")</f>
        <v/>
      </c>
      <c r="AH215" s="64" t="str">
        <f>IFERROR(INDEX(입력!$U$2:$U$500, MATCH($BO215, 입력!$Z$2:$Z$500, 0)) &amp; "", "")</f>
        <v/>
      </c>
      <c r="AI215" s="64" t="str">
        <f>IFERROR(INDEX(입력!$V$2:$V$500, MATCH($BO215, 입력!$Z$2:$Z$500, 0)) &amp; "", "")</f>
        <v/>
      </c>
      <c r="AJ215" s="44" t="str">
        <f>IFERROR(INDEX(입력!$W$2:$W$500, MATCH($BO215, 입력!$Z$2:$Z$500, 0)) &amp; "", "")</f>
        <v/>
      </c>
      <c r="AK215" s="44" t="str">
        <f>IFERROR(INDEX(입력!$X$2:$X$500, MATCH($BO215, 입력!$Z$2:$Z$500, 0)) &amp; "", "")</f>
        <v/>
      </c>
      <c r="AL215" s="2"/>
      <c r="AM215" s="17" t="s">
        <v>1650</v>
      </c>
      <c r="AN215" s="101">
        <v>2025</v>
      </c>
      <c r="AO215" s="17" t="s">
        <v>3275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3132</v>
      </c>
      <c r="AZ215" s="71" t="str">
        <f>IFERROR(IF(INDEX(입력!$C$2:$C$500, MATCH($BO215, 입력!$Z$2:$Z$500, 0))="", "", TEXT(INDEX(입력!$C$2:$C$500, MATCH($BO215, 입력!$Z$2:$Z$500, 0)), "yyyy-mm-dd")), "")</f>
        <v/>
      </c>
      <c r="BA215" s="44" t="str">
        <f>IFERROR(INDEX(입력!$B$2:$B$500, MATCH($BO215, 입력!$Z$2:$Z$500, 0)) &amp; "", "")</f>
        <v/>
      </c>
      <c r="BB215" s="83" t="str">
        <f>IFERROR(INDEX(입력!$Y$2:$Y$500, MATCH($BO215, 입력!$Z$2:$Z$500, 0)) &amp; "", "")</f>
        <v/>
      </c>
      <c r="BC215" s="83" t="s">
        <v>3112</v>
      </c>
      <c r="BD215" s="83"/>
      <c r="BE215" s="101"/>
      <c r="BF215" s="101"/>
      <c r="BG215" s="101"/>
      <c r="BH215" s="101"/>
      <c r="BI215" s="101"/>
      <c r="BJ215" s="101"/>
      <c r="BK215" s="110"/>
      <c r="BL215" s="21"/>
      <c r="BM215" s="22">
        <v>1205</v>
      </c>
      <c r="BN215" s="23"/>
      <c r="BO215" s="47" t="s">
        <v>548</v>
      </c>
    </row>
    <row r="216" spans="1:67" x14ac:dyDescent="0.45">
      <c r="A216" s="46">
        <v>215</v>
      </c>
      <c r="B216" s="1" t="s">
        <v>1647</v>
      </c>
      <c r="C216" s="17" t="str">
        <f t="shared" si="27"/>
        <v>이행완료</v>
      </c>
      <c r="D216" s="17" t="str">
        <f t="shared" si="30"/>
        <v/>
      </c>
      <c r="E216" s="2" t="s">
        <v>1738</v>
      </c>
      <c r="F216" s="1" t="s">
        <v>549</v>
      </c>
      <c r="G216" s="12" t="s">
        <v>1739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8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MATCH($BO216, 입력!$Z$2:$Z$500, 0)) &amp; "", "")</f>
        <v/>
      </c>
      <c r="S216" s="64" t="str">
        <f>IFERROR(INDEX(입력!$K$2:$K$500, MATCH($BO216,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9"/>
        <v>5</v>
      </c>
      <c r="W216" s="1" t="str">
        <f t="shared" si="26"/>
        <v/>
      </c>
      <c r="X216" s="1">
        <v>10</v>
      </c>
      <c r="Y216" s="64" t="str">
        <f>IFERROR(INDEX(입력!$M$2:$M$500, MATCH($BO216, 입력!$Z$2:$Z$500, 0)) &amp; "", "")</f>
        <v/>
      </c>
      <c r="Z216" s="64" t="str">
        <f>IFERROR(INDEX(입력!$N$2:$N$500, MATCH($BO216, 입력!$Z$2:$Z$500, 0)) &amp; "", "")</f>
        <v/>
      </c>
      <c r="AA216" s="64">
        <f>MAX(0, 표1[[#This Row],[의무_시설]]-표1[[#This Row],[시설합]])</f>
        <v>0</v>
      </c>
      <c r="AB216" s="17" t="str">
        <f t="shared" si="31"/>
        <v>이행완료</v>
      </c>
      <c r="AC216" s="64" t="str">
        <f>IFERROR(INDEX(입력!$P$2:$P$500, MATCH($BO216, 입력!$Z$2:$Z$500, 0)) &amp; "", "")</f>
        <v/>
      </c>
      <c r="AD216" s="64" t="str">
        <f>IFERROR(INDEX(입력!$Q$2:$Q$500, MATCH($BO216, 입력!$Z$2:$Z$500, 0)) &amp; "", "")</f>
        <v/>
      </c>
      <c r="AE216" s="64" t="str">
        <f>IFERROR(INDEX(입력!$R$2:$R$500, MATCH($BO216, 입력!$Z$2:$Z$500, 0)) &amp; "", "")</f>
        <v/>
      </c>
      <c r="AF216" s="64" t="str">
        <f>IFERROR(INDEX(입력!$S$2:$S$500, MATCH($BO216, 입력!$Z$2:$Z$500, 0)) &amp; "", "")</f>
        <v/>
      </c>
      <c r="AG216" s="64" t="str">
        <f>IFERROR(INDEX(입력!$T$2:$T$500, MATCH($BO216, 입력!$Z$2:$Z$500, 0)) &amp; "", "")</f>
        <v/>
      </c>
      <c r="AH216" s="64" t="str">
        <f>IFERROR(INDEX(입력!$U$2:$U$500, MATCH($BO216, 입력!$Z$2:$Z$500, 0)) &amp; "", "")</f>
        <v/>
      </c>
      <c r="AI216" s="64" t="str">
        <f>IFERROR(INDEX(입력!$V$2:$V$500, MATCH($BO216, 입력!$Z$2:$Z$500, 0)) &amp; "", "")</f>
        <v/>
      </c>
      <c r="AJ216" s="44" t="str">
        <f>IFERROR(INDEX(입력!$W$2:$W$500, MATCH($BO216, 입력!$Z$2:$Z$500, 0)) &amp; "", "")</f>
        <v/>
      </c>
      <c r="AK216" s="44" t="str">
        <f>IFERROR(INDEX(입력!$X$2:$X$500, MATCH($BO216, 입력!$Z$2:$Z$500, 0)) &amp; "", "")</f>
        <v/>
      </c>
      <c r="AL216" s="2"/>
      <c r="AM216" s="17" t="s">
        <v>1650</v>
      </c>
      <c r="AN216" s="101">
        <v>2025</v>
      </c>
      <c r="AO216" s="17" t="s">
        <v>3274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3137</v>
      </c>
      <c r="AZ216" s="71" t="str">
        <f>IFERROR(IF(INDEX(입력!$C$2:$C$500, MATCH($BO216, 입력!$Z$2:$Z$500, 0))="", "", TEXT(INDEX(입력!$C$2:$C$500, MATCH($BO216, 입력!$Z$2:$Z$500, 0)), "yyyy-mm-dd")), "")</f>
        <v/>
      </c>
      <c r="BA216" s="44" t="str">
        <f>IFERROR(INDEX(입력!$B$2:$B$500, MATCH($BO216, 입력!$Z$2:$Z$500, 0)) &amp; "", "")</f>
        <v/>
      </c>
      <c r="BB216" s="83" t="str">
        <f>IFERROR(INDEX(입력!$Y$2:$Y$500, MATCH($BO216, 입력!$Z$2:$Z$500, 0)) &amp; "", "")</f>
        <v/>
      </c>
      <c r="BC216" s="83" t="s">
        <v>3112</v>
      </c>
      <c r="BD216" s="83"/>
      <c r="BE216" s="101"/>
      <c r="BF216" s="101"/>
      <c r="BG216" s="101"/>
      <c r="BH216" s="101"/>
      <c r="BI216" s="101"/>
      <c r="BJ216" s="101"/>
      <c r="BK216" s="110"/>
      <c r="BL216" s="21"/>
      <c r="BM216" s="22">
        <v>320</v>
      </c>
      <c r="BN216" s="23"/>
      <c r="BO216" s="47" t="s">
        <v>550</v>
      </c>
    </row>
    <row r="217" spans="1:67" x14ac:dyDescent="0.45">
      <c r="A217" s="19">
        <v>216</v>
      </c>
      <c r="B217" s="1" t="s">
        <v>1647</v>
      </c>
      <c r="C217" s="17" t="str">
        <f t="shared" si="27"/>
        <v>이행완료</v>
      </c>
      <c r="D217" s="17" t="str">
        <f t="shared" si="30"/>
        <v>조사완료</v>
      </c>
      <c r="E217" s="2" t="s">
        <v>1740</v>
      </c>
      <c r="F217" s="1" t="s">
        <v>551</v>
      </c>
      <c r="G217" s="11" t="s">
        <v>1741</v>
      </c>
      <c r="H217" s="18" t="s">
        <v>1105</v>
      </c>
      <c r="I217" s="19">
        <v>2060</v>
      </c>
      <c r="J217" s="2"/>
      <c r="K217" s="20" t="s">
        <v>2342</v>
      </c>
      <c r="L217" s="20"/>
      <c r="M217" s="17" t="str">
        <f t="shared" si="28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MATCH($BO217, 입력!$Z$2:$Z$500, 0)) &amp; "", "")</f>
        <v>14</v>
      </c>
      <c r="S217" s="64" t="str">
        <f>IFERROR(INDEX(입력!$K$2:$K$500, MATCH($BO217,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9"/>
        <v>41</v>
      </c>
      <c r="W217" s="1" t="str">
        <f t="shared" si="26"/>
        <v/>
      </c>
      <c r="X217" s="1">
        <v>42</v>
      </c>
      <c r="Y217" s="64" t="str">
        <f>IFERROR(INDEX(입력!$M$2:$M$500, MATCH($BO217, 입력!$Z$2:$Z$500, 0)) &amp; "", "")</f>
        <v/>
      </c>
      <c r="Z217" s="64" t="str">
        <f>IFERROR(INDEX(입력!$N$2:$N$500, MATCH($BO217,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1"/>
        <v>이행완료</v>
      </c>
      <c r="AC217" s="64" t="str">
        <f>IFERROR(INDEX(입력!$P$2:$P$500, MATCH($BO217, 입력!$Z$2:$Z$500, 0)) &amp; "", "")</f>
        <v>1660</v>
      </c>
      <c r="AD217" s="64" t="str">
        <f>IFERROR(INDEX(입력!$Q$2:$Q$500, MATCH($BO217, 입력!$Z$2:$Z$500, 0)) &amp; "", "")</f>
        <v>80</v>
      </c>
      <c r="AE217" s="64" t="str">
        <f>IFERROR(INDEX(입력!$R$2:$R$500, MATCH($BO217, 입력!$Z$2:$Z$500, 0)) &amp; "", "")</f>
        <v>여</v>
      </c>
      <c r="AF217" s="64" t="str">
        <f>IFERROR(INDEX(입력!$S$2:$S$500, MATCH($BO217, 입력!$Z$2:$Z$500, 0)) &amp; "", "")</f>
        <v>여</v>
      </c>
      <c r="AG217" s="64" t="str">
        <f>IFERROR(INDEX(입력!$T$2:$T$500, MATCH($BO217, 입력!$Z$2:$Z$500, 0)) &amp; "", "")</f>
        <v>부</v>
      </c>
      <c r="AH217" s="64" t="str">
        <f>IFERROR(INDEX(입력!$U$2:$U$500, MATCH($BO217, 입력!$Z$2:$Z$500, 0)) &amp; "", "")</f>
        <v/>
      </c>
      <c r="AI217" s="64" t="str">
        <f>IFERROR(INDEX(입력!$V$2:$V$500, MATCH($BO217, 입력!$Z$2:$Z$500, 0)) &amp; "", "")</f>
        <v>여</v>
      </c>
      <c r="AJ217" s="44" t="str">
        <f>IFERROR(INDEX(입력!$W$2:$W$500, MATCH($BO217, 입력!$Z$2:$Z$500, 0)) &amp; "", "")</f>
        <v>김정희</v>
      </c>
      <c r="AK217" s="44" t="str">
        <f>IFERROR(INDEX(입력!$X$2:$X$500, MATCH($BO217, 입력!$Z$2:$Z$500, 0)) &amp; "", "")</f>
        <v>944-9496</v>
      </c>
      <c r="AL217" s="2" t="s">
        <v>1742</v>
      </c>
      <c r="AM217" s="17" t="s">
        <v>1650</v>
      </c>
      <c r="AN217" s="101">
        <v>2025</v>
      </c>
      <c r="AO217" s="17" t="s">
        <v>3275</v>
      </c>
      <c r="AP217" s="118"/>
      <c r="AQ217" s="21"/>
      <c r="AR217" s="119"/>
      <c r="AS217" s="101" t="s">
        <v>3124</v>
      </c>
      <c r="AT217" s="109">
        <v>46034</v>
      </c>
      <c r="AU217" s="101" t="s">
        <v>3126</v>
      </c>
      <c r="AV217" s="21" t="s">
        <v>1743</v>
      </c>
      <c r="AW217" s="101"/>
      <c r="AX217" s="119" t="s">
        <v>1744</v>
      </c>
      <c r="AY217" s="83" t="s">
        <v>3137</v>
      </c>
      <c r="AZ217" s="71" t="str">
        <f>IFERROR(IF(INDEX(입력!$C$2:$C$500, MATCH($BO217, 입력!$Z$2:$Z$500, 0))="", "", TEXT(INDEX(입력!$C$2:$C$500, MATCH($BO217, 입력!$Z$2:$Z$500, 0)), "yyyy-mm-dd")), "")</f>
        <v>2026-04-08</v>
      </c>
      <c r="BA217" s="44" t="str">
        <f>IFERROR(INDEX(입력!$B$2:$B$500, MATCH($BO217, 입력!$Z$2:$Z$500, 0)) &amp; "", "")</f>
        <v>최하영</v>
      </c>
      <c r="BB217" s="83" t="str">
        <f>IFERROR(INDEX(입력!$Y$2:$Y$500, MATCH($BO217, 입력!$Z$2:$Z$500, 0)) &amp; "", "")</f>
        <v/>
      </c>
      <c r="BC217" s="83" t="s">
        <v>3112</v>
      </c>
      <c r="BD217" s="83"/>
      <c r="BE217" s="101"/>
      <c r="BF217" s="101"/>
      <c r="BG217" s="101"/>
      <c r="BH217" s="101"/>
      <c r="BI217" s="101"/>
      <c r="BJ217" s="101"/>
      <c r="BK217" s="110"/>
      <c r="BL217" s="21"/>
      <c r="BM217" s="22">
        <v>2060</v>
      </c>
      <c r="BN217" s="23"/>
      <c r="BO217" s="47" t="s">
        <v>552</v>
      </c>
    </row>
    <row r="218" spans="1:67" x14ac:dyDescent="0.45">
      <c r="A218" s="46">
        <v>217</v>
      </c>
      <c r="B218" s="1" t="s">
        <v>1647</v>
      </c>
      <c r="C218" s="17" t="str">
        <f t="shared" si="27"/>
        <v>이행완료</v>
      </c>
      <c r="D218" s="17" t="str">
        <f t="shared" si="30"/>
        <v/>
      </c>
      <c r="E218" s="2" t="s">
        <v>1745</v>
      </c>
      <c r="F218" s="1" t="s">
        <v>553</v>
      </c>
      <c r="G218" s="11" t="s">
        <v>1746</v>
      </c>
      <c r="H218" s="18" t="s">
        <v>1202</v>
      </c>
      <c r="I218" s="19">
        <v>827</v>
      </c>
      <c r="J218" s="2"/>
      <c r="K218" s="20" t="s">
        <v>2418</v>
      </c>
      <c r="L218" s="20"/>
      <c r="M218" s="17" t="str">
        <f t="shared" si="28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MATCH($BO218, 입력!$Z$2:$Z$500, 0)) &amp; "", "")</f>
        <v/>
      </c>
      <c r="S218" s="64" t="str">
        <f>IFERROR(INDEX(입력!$K$2:$K$500, MATCH($BO218, 입력!$Z$2:$Z$500, 0)) &amp; "", "")</f>
        <v/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9"/>
        <v>17</v>
      </c>
      <c r="W218" s="1" t="str">
        <f t="shared" si="26"/>
        <v/>
      </c>
      <c r="X218" s="1">
        <v>26</v>
      </c>
      <c r="Y218" s="64" t="str">
        <f>IFERROR(INDEX(입력!$M$2:$M$500, MATCH($BO218, 입력!$Z$2:$Z$500, 0)) &amp; "", "")</f>
        <v/>
      </c>
      <c r="Z218" s="64" t="str">
        <f>IFERROR(INDEX(입력!$N$2:$N$500, MATCH($BO218, 입력!$Z$2:$Z$500, 0)) &amp; "", "")</f>
        <v/>
      </c>
      <c r="AA218" s="64">
        <f>MAX(0, 표1[[#This Row],[의무_시설]]-표1[[#This Row],[시설합]])</f>
        <v>0</v>
      </c>
      <c r="AB218" s="17" t="str">
        <f t="shared" si="31"/>
        <v>이행완료</v>
      </c>
      <c r="AC218" s="64" t="str">
        <f>IFERROR(INDEX(입력!$P$2:$P$500, MATCH($BO218, 입력!$Z$2:$Z$500, 0)) &amp; "", "")</f>
        <v/>
      </c>
      <c r="AD218" s="64" t="str">
        <f>IFERROR(INDEX(입력!$Q$2:$Q$500, MATCH($BO218, 입력!$Z$2:$Z$500, 0)) &amp; "", "")</f>
        <v/>
      </c>
      <c r="AE218" s="64" t="str">
        <f>IFERROR(INDEX(입력!$R$2:$R$500, MATCH($BO218, 입력!$Z$2:$Z$500, 0)) &amp; "", "")</f>
        <v/>
      </c>
      <c r="AF218" s="64" t="str">
        <f>IFERROR(INDEX(입력!$S$2:$S$500, MATCH($BO218, 입력!$Z$2:$Z$500, 0)) &amp; "", "")</f>
        <v/>
      </c>
      <c r="AG218" s="64" t="str">
        <f>IFERROR(INDEX(입력!$T$2:$T$500, MATCH($BO218, 입력!$Z$2:$Z$500, 0)) &amp; "", "")</f>
        <v/>
      </c>
      <c r="AH218" s="64" t="str">
        <f>IFERROR(INDEX(입력!$U$2:$U$500, MATCH($BO218, 입력!$Z$2:$Z$500, 0)) &amp; "", "")</f>
        <v/>
      </c>
      <c r="AI218" s="64" t="str">
        <f>IFERROR(INDEX(입력!$V$2:$V$500, MATCH($BO218, 입력!$Z$2:$Z$500, 0)) &amp; "", "")</f>
        <v/>
      </c>
      <c r="AJ218" s="44" t="str">
        <f>IFERROR(INDEX(입력!$W$2:$W$500, MATCH($BO218, 입력!$Z$2:$Z$500, 0)) &amp; "", "")</f>
        <v/>
      </c>
      <c r="AK218" s="44" t="str">
        <f>IFERROR(INDEX(입력!$X$2:$X$500, MATCH($BO218, 입력!$Z$2:$Z$500, 0)) &amp; "", "")</f>
        <v/>
      </c>
      <c r="AL218" s="2"/>
      <c r="AM218" s="17" t="s">
        <v>1650</v>
      </c>
      <c r="AN218" s="101">
        <v>2025</v>
      </c>
      <c r="AO218" s="17" t="s">
        <v>3275</v>
      </c>
      <c r="AP218" s="118"/>
      <c r="AQ218" s="21"/>
      <c r="AR218" s="119" t="s">
        <v>1747</v>
      </c>
      <c r="AS218" s="101"/>
      <c r="AT218" s="101"/>
      <c r="AU218" s="101"/>
      <c r="AV218" s="101"/>
      <c r="AW218" s="101"/>
      <c r="AX218" s="101"/>
      <c r="AY218" s="83" t="s">
        <v>3131</v>
      </c>
      <c r="AZ218" s="71" t="str">
        <f>IFERROR(IF(INDEX(입력!$C$2:$C$500, MATCH($BO218, 입력!$Z$2:$Z$500, 0))="", "", TEXT(INDEX(입력!$C$2:$C$500, MATCH($BO218, 입력!$Z$2:$Z$500, 0)), "yyyy-mm-dd")), "")</f>
        <v/>
      </c>
      <c r="BA218" s="44" t="str">
        <f>IFERROR(INDEX(입력!$B$2:$B$500, MATCH($BO218, 입력!$Z$2:$Z$500, 0)) &amp; "", "")</f>
        <v/>
      </c>
      <c r="BB218" s="83" t="str">
        <f>IFERROR(INDEX(입력!$Y$2:$Y$500, MATCH($BO218, 입력!$Z$2:$Z$500, 0)) &amp; "", "")</f>
        <v/>
      </c>
      <c r="BC218" s="83" t="s">
        <v>3112</v>
      </c>
      <c r="BD218" s="83"/>
      <c r="BE218" s="101"/>
      <c r="BF218" s="101"/>
      <c r="BG218" s="101"/>
      <c r="BH218" s="101"/>
      <c r="BI218" s="101"/>
      <c r="BJ218" s="101"/>
      <c r="BK218" s="110"/>
      <c r="BL218" s="21"/>
      <c r="BM218" s="22">
        <v>827</v>
      </c>
      <c r="BN218" s="23"/>
      <c r="BO218" s="47" t="s">
        <v>554</v>
      </c>
    </row>
    <row r="219" spans="1:67" x14ac:dyDescent="0.45">
      <c r="A219" s="19">
        <v>218</v>
      </c>
      <c r="B219" s="1" t="s">
        <v>1647</v>
      </c>
      <c r="C219" s="17" t="str">
        <f t="shared" si="27"/>
        <v>이행완료</v>
      </c>
      <c r="D219" s="17" t="str">
        <f t="shared" si="30"/>
        <v/>
      </c>
      <c r="E219" s="2" t="s">
        <v>1748</v>
      </c>
      <c r="F219" s="1" t="s">
        <v>555</v>
      </c>
      <c r="G219" s="12" t="s">
        <v>1749</v>
      </c>
      <c r="H219" s="18" t="s">
        <v>1202</v>
      </c>
      <c r="I219" s="19">
        <v>1414</v>
      </c>
      <c r="J219" s="2"/>
      <c r="K219" s="20" t="s">
        <v>2452</v>
      </c>
      <c r="L219" s="20"/>
      <c r="M219" s="17" t="str">
        <f t="shared" si="28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MATCH($BO219, 입력!$Z$2:$Z$500, 0)) &amp; "", "")</f>
        <v/>
      </c>
      <c r="S219" s="64" t="str">
        <f>IFERROR(INDEX(입력!$K$2:$K$500, MATCH($BO219, 입력!$Z$2:$Z$500, 0)) &amp; "", "")</f>
        <v/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9"/>
        <v>28</v>
      </c>
      <c r="W219" s="1" t="str">
        <f t="shared" si="26"/>
        <v/>
      </c>
      <c r="X219" s="1">
        <v>42</v>
      </c>
      <c r="Y219" s="64" t="str">
        <f>IFERROR(INDEX(입력!$M$2:$M$500, MATCH($BO219, 입력!$Z$2:$Z$500, 0)) &amp; "", "")</f>
        <v/>
      </c>
      <c r="Z219" s="64" t="str">
        <f>IFERROR(INDEX(입력!$N$2:$N$500, MATCH($BO219, 입력!$Z$2:$Z$500, 0)) &amp; "", "")</f>
        <v/>
      </c>
      <c r="AA219" s="64">
        <f>MAX(0, 표1[[#This Row],[의무_시설]]-표1[[#This Row],[시설합]])</f>
        <v>0</v>
      </c>
      <c r="AB219" s="17" t="str">
        <f t="shared" si="31"/>
        <v>이행완료</v>
      </c>
      <c r="AC219" s="64" t="str">
        <f>IFERROR(INDEX(입력!$P$2:$P$500, MATCH($BO219, 입력!$Z$2:$Z$500, 0)) &amp; "", "")</f>
        <v/>
      </c>
      <c r="AD219" s="64" t="str">
        <f>IFERROR(INDEX(입력!$Q$2:$Q$500, MATCH($BO219, 입력!$Z$2:$Z$500, 0)) &amp; "", "")</f>
        <v/>
      </c>
      <c r="AE219" s="64" t="str">
        <f>IFERROR(INDEX(입력!$R$2:$R$500, MATCH($BO219, 입력!$Z$2:$Z$500, 0)) &amp; "", "")</f>
        <v/>
      </c>
      <c r="AF219" s="64" t="str">
        <f>IFERROR(INDEX(입력!$S$2:$S$500, MATCH($BO219, 입력!$Z$2:$Z$500, 0)) &amp; "", "")</f>
        <v/>
      </c>
      <c r="AG219" s="64" t="str">
        <f>IFERROR(INDEX(입력!$T$2:$T$500, MATCH($BO219, 입력!$Z$2:$Z$500, 0)) &amp; "", "")</f>
        <v/>
      </c>
      <c r="AH219" s="64" t="str">
        <f>IFERROR(INDEX(입력!$U$2:$U$500, MATCH($BO219, 입력!$Z$2:$Z$500, 0)) &amp; "", "")</f>
        <v/>
      </c>
      <c r="AI219" s="64" t="str">
        <f>IFERROR(INDEX(입력!$V$2:$V$500, MATCH($BO219, 입력!$Z$2:$Z$500, 0)) &amp; "", "")</f>
        <v/>
      </c>
      <c r="AJ219" s="44" t="str">
        <f>IFERROR(INDEX(입력!$W$2:$W$500, MATCH($BO219, 입력!$Z$2:$Z$500, 0)) &amp; "", "")</f>
        <v/>
      </c>
      <c r="AK219" s="44" t="str">
        <f>IFERROR(INDEX(입력!$X$2:$X$500, MATCH($BO219, 입력!$Z$2:$Z$500, 0)) &amp; "", "")</f>
        <v/>
      </c>
      <c r="AL219" s="2"/>
      <c r="AM219" s="17" t="s">
        <v>1650</v>
      </c>
      <c r="AN219" s="101">
        <v>2025</v>
      </c>
      <c r="AO219" s="17" t="s">
        <v>3277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3131</v>
      </c>
      <c r="AZ219" s="71" t="str">
        <f>IFERROR(IF(INDEX(입력!$C$2:$C$500, MATCH($BO219, 입력!$Z$2:$Z$500, 0))="", "", TEXT(INDEX(입력!$C$2:$C$500, MATCH($BO219, 입력!$Z$2:$Z$500, 0)), "yyyy-mm-dd")), "")</f>
        <v/>
      </c>
      <c r="BA219" s="44" t="str">
        <f>IFERROR(INDEX(입력!$B$2:$B$500, MATCH($BO219, 입력!$Z$2:$Z$500, 0)) &amp; "", "")</f>
        <v/>
      </c>
      <c r="BB219" s="83" t="str">
        <f>IFERROR(INDEX(입력!$Y$2:$Y$500, MATCH($BO219, 입력!$Z$2:$Z$500, 0)) &amp; "", "")</f>
        <v/>
      </c>
      <c r="BC219" s="83" t="s">
        <v>3112</v>
      </c>
      <c r="BD219" s="83"/>
      <c r="BE219" s="101"/>
      <c r="BF219" s="101"/>
      <c r="BG219" s="101"/>
      <c r="BH219" s="101"/>
      <c r="BI219" s="101"/>
      <c r="BJ219" s="101"/>
      <c r="BK219" s="110"/>
      <c r="BL219" s="21"/>
      <c r="BM219" s="22">
        <v>1410</v>
      </c>
      <c r="BN219" s="23"/>
      <c r="BO219" s="47" t="s">
        <v>556</v>
      </c>
    </row>
    <row r="220" spans="1:67" x14ac:dyDescent="0.45">
      <c r="A220" s="46">
        <v>219</v>
      </c>
      <c r="B220" s="1" t="s">
        <v>1647</v>
      </c>
      <c r="C220" s="17" t="str">
        <f t="shared" si="27"/>
        <v>이행완료</v>
      </c>
      <c r="D220" s="17" t="str">
        <f t="shared" si="30"/>
        <v/>
      </c>
      <c r="E220" s="2" t="s">
        <v>1750</v>
      </c>
      <c r="F220" s="1" t="s">
        <v>557</v>
      </c>
      <c r="G220" s="13" t="s">
        <v>1751</v>
      </c>
      <c r="H220" s="18" t="s">
        <v>1056</v>
      </c>
      <c r="I220" s="19">
        <v>1869</v>
      </c>
      <c r="J220" s="2"/>
      <c r="K220" s="20" t="s">
        <v>2453</v>
      </c>
      <c r="L220" s="20"/>
      <c r="M220" s="17" t="str">
        <f t="shared" si="28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MATCH($BO220, 입력!$Z$2:$Z$500, 0)) &amp; "", "")</f>
        <v/>
      </c>
      <c r="S220" s="64" t="str">
        <f>IFERROR(INDEX(입력!$K$2:$K$500, MATCH($BO220,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9"/>
        <v>37</v>
      </c>
      <c r="W220" s="1" t="str">
        <f t="shared" si="26"/>
        <v/>
      </c>
      <c r="X220" s="1">
        <v>40</v>
      </c>
      <c r="Y220" s="64" t="str">
        <f>IFERROR(INDEX(입력!$M$2:$M$500, MATCH($BO220, 입력!$Z$2:$Z$500, 0)) &amp; "", "")</f>
        <v/>
      </c>
      <c r="Z220" s="64" t="str">
        <f>IFERROR(INDEX(입력!$N$2:$N$500, MATCH($BO220, 입력!$Z$2:$Z$500, 0)) &amp; "", "")</f>
        <v/>
      </c>
      <c r="AA220" s="64">
        <f>MAX(0, 표1[[#This Row],[의무_시설]]-표1[[#This Row],[시설합]])</f>
        <v>0</v>
      </c>
      <c r="AB220" s="17" t="str">
        <f t="shared" si="31"/>
        <v>이행완료</v>
      </c>
      <c r="AC220" s="64" t="str">
        <f>IFERROR(INDEX(입력!$P$2:$P$500, MATCH($BO220, 입력!$Z$2:$Z$500, 0)) &amp; "", "")</f>
        <v/>
      </c>
      <c r="AD220" s="64" t="str">
        <f>IFERROR(INDEX(입력!$Q$2:$Q$500, MATCH($BO220, 입력!$Z$2:$Z$500, 0)) &amp; "", "")</f>
        <v/>
      </c>
      <c r="AE220" s="64" t="str">
        <f>IFERROR(INDEX(입력!$R$2:$R$500, MATCH($BO220, 입력!$Z$2:$Z$500, 0)) &amp; "", "")</f>
        <v/>
      </c>
      <c r="AF220" s="64" t="str">
        <f>IFERROR(INDEX(입력!$S$2:$S$500, MATCH($BO220, 입력!$Z$2:$Z$500, 0)) &amp; "", "")</f>
        <v/>
      </c>
      <c r="AG220" s="64" t="str">
        <f>IFERROR(INDEX(입력!$T$2:$T$500, MATCH($BO220, 입력!$Z$2:$Z$500, 0)) &amp; "", "")</f>
        <v/>
      </c>
      <c r="AH220" s="64" t="str">
        <f>IFERROR(INDEX(입력!$U$2:$U$500, MATCH($BO220, 입력!$Z$2:$Z$500, 0)) &amp; "", "")</f>
        <v/>
      </c>
      <c r="AI220" s="64" t="str">
        <f>IFERROR(INDEX(입력!$V$2:$V$500, MATCH($BO220, 입력!$Z$2:$Z$500, 0)) &amp; "", "")</f>
        <v/>
      </c>
      <c r="AJ220" s="44" t="str">
        <f>IFERROR(INDEX(입력!$W$2:$W$500, MATCH($BO220, 입력!$Z$2:$Z$500, 0)) &amp; "", "")</f>
        <v/>
      </c>
      <c r="AK220" s="44" t="str">
        <f>IFERROR(INDEX(입력!$X$2:$X$500, MATCH($BO220, 입력!$Z$2:$Z$500, 0)) &amp; "", "")</f>
        <v/>
      </c>
      <c r="AL220" s="2" t="s">
        <v>1752</v>
      </c>
      <c r="AM220" s="17" t="s">
        <v>1650</v>
      </c>
      <c r="AN220" s="101">
        <v>2025</v>
      </c>
      <c r="AO220" s="17" t="s">
        <v>3275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3137</v>
      </c>
      <c r="AZ220" s="71" t="str">
        <f>IFERROR(IF(INDEX(입력!$C$2:$C$500, MATCH($BO220, 입력!$Z$2:$Z$500, 0))="", "", TEXT(INDEX(입력!$C$2:$C$500, MATCH($BO220, 입력!$Z$2:$Z$500, 0)), "yyyy-mm-dd")), "")</f>
        <v/>
      </c>
      <c r="BA220" s="44" t="str">
        <f>IFERROR(INDEX(입력!$B$2:$B$500, MATCH($BO220, 입력!$Z$2:$Z$500, 0)) &amp; "", "")</f>
        <v/>
      </c>
      <c r="BB220" s="83" t="str">
        <f>IFERROR(INDEX(입력!$Y$2:$Y$500, MATCH($BO220, 입력!$Z$2:$Z$500, 0)) &amp; "", "")</f>
        <v/>
      </c>
      <c r="BC220" s="83" t="s">
        <v>3112</v>
      </c>
      <c r="BD220" s="83"/>
      <c r="BE220" s="101"/>
      <c r="BF220" s="101"/>
      <c r="BG220" s="101"/>
      <c r="BH220" s="101"/>
      <c r="BI220" s="101"/>
      <c r="BJ220" s="101"/>
      <c r="BK220" s="110"/>
      <c r="BL220" s="21"/>
      <c r="BM220" s="22">
        <v>1859</v>
      </c>
      <c r="BN220" s="23"/>
      <c r="BO220" s="47" t="s">
        <v>558</v>
      </c>
    </row>
    <row r="221" spans="1:67" x14ac:dyDescent="0.45">
      <c r="A221" s="19">
        <v>220</v>
      </c>
      <c r="B221" s="1" t="s">
        <v>1647</v>
      </c>
      <c r="C221" s="17" t="str">
        <f t="shared" si="27"/>
        <v>이행완료</v>
      </c>
      <c r="D221" s="17" t="str">
        <f t="shared" si="30"/>
        <v/>
      </c>
      <c r="E221" s="2" t="s">
        <v>1753</v>
      </c>
      <c r="F221" s="1" t="s">
        <v>559</v>
      </c>
      <c r="G221" s="12" t="s">
        <v>1754</v>
      </c>
      <c r="H221" s="18" t="s">
        <v>1335</v>
      </c>
      <c r="I221" s="19">
        <v>1230</v>
      </c>
      <c r="J221" s="2"/>
      <c r="K221" s="20" t="s">
        <v>2454</v>
      </c>
      <c r="L221" s="20"/>
      <c r="M221" s="17" t="str">
        <f t="shared" si="28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MATCH($BO221, 입력!$Z$2:$Z$500, 0)) &amp; "", "")</f>
        <v/>
      </c>
      <c r="S221" s="64" t="str">
        <f>IFERROR(INDEX(입력!$K$2:$K$500, MATCH($BO221,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9"/>
        <v>25</v>
      </c>
      <c r="W221" s="1" t="str">
        <f t="shared" si="26"/>
        <v/>
      </c>
      <c r="X221" s="1">
        <v>28</v>
      </c>
      <c r="Y221" s="64" t="str">
        <f>IFERROR(INDEX(입력!$M$2:$M$500, MATCH($BO221, 입력!$Z$2:$Z$500, 0)) &amp; "", "")</f>
        <v/>
      </c>
      <c r="Z221" s="64" t="str">
        <f>IFERROR(INDEX(입력!$N$2:$N$500, MATCH($BO221, 입력!$Z$2:$Z$500, 0)) &amp; "", "")</f>
        <v/>
      </c>
      <c r="AA221" s="64">
        <f>MAX(0, 표1[[#This Row],[의무_시설]]-표1[[#This Row],[시설합]])</f>
        <v>0</v>
      </c>
      <c r="AB221" s="17" t="str">
        <f t="shared" si="31"/>
        <v>이행완료</v>
      </c>
      <c r="AC221" s="64" t="str">
        <f>IFERROR(INDEX(입력!$P$2:$P$500, MATCH($BO221, 입력!$Z$2:$Z$500, 0)) &amp; "", "")</f>
        <v/>
      </c>
      <c r="AD221" s="64" t="str">
        <f>IFERROR(INDEX(입력!$Q$2:$Q$500, MATCH($BO221, 입력!$Z$2:$Z$500, 0)) &amp; "", "")</f>
        <v/>
      </c>
      <c r="AE221" s="64" t="str">
        <f>IFERROR(INDEX(입력!$R$2:$R$500, MATCH($BO221, 입력!$Z$2:$Z$500, 0)) &amp; "", "")</f>
        <v/>
      </c>
      <c r="AF221" s="64" t="str">
        <f>IFERROR(INDEX(입력!$S$2:$S$500, MATCH($BO221, 입력!$Z$2:$Z$500, 0)) &amp; "", "")</f>
        <v/>
      </c>
      <c r="AG221" s="64" t="str">
        <f>IFERROR(INDEX(입력!$T$2:$T$500, MATCH($BO221, 입력!$Z$2:$Z$500, 0)) &amp; "", "")</f>
        <v/>
      </c>
      <c r="AH221" s="64" t="str">
        <f>IFERROR(INDEX(입력!$U$2:$U$500, MATCH($BO221, 입력!$Z$2:$Z$500, 0)) &amp; "", "")</f>
        <v/>
      </c>
      <c r="AI221" s="64" t="str">
        <f>IFERROR(INDEX(입력!$V$2:$V$500, MATCH($BO221, 입력!$Z$2:$Z$500, 0)) &amp; "", "")</f>
        <v/>
      </c>
      <c r="AJ221" s="44" t="str">
        <f>IFERROR(INDEX(입력!$W$2:$W$500, MATCH($BO221, 입력!$Z$2:$Z$500, 0)) &amp; "", "")</f>
        <v/>
      </c>
      <c r="AK221" s="44" t="str">
        <f>IFERROR(INDEX(입력!$X$2:$X$500, MATCH($BO221, 입력!$Z$2:$Z$500, 0)) &amp; "", "")</f>
        <v/>
      </c>
      <c r="AL221" s="2"/>
      <c r="AM221" s="17" t="s">
        <v>1650</v>
      </c>
      <c r="AN221" s="101">
        <v>2025</v>
      </c>
      <c r="AO221" s="17" t="s">
        <v>3274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3132</v>
      </c>
      <c r="AZ221" s="71" t="str">
        <f>IFERROR(IF(INDEX(입력!$C$2:$C$500, MATCH($BO221, 입력!$Z$2:$Z$500, 0))="", "", TEXT(INDEX(입력!$C$2:$C$500, MATCH($BO221, 입력!$Z$2:$Z$500, 0)), "yyyy-mm-dd")), "")</f>
        <v/>
      </c>
      <c r="BA221" s="44" t="str">
        <f>IFERROR(INDEX(입력!$B$2:$B$500, MATCH($BO221, 입력!$Z$2:$Z$500, 0)) &amp; "", "")</f>
        <v/>
      </c>
      <c r="BB221" s="83" t="str">
        <f>IFERROR(INDEX(입력!$Y$2:$Y$500, MATCH($BO221, 입력!$Z$2:$Z$500, 0)) &amp; "", "")</f>
        <v/>
      </c>
      <c r="BC221" s="83" t="s">
        <v>3112</v>
      </c>
      <c r="BD221" s="83"/>
      <c r="BE221" s="101"/>
      <c r="BF221" s="101"/>
      <c r="BG221" s="101"/>
      <c r="BH221" s="101"/>
      <c r="BI221" s="101"/>
      <c r="BJ221" s="101"/>
      <c r="BK221" s="110"/>
      <c r="BL221" s="21"/>
      <c r="BM221" s="22">
        <v>1254</v>
      </c>
      <c r="BN221" s="23"/>
      <c r="BO221" s="47" t="s">
        <v>560</v>
      </c>
    </row>
    <row r="222" spans="1:67" x14ac:dyDescent="0.45">
      <c r="A222" s="46">
        <v>221</v>
      </c>
      <c r="B222" s="1" t="s">
        <v>1647</v>
      </c>
      <c r="C222" s="17" t="str">
        <f t="shared" si="27"/>
        <v>이행완료</v>
      </c>
      <c r="D222" s="17" t="str">
        <f t="shared" si="30"/>
        <v/>
      </c>
      <c r="E222" s="2" t="s">
        <v>1755</v>
      </c>
      <c r="F222" s="1" t="s">
        <v>561</v>
      </c>
      <c r="G222" s="11" t="s">
        <v>1756</v>
      </c>
      <c r="H222" s="18" t="s">
        <v>1133</v>
      </c>
      <c r="I222" s="19">
        <v>798</v>
      </c>
      <c r="J222" s="2"/>
      <c r="K222" s="20" t="s">
        <v>2593</v>
      </c>
      <c r="L222" s="20"/>
      <c r="M222" s="17" t="str">
        <f t="shared" si="28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MATCH($BO222, 입력!$Z$2:$Z$500, 0)) &amp; "", "")</f>
        <v/>
      </c>
      <c r="S222" s="64" t="str">
        <f>IFERROR(INDEX(입력!$K$2:$K$500, MATCH($BO222,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9"/>
        <v>16</v>
      </c>
      <c r="W222" s="1" t="str">
        <f t="shared" si="26"/>
        <v/>
      </c>
      <c r="X222" s="1">
        <v>17</v>
      </c>
      <c r="Y222" s="64" t="str">
        <f>IFERROR(INDEX(입력!$M$2:$M$500, MATCH($BO222, 입력!$Z$2:$Z$500, 0)) &amp; "", "")</f>
        <v/>
      </c>
      <c r="Z222" s="64" t="str">
        <f>IFERROR(INDEX(입력!$N$2:$N$500, MATCH($BO222, 입력!$Z$2:$Z$500, 0)) &amp; "", "")</f>
        <v/>
      </c>
      <c r="AA222" s="64">
        <f>MAX(0, 표1[[#This Row],[의무_시설]]-표1[[#This Row],[시설합]])</f>
        <v>0</v>
      </c>
      <c r="AB222" s="17" t="str">
        <f t="shared" si="31"/>
        <v>이행완료</v>
      </c>
      <c r="AC222" s="64" t="str">
        <f>IFERROR(INDEX(입력!$P$2:$P$500, MATCH($BO222, 입력!$Z$2:$Z$500, 0)) &amp; "", "")</f>
        <v/>
      </c>
      <c r="AD222" s="64" t="str">
        <f>IFERROR(INDEX(입력!$Q$2:$Q$500, MATCH($BO222, 입력!$Z$2:$Z$500, 0)) &amp; "", "")</f>
        <v/>
      </c>
      <c r="AE222" s="64" t="str">
        <f>IFERROR(INDEX(입력!$R$2:$R$500, MATCH($BO222, 입력!$Z$2:$Z$500, 0)) &amp; "", "")</f>
        <v/>
      </c>
      <c r="AF222" s="64" t="str">
        <f>IFERROR(INDEX(입력!$S$2:$S$500, MATCH($BO222, 입력!$Z$2:$Z$500, 0)) &amp; "", "")</f>
        <v/>
      </c>
      <c r="AG222" s="64" t="str">
        <f>IFERROR(INDEX(입력!$T$2:$T$500, MATCH($BO222, 입력!$Z$2:$Z$500, 0)) &amp; "", "")</f>
        <v/>
      </c>
      <c r="AH222" s="64" t="str">
        <f>IFERROR(INDEX(입력!$U$2:$U$500, MATCH($BO222, 입력!$Z$2:$Z$500, 0)) &amp; "", "")</f>
        <v/>
      </c>
      <c r="AI222" s="64" t="str">
        <f>IFERROR(INDEX(입력!$V$2:$V$500, MATCH($BO222, 입력!$Z$2:$Z$500, 0)) &amp; "", "")</f>
        <v/>
      </c>
      <c r="AJ222" s="44" t="str">
        <f>IFERROR(INDEX(입력!$W$2:$W$500, MATCH($BO222, 입력!$Z$2:$Z$500, 0)) &amp; "", "")</f>
        <v/>
      </c>
      <c r="AK222" s="44" t="str">
        <f>IFERROR(INDEX(입력!$X$2:$X$500, MATCH($BO222, 입력!$Z$2:$Z$500, 0)) &amp; "", "")</f>
        <v/>
      </c>
      <c r="AL222" s="2"/>
      <c r="AM222" s="17" t="s">
        <v>1650</v>
      </c>
      <c r="AN222" s="101">
        <v>2025</v>
      </c>
      <c r="AO222" s="17" t="s">
        <v>3275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3131</v>
      </c>
      <c r="AZ222" s="71" t="str">
        <f>IFERROR(IF(INDEX(입력!$C$2:$C$500, MATCH($BO222, 입력!$Z$2:$Z$500, 0))="", "", TEXT(INDEX(입력!$C$2:$C$500, MATCH($BO222, 입력!$Z$2:$Z$500, 0)), "yyyy-mm-dd")), "")</f>
        <v/>
      </c>
      <c r="BA222" s="44" t="str">
        <f>IFERROR(INDEX(입력!$B$2:$B$500, MATCH($BO222, 입력!$Z$2:$Z$500, 0)) &amp; "", "")</f>
        <v/>
      </c>
      <c r="BB222" s="83" t="str">
        <f>IFERROR(INDEX(입력!$Y$2:$Y$500, MATCH($BO222, 입력!$Z$2:$Z$500, 0)) &amp; "", "")</f>
        <v/>
      </c>
      <c r="BC222" s="83" t="s">
        <v>3112</v>
      </c>
      <c r="BD222" s="83"/>
      <c r="BE222" s="101"/>
      <c r="BF222" s="101"/>
      <c r="BG222" s="101"/>
      <c r="BH222" s="101"/>
      <c r="BI222" s="101"/>
      <c r="BJ222" s="101"/>
      <c r="BK222" s="110"/>
      <c r="BL222" s="21"/>
      <c r="BM222" s="22">
        <v>788</v>
      </c>
      <c r="BN222" s="23"/>
      <c r="BO222" s="47" t="s">
        <v>562</v>
      </c>
    </row>
    <row r="223" spans="1:67" x14ac:dyDescent="0.45">
      <c r="A223" s="19">
        <v>222</v>
      </c>
      <c r="B223" s="1" t="s">
        <v>1647</v>
      </c>
      <c r="C223" s="17" t="str">
        <f t="shared" si="27"/>
        <v>이행완료</v>
      </c>
      <c r="D223" s="17" t="str">
        <f t="shared" si="30"/>
        <v>조사완료</v>
      </c>
      <c r="E223" s="2" t="s">
        <v>1757</v>
      </c>
      <c r="F223" s="1" t="s">
        <v>563</v>
      </c>
      <c r="G223" s="11" t="s">
        <v>1758</v>
      </c>
      <c r="H223" s="18" t="s">
        <v>1172</v>
      </c>
      <c r="I223" s="19">
        <v>568</v>
      </c>
      <c r="J223" s="2"/>
      <c r="K223" s="20" t="s">
        <v>2455</v>
      </c>
      <c r="L223" s="20"/>
      <c r="M223" s="17" t="str">
        <f t="shared" si="28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MATCH($BO223, 입력!$Z$2:$Z$500, 0)) &amp; "", "")</f>
        <v>12</v>
      </c>
      <c r="S223" s="64" t="str">
        <f>IFERROR(INDEX(입력!$K$2:$K$500, MATCH($BO223,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9"/>
        <v>11</v>
      </c>
      <c r="W223" s="1" t="str">
        <f t="shared" si="26"/>
        <v/>
      </c>
      <c r="X223" s="1">
        <v>12</v>
      </c>
      <c r="Y223" s="64" t="str">
        <f>IFERROR(INDEX(입력!$M$2:$M$500, MATCH($BO223, 입력!$Z$2:$Z$500, 0)) &amp; "", "")</f>
        <v/>
      </c>
      <c r="Z223" s="64" t="str">
        <f>IFERROR(INDEX(입력!$N$2:$N$500, MATCH($BO223,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1"/>
        <v>이행완료</v>
      </c>
      <c r="AC223" s="64" t="str">
        <f>IFERROR(INDEX(입력!$P$2:$P$500, MATCH($BO223, 입력!$Z$2:$Z$500, 0)) &amp; "", "")</f>
        <v>492</v>
      </c>
      <c r="AD223" s="64" t="str">
        <f>IFERROR(INDEX(입력!$Q$2:$Q$500, MATCH($BO223, 입력!$Z$2:$Z$500, 0)) &amp; "", "")</f>
        <v>14</v>
      </c>
      <c r="AE223" s="64" t="str">
        <f>IFERROR(INDEX(입력!$R$2:$R$500, MATCH($BO223, 입력!$Z$2:$Z$500, 0)) &amp; "", "")</f>
        <v>여</v>
      </c>
      <c r="AF223" s="64" t="str">
        <f>IFERROR(INDEX(입력!$S$2:$S$500, MATCH($BO223, 입력!$Z$2:$Z$500, 0)) &amp; "", "")</f>
        <v>여</v>
      </c>
      <c r="AG223" s="64" t="str">
        <f>IFERROR(INDEX(입력!$T$2:$T$500, MATCH($BO223, 입력!$Z$2:$Z$500, 0)) &amp; "", "")</f>
        <v>부</v>
      </c>
      <c r="AH223" s="64" t="str">
        <f>IFERROR(INDEX(입력!$U$2:$U$500, MATCH($BO223, 입력!$Z$2:$Z$500, 0)) &amp; "", "")</f>
        <v/>
      </c>
      <c r="AI223" s="64" t="str">
        <f>IFERROR(INDEX(입력!$V$2:$V$500, MATCH($BO223, 입력!$Z$2:$Z$500, 0)) &amp; "", "")</f>
        <v>여</v>
      </c>
      <c r="AJ223" s="44" t="str">
        <f>IFERROR(INDEX(입력!$W$2:$W$500, MATCH($BO223, 입력!$Z$2:$Z$500, 0)) &amp; "", "")</f>
        <v>오송</v>
      </c>
      <c r="AK223" s="44" t="str">
        <f>IFERROR(INDEX(입력!$X$2:$X$500, MATCH($BO223, 입력!$Z$2:$Z$500, 0)) &amp; "", "")</f>
        <v>974-0082</v>
      </c>
      <c r="AL223" s="2" t="s">
        <v>1759</v>
      </c>
      <c r="AM223" s="17" t="s">
        <v>1650</v>
      </c>
      <c r="AN223" s="101">
        <v>2025</v>
      </c>
      <c r="AO223" s="17" t="s">
        <v>3274</v>
      </c>
      <c r="AP223" s="118"/>
      <c r="AQ223" s="21"/>
      <c r="AR223" s="119"/>
      <c r="AS223" s="101" t="s">
        <v>3138</v>
      </c>
      <c r="AT223" s="109">
        <v>46062</v>
      </c>
      <c r="AU223" s="101"/>
      <c r="AV223" s="21" t="s">
        <v>1760</v>
      </c>
      <c r="AW223" s="101"/>
      <c r="AX223" s="119" t="s">
        <v>1761</v>
      </c>
      <c r="AY223" s="83" t="s">
        <v>3131</v>
      </c>
      <c r="AZ223" s="71" t="str">
        <f>IFERROR(IF(INDEX(입력!$C$2:$C$500, MATCH($BO223, 입력!$Z$2:$Z$500, 0))="", "", TEXT(INDEX(입력!$C$2:$C$500, MATCH($BO223, 입력!$Z$2:$Z$500, 0)), "yyyy-mm-dd")), "")</f>
        <v>2026-04-16</v>
      </c>
      <c r="BA223" s="44" t="str">
        <f>IFERROR(INDEX(입력!$B$2:$B$500, MATCH($BO223, 입력!$Z$2:$Z$500, 0)) &amp; "", "")</f>
        <v>정은진</v>
      </c>
      <c r="BB223" s="83" t="str">
        <f>IFERROR(INDEX(입력!$Y$2:$Y$500, MATCH($BO223, 입력!$Z$2:$Z$500, 0)) &amp; "", "")</f>
        <v/>
      </c>
      <c r="BC223" s="83" t="s">
        <v>3112</v>
      </c>
      <c r="BD223" s="83"/>
      <c r="BE223" s="101"/>
      <c r="BF223" s="101"/>
      <c r="BG223" s="101"/>
      <c r="BH223" s="101"/>
      <c r="BI223" s="101"/>
      <c r="BJ223" s="101"/>
      <c r="BK223" s="110"/>
      <c r="BL223" s="21"/>
      <c r="BM223" s="22">
        <v>568</v>
      </c>
      <c r="BN223" s="23"/>
      <c r="BO223" s="47" t="s">
        <v>564</v>
      </c>
    </row>
    <row r="224" spans="1:67" x14ac:dyDescent="0.45">
      <c r="A224" s="46">
        <v>223</v>
      </c>
      <c r="B224" s="1" t="s">
        <v>1647</v>
      </c>
      <c r="C224" s="17" t="str">
        <f t="shared" si="27"/>
        <v>이행완료</v>
      </c>
      <c r="D224" s="17" t="str">
        <f t="shared" si="30"/>
        <v/>
      </c>
      <c r="E224" s="2" t="s">
        <v>1762</v>
      </c>
      <c r="F224" s="1" t="s">
        <v>565</v>
      </c>
      <c r="G224" s="11" t="s">
        <v>1763</v>
      </c>
      <c r="H224" s="18" t="s">
        <v>1276</v>
      </c>
      <c r="I224" s="19">
        <v>369</v>
      </c>
      <c r="J224" s="2"/>
      <c r="K224" s="20" t="s">
        <v>2594</v>
      </c>
      <c r="L224" s="20"/>
      <c r="M224" s="17" t="str">
        <f t="shared" si="28"/>
        <v>기축</v>
      </c>
      <c r="N224" s="21" t="s">
        <v>2393</v>
      </c>
      <c r="O224" s="21"/>
      <c r="P224" s="1">
        <f t="shared" si="24"/>
        <v>7</v>
      </c>
      <c r="Q224" s="1">
        <v>8</v>
      </c>
      <c r="R224" s="64" t="str">
        <f>IFERROR(INDEX(입력!$J$2:$J$500, MATCH($BO224, 입력!$Z$2:$Z$500, 0)) &amp; "", "")</f>
        <v/>
      </c>
      <c r="S224" s="64" t="str">
        <f>IFERROR(INDEX(입력!$K$2:$K$500, MATCH($BO224,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9"/>
        <v>7</v>
      </c>
      <c r="W224" s="1" t="str">
        <f t="shared" si="26"/>
        <v/>
      </c>
      <c r="X224" s="1">
        <v>8</v>
      </c>
      <c r="Y224" s="64" t="str">
        <f>IFERROR(INDEX(입력!$M$2:$M$500, MATCH($BO224, 입력!$Z$2:$Z$500, 0)) &amp; "", "")</f>
        <v/>
      </c>
      <c r="Z224" s="64" t="str">
        <f>IFERROR(INDEX(입력!$N$2:$N$500, MATCH($BO224, 입력!$Z$2:$Z$500, 0)) &amp; "", "")</f>
        <v/>
      </c>
      <c r="AA224" s="64">
        <f>MAX(0, 표1[[#This Row],[의무_시설]]-표1[[#This Row],[시설합]])</f>
        <v>0</v>
      </c>
      <c r="AB224" s="17" t="str">
        <f t="shared" si="31"/>
        <v>이행완료</v>
      </c>
      <c r="AC224" s="64" t="str">
        <f>IFERROR(INDEX(입력!$P$2:$P$500, MATCH($BO224, 입력!$Z$2:$Z$500, 0)) &amp; "", "")</f>
        <v/>
      </c>
      <c r="AD224" s="64" t="str">
        <f>IFERROR(INDEX(입력!$Q$2:$Q$500, MATCH($BO224, 입력!$Z$2:$Z$500, 0)) &amp; "", "")</f>
        <v/>
      </c>
      <c r="AE224" s="64" t="str">
        <f>IFERROR(INDEX(입력!$R$2:$R$500, MATCH($BO224, 입력!$Z$2:$Z$500, 0)) &amp; "", "")</f>
        <v/>
      </c>
      <c r="AF224" s="64" t="str">
        <f>IFERROR(INDEX(입력!$S$2:$S$500, MATCH($BO224, 입력!$Z$2:$Z$500, 0)) &amp; "", "")</f>
        <v/>
      </c>
      <c r="AG224" s="64" t="str">
        <f>IFERROR(INDEX(입력!$T$2:$T$500, MATCH($BO224, 입력!$Z$2:$Z$500, 0)) &amp; "", "")</f>
        <v/>
      </c>
      <c r="AH224" s="64" t="str">
        <f>IFERROR(INDEX(입력!$U$2:$U$500, MATCH($BO224, 입력!$Z$2:$Z$500, 0)) &amp; "", "")</f>
        <v/>
      </c>
      <c r="AI224" s="64" t="str">
        <f>IFERROR(INDEX(입력!$V$2:$V$500, MATCH($BO224, 입력!$Z$2:$Z$500, 0)) &amp; "", "")</f>
        <v/>
      </c>
      <c r="AJ224" s="44" t="str">
        <f>IFERROR(INDEX(입력!$W$2:$W$500, MATCH($BO224, 입력!$Z$2:$Z$500, 0)) &amp; "", "")</f>
        <v/>
      </c>
      <c r="AK224" s="44" t="str">
        <f>IFERROR(INDEX(입력!$X$2:$X$500, MATCH($BO224, 입력!$Z$2:$Z$500, 0)) &amp; "", "")</f>
        <v/>
      </c>
      <c r="AL224" s="2"/>
      <c r="AM224" s="17" t="s">
        <v>1650</v>
      </c>
      <c r="AN224" s="101">
        <v>2025</v>
      </c>
      <c r="AO224" s="17" t="s">
        <v>3275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3137</v>
      </c>
      <c r="AZ224" s="71" t="str">
        <f>IFERROR(IF(INDEX(입력!$C$2:$C$500, MATCH($BO224, 입력!$Z$2:$Z$500, 0))="", "", TEXT(INDEX(입력!$C$2:$C$500, MATCH($BO224, 입력!$Z$2:$Z$500, 0)), "yyyy-mm-dd")), "")</f>
        <v/>
      </c>
      <c r="BA224" s="44" t="str">
        <f>IFERROR(INDEX(입력!$B$2:$B$500, MATCH($BO224, 입력!$Z$2:$Z$500, 0)) &amp; "", "")</f>
        <v/>
      </c>
      <c r="BB224" s="83" t="str">
        <f>IFERROR(INDEX(입력!$Y$2:$Y$500, MATCH($BO224, 입력!$Z$2:$Z$500, 0)) &amp; "", "")</f>
        <v/>
      </c>
      <c r="BC224" s="83" t="s">
        <v>3112</v>
      </c>
      <c r="BD224" s="83"/>
      <c r="BE224" s="101"/>
      <c r="BF224" s="101"/>
      <c r="BG224" s="101"/>
      <c r="BH224" s="101"/>
      <c r="BI224" s="101"/>
      <c r="BJ224" s="101"/>
      <c r="BK224" s="110"/>
      <c r="BL224" s="21"/>
      <c r="BM224" s="22">
        <v>327</v>
      </c>
      <c r="BN224" s="23"/>
      <c r="BO224" s="47" t="s">
        <v>566</v>
      </c>
    </row>
    <row r="225" spans="1:67" x14ac:dyDescent="0.45">
      <c r="A225" s="19">
        <v>224</v>
      </c>
      <c r="B225" s="1" t="s">
        <v>1647</v>
      </c>
      <c r="C225" s="17" t="str">
        <f t="shared" si="27"/>
        <v>이행완료</v>
      </c>
      <c r="D225" s="17" t="str">
        <f t="shared" si="30"/>
        <v>조사완료</v>
      </c>
      <c r="E225" s="2" t="s">
        <v>1764</v>
      </c>
      <c r="F225" s="1" t="s">
        <v>567</v>
      </c>
      <c r="G225" s="11" t="s">
        <v>1765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8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MATCH($BO225, 입력!$Z$2:$Z$500, 0)) &amp; "", "")</f>
        <v>10</v>
      </c>
      <c r="S225" s="64" t="str">
        <f>IFERROR(INDEX(입력!$K$2:$K$500, MATCH($BO225,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9"/>
        <v>10</v>
      </c>
      <c r="W225" s="1" t="str">
        <f t="shared" si="26"/>
        <v/>
      </c>
      <c r="X225" s="1">
        <v>14</v>
      </c>
      <c r="Y225" s="64" t="str">
        <f>IFERROR(INDEX(입력!$M$2:$M$500, MATCH($BO225, 입력!$Z$2:$Z$500, 0)) &amp; "", "")</f>
        <v/>
      </c>
      <c r="Z225" s="64" t="str">
        <f>IFERROR(INDEX(입력!$N$2:$N$500, MATCH($BO225,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1"/>
        <v>이행완료</v>
      </c>
      <c r="AC225" s="64" t="str">
        <f>IFERROR(INDEX(입력!$P$2:$P$500, MATCH($BO225, 입력!$Z$2:$Z$500, 0)) &amp; "", "")</f>
        <v>556</v>
      </c>
      <c r="AD225" s="64" t="str">
        <f>IFERROR(INDEX(입력!$Q$2:$Q$500, MATCH($BO225, 입력!$Z$2:$Z$500, 0)) &amp; "", "")</f>
        <v>13</v>
      </c>
      <c r="AE225" s="64" t="str">
        <f>IFERROR(INDEX(입력!$R$2:$R$500, MATCH($BO225, 입력!$Z$2:$Z$500, 0)) &amp; "", "")</f>
        <v>여</v>
      </c>
      <c r="AF225" s="64" t="str">
        <f>IFERROR(INDEX(입력!$S$2:$S$500, MATCH($BO225, 입력!$Z$2:$Z$500, 0)) &amp; "", "")</f>
        <v/>
      </c>
      <c r="AG225" s="64" t="str">
        <f>IFERROR(INDEX(입력!$T$2:$T$500, MATCH($BO225, 입력!$Z$2:$Z$500, 0)) &amp; "", "")</f>
        <v/>
      </c>
      <c r="AH225" s="64" t="str">
        <f>IFERROR(INDEX(입력!$U$2:$U$500, MATCH($BO225, 입력!$Z$2:$Z$500, 0)) &amp; "", "")</f>
        <v/>
      </c>
      <c r="AI225" s="64" t="str">
        <f>IFERROR(INDEX(입력!$V$2:$V$500, MATCH($BO225, 입력!$Z$2:$Z$500, 0)) &amp; "", "")</f>
        <v>여</v>
      </c>
      <c r="AJ225" s="44" t="str">
        <f>IFERROR(INDEX(입력!$W$2:$W$500, MATCH($BO225, 입력!$Z$2:$Z$500, 0)) &amp; "", "")</f>
        <v>박두희</v>
      </c>
      <c r="AK225" s="44" t="str">
        <f>IFERROR(INDEX(입력!$X$2:$X$500, MATCH($BO225, 입력!$Z$2:$Z$500, 0)) &amp; "", "")</f>
        <v>955-7868</v>
      </c>
      <c r="AL225" s="2" t="s">
        <v>1766</v>
      </c>
      <c r="AM225" s="17" t="s">
        <v>1650</v>
      </c>
      <c r="AN225" s="101">
        <v>2025</v>
      </c>
      <c r="AO225" s="17" t="s">
        <v>3274</v>
      </c>
      <c r="AP225" s="118"/>
      <c r="AQ225" s="21"/>
      <c r="AR225" s="119"/>
      <c r="AS225" s="101" t="s">
        <v>3124</v>
      </c>
      <c r="AT225" s="109">
        <v>46034</v>
      </c>
      <c r="AU225" s="101" t="s">
        <v>3127</v>
      </c>
      <c r="AV225" s="21" t="s">
        <v>1767</v>
      </c>
      <c r="AW225" s="101"/>
      <c r="AX225" s="119" t="s">
        <v>1768</v>
      </c>
      <c r="AY225" s="83" t="s">
        <v>3137</v>
      </c>
      <c r="AZ225" s="71" t="str">
        <f>IFERROR(IF(INDEX(입력!$C$2:$C$500, MATCH($BO225, 입력!$Z$2:$Z$500, 0))="", "", TEXT(INDEX(입력!$C$2:$C$500, MATCH($BO225, 입력!$Z$2:$Z$500, 0)), "yyyy-mm-dd")), "")</f>
        <v>2026-04-03</v>
      </c>
      <c r="BA225" s="44" t="str">
        <f>IFERROR(INDEX(입력!$B$2:$B$500, MATCH($BO225, 입력!$Z$2:$Z$500, 0)) &amp; "", "")</f>
        <v>노기섭</v>
      </c>
      <c r="BB225" s="83" t="str">
        <f>IFERROR(INDEX(입력!$Y$2:$Y$500, MATCH($BO225, 입력!$Z$2:$Z$500, 0)) &amp; "", "")</f>
        <v/>
      </c>
      <c r="BC225" s="83" t="s">
        <v>3112</v>
      </c>
      <c r="BD225" s="83"/>
      <c r="BE225" s="101"/>
      <c r="BF225" s="101"/>
      <c r="BG225" s="101"/>
      <c r="BH225" s="101"/>
      <c r="BI225" s="101"/>
      <c r="BJ225" s="101"/>
      <c r="BK225" s="110"/>
      <c r="BL225" s="21"/>
      <c r="BM225" s="22">
        <v>490</v>
      </c>
      <c r="BN225" s="23"/>
      <c r="BO225" s="47" t="s">
        <v>568</v>
      </c>
    </row>
    <row r="226" spans="1:67" x14ac:dyDescent="0.45">
      <c r="A226" s="46">
        <v>225</v>
      </c>
      <c r="B226" s="1" t="s">
        <v>1647</v>
      </c>
      <c r="C226" s="17" t="str">
        <f t="shared" si="27"/>
        <v>이행완료</v>
      </c>
      <c r="D226" s="17" t="str">
        <f t="shared" si="30"/>
        <v>조사완료</v>
      </c>
      <c r="E226" s="2" t="s">
        <v>1769</v>
      </c>
      <c r="F226" s="1" t="s">
        <v>569</v>
      </c>
      <c r="G226" s="15" t="s">
        <v>1770</v>
      </c>
      <c r="H226" s="18" t="s">
        <v>1462</v>
      </c>
      <c r="I226" s="19">
        <v>354</v>
      </c>
      <c r="J226" s="2"/>
      <c r="K226" s="20">
        <v>36505</v>
      </c>
      <c r="L226" s="20"/>
      <c r="M226" s="17" t="str">
        <f t="shared" si="28"/>
        <v>기축</v>
      </c>
      <c r="N226" s="21"/>
      <c r="O226" s="21" t="s">
        <v>3104</v>
      </c>
      <c r="P226" s="1">
        <f t="shared" si="24"/>
        <v>7</v>
      </c>
      <c r="Q226" s="1">
        <v>9</v>
      </c>
      <c r="R226" s="64" t="str">
        <f>IFERROR(INDEX(입력!$J$2:$J$500, MATCH($BO226, 입력!$Z$2:$Z$500, 0)) &amp; "", "")</f>
        <v>7</v>
      </c>
      <c r="S226" s="64" t="str">
        <f>IFERROR(INDEX(입력!$K$2:$K$500, MATCH($BO226,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9"/>
        <v>7</v>
      </c>
      <c r="W226" s="1" t="str">
        <f t="shared" si="26"/>
        <v/>
      </c>
      <c r="X226" s="1">
        <v>9</v>
      </c>
      <c r="Y226" s="64" t="str">
        <f>IFERROR(INDEX(입력!$M$2:$M$500, MATCH($BO226, 입력!$Z$2:$Z$500, 0)) &amp; "", "")</f>
        <v/>
      </c>
      <c r="Z226" s="64" t="str">
        <f>IFERROR(INDEX(입력!$N$2:$N$500, MATCH($BO226, 입력!$Z$2:$Z$500, 0)) &amp; "", "")</f>
        <v>9</v>
      </c>
      <c r="AA226" s="64">
        <f>MAX(0, 표1[[#This Row],[의무_시설]]-표1[[#This Row],[시설합]])</f>
        <v>0</v>
      </c>
      <c r="AB226" s="17" t="str">
        <f t="shared" si="31"/>
        <v>이행완료</v>
      </c>
      <c r="AC226" s="64" t="str">
        <f>IFERROR(INDEX(입력!$P$2:$P$500, MATCH($BO226, 입력!$Z$2:$Z$500, 0)) &amp; "", "")</f>
        <v>490</v>
      </c>
      <c r="AD226" s="64" t="str">
        <f>IFERROR(INDEX(입력!$Q$2:$Q$500, MATCH($BO226, 입력!$Z$2:$Z$500, 0)) &amp; "", "")</f>
        <v>9</v>
      </c>
      <c r="AE226" s="64" t="str">
        <f>IFERROR(INDEX(입력!$R$2:$R$500, MATCH($BO226, 입력!$Z$2:$Z$500, 0)) &amp; "", "")</f>
        <v>여</v>
      </c>
      <c r="AF226" s="64" t="str">
        <f>IFERROR(INDEX(입력!$S$2:$S$500, MATCH($BO226, 입력!$Z$2:$Z$500, 0)) &amp; "", "")</f>
        <v>여</v>
      </c>
      <c r="AG226" s="64" t="str">
        <f>IFERROR(INDEX(입력!$T$2:$T$500, MATCH($BO226, 입력!$Z$2:$Z$500, 0)) &amp; "", "")</f>
        <v>여</v>
      </c>
      <c r="AH226" s="64" t="str">
        <f>IFERROR(INDEX(입력!$U$2:$U$500, MATCH($BO226, 입력!$Z$2:$Z$500, 0)) &amp; "", "")</f>
        <v>2</v>
      </c>
      <c r="AI226" s="64" t="str">
        <f>IFERROR(INDEX(입력!$V$2:$V$500, MATCH($BO226, 입력!$Z$2:$Z$500, 0)) &amp; "", "")</f>
        <v>여</v>
      </c>
      <c r="AJ226" s="44" t="str">
        <f>IFERROR(INDEX(입력!$W$2:$W$500, MATCH($BO226, 입력!$Z$2:$Z$500, 0)) &amp; "", "")</f>
        <v>강귀자</v>
      </c>
      <c r="AK226" s="44" t="str">
        <f>IFERROR(INDEX(입력!$X$2:$X$500, MATCH($BO226, 입력!$Z$2:$Z$500, 0)) &amp; "", "")</f>
        <v>010-2969-2330</v>
      </c>
      <c r="AL226" s="2" t="s">
        <v>2398</v>
      </c>
      <c r="AM226" s="17" t="s">
        <v>1650</v>
      </c>
      <c r="AN226" s="101">
        <v>2025</v>
      </c>
      <c r="AO226" s="17" t="s">
        <v>3274</v>
      </c>
      <c r="AP226" s="118"/>
      <c r="AQ226" s="21"/>
      <c r="AR226" s="119" t="s">
        <v>3282</v>
      </c>
      <c r="AS226" s="101"/>
      <c r="AT226" s="101"/>
      <c r="AU226" s="101"/>
      <c r="AV226" s="101"/>
      <c r="AW226" s="101"/>
      <c r="AX226" s="101"/>
      <c r="AY226" s="83" t="s">
        <v>3131</v>
      </c>
      <c r="AZ226" s="71" t="str">
        <f>IFERROR(IF(INDEX(입력!$C$2:$C$500, MATCH($BO226, 입력!$Z$2:$Z$500, 0))="", "", TEXT(INDEX(입력!$C$2:$C$500, MATCH($BO226, 입력!$Z$2:$Z$500, 0)), "yyyy-mm-dd")), "")</f>
        <v>2026-04-10</v>
      </c>
      <c r="BA226" s="44" t="str">
        <f>IFERROR(INDEX(입력!$B$2:$B$500, MATCH($BO226, 입력!$Z$2:$Z$500, 0)) &amp; "", "")</f>
        <v>이승수</v>
      </c>
      <c r="BB226" s="83" t="str">
        <f>IFERROR(INDEX(입력!$Y$2:$Y$500, MATCH($BO226, 입력!$Z$2:$Z$500, 0)) &amp; "", "")</f>
        <v/>
      </c>
      <c r="BC226" s="83" t="s">
        <v>3112</v>
      </c>
      <c r="BD226" s="83"/>
      <c r="BE226" s="101"/>
      <c r="BF226" s="101"/>
      <c r="BG226" s="101"/>
      <c r="BH226" s="101"/>
      <c r="BI226" s="101"/>
      <c r="BJ226" s="101"/>
      <c r="BK226" s="110"/>
      <c r="BL226" s="21" t="s">
        <v>3100</v>
      </c>
      <c r="BM226" s="22">
        <v>347</v>
      </c>
      <c r="BN226" s="23"/>
      <c r="BO226" s="47" t="s">
        <v>570</v>
      </c>
    </row>
    <row r="227" spans="1:67" x14ac:dyDescent="0.45">
      <c r="A227" s="19">
        <v>226</v>
      </c>
      <c r="B227" s="1" t="s">
        <v>1647</v>
      </c>
      <c r="C227" s="17" t="str">
        <f t="shared" si="27"/>
        <v>이행완료</v>
      </c>
      <c r="D227" s="17" t="str">
        <f t="shared" si="30"/>
        <v/>
      </c>
      <c r="E227" s="2" t="s">
        <v>1771</v>
      </c>
      <c r="F227" s="1" t="s">
        <v>571</v>
      </c>
      <c r="G227" s="11" t="s">
        <v>1772</v>
      </c>
      <c r="H227" s="18" t="s">
        <v>1266</v>
      </c>
      <c r="I227" s="19">
        <v>274</v>
      </c>
      <c r="J227" s="2"/>
      <c r="K227" s="20" t="s">
        <v>2457</v>
      </c>
      <c r="L227" s="20"/>
      <c r="M227" s="17" t="str">
        <f t="shared" si="28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MATCH($BO227, 입력!$Z$2:$Z$500, 0)) &amp; "", "")</f>
        <v/>
      </c>
      <c r="S227" s="64" t="str">
        <f>IFERROR(INDEX(입력!$K$2:$K$500, MATCH($BO227,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9"/>
        <v>5</v>
      </c>
      <c r="W227" s="1" t="str">
        <f t="shared" si="26"/>
        <v/>
      </c>
      <c r="X227" s="1">
        <v>6</v>
      </c>
      <c r="Y227" s="64" t="str">
        <f>IFERROR(INDEX(입력!$M$2:$M$500, MATCH($BO227, 입력!$Z$2:$Z$500, 0)) &amp; "", "")</f>
        <v/>
      </c>
      <c r="Z227" s="64" t="str">
        <f>IFERROR(INDEX(입력!$N$2:$N$500, MATCH($BO227, 입력!$Z$2:$Z$500, 0)) &amp; "", "")</f>
        <v/>
      </c>
      <c r="AA227" s="64">
        <f>MAX(0, 표1[[#This Row],[의무_시설]]-표1[[#This Row],[시설합]])</f>
        <v>0</v>
      </c>
      <c r="AB227" s="17" t="str">
        <f t="shared" si="31"/>
        <v>이행완료</v>
      </c>
      <c r="AC227" s="64" t="str">
        <f>IFERROR(INDEX(입력!$P$2:$P$500, MATCH($BO227, 입력!$Z$2:$Z$500, 0)) &amp; "", "")</f>
        <v/>
      </c>
      <c r="AD227" s="64" t="str">
        <f>IFERROR(INDEX(입력!$Q$2:$Q$500, MATCH($BO227, 입력!$Z$2:$Z$500, 0)) &amp; "", "")</f>
        <v/>
      </c>
      <c r="AE227" s="64" t="str">
        <f>IFERROR(INDEX(입력!$R$2:$R$500, MATCH($BO227, 입력!$Z$2:$Z$500, 0)) &amp; "", "")</f>
        <v/>
      </c>
      <c r="AF227" s="64" t="str">
        <f>IFERROR(INDEX(입력!$S$2:$S$500, MATCH($BO227, 입력!$Z$2:$Z$500, 0)) &amp; "", "")</f>
        <v/>
      </c>
      <c r="AG227" s="64" t="str">
        <f>IFERROR(INDEX(입력!$T$2:$T$500, MATCH($BO227, 입력!$Z$2:$Z$500, 0)) &amp; "", "")</f>
        <v/>
      </c>
      <c r="AH227" s="64" t="str">
        <f>IFERROR(INDEX(입력!$U$2:$U$500, MATCH($BO227, 입력!$Z$2:$Z$500, 0)) &amp; "", "")</f>
        <v/>
      </c>
      <c r="AI227" s="64" t="str">
        <f>IFERROR(INDEX(입력!$V$2:$V$500, MATCH($BO227, 입력!$Z$2:$Z$500, 0)) &amp; "", "")</f>
        <v/>
      </c>
      <c r="AJ227" s="44" t="str">
        <f>IFERROR(INDEX(입력!$W$2:$W$500, MATCH($BO227, 입력!$Z$2:$Z$500, 0)) &amp; "", "")</f>
        <v/>
      </c>
      <c r="AK227" s="44" t="str">
        <f>IFERROR(INDEX(입력!$X$2:$X$500, MATCH($BO227, 입력!$Z$2:$Z$500, 0)) &amp; "", "")</f>
        <v/>
      </c>
      <c r="AL227" s="2"/>
      <c r="AM227" s="17" t="s">
        <v>1650</v>
      </c>
      <c r="AN227" s="101">
        <v>2025</v>
      </c>
      <c r="AO227" s="17" t="s">
        <v>3275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3131</v>
      </c>
      <c r="AZ227" s="71" t="str">
        <f>IFERROR(IF(INDEX(입력!$C$2:$C$500, MATCH($BO227, 입력!$Z$2:$Z$500, 0))="", "", TEXT(INDEX(입력!$C$2:$C$500, MATCH($BO227, 입력!$Z$2:$Z$500, 0)), "yyyy-mm-dd")), "")</f>
        <v/>
      </c>
      <c r="BA227" s="44" t="str">
        <f>IFERROR(INDEX(입력!$B$2:$B$500, MATCH($BO227, 입력!$Z$2:$Z$500, 0)) &amp; "", "")</f>
        <v/>
      </c>
      <c r="BB227" s="83" t="str">
        <f>IFERROR(INDEX(입력!$Y$2:$Y$500, MATCH($BO227, 입력!$Z$2:$Z$500, 0)) &amp; "", "")</f>
        <v/>
      </c>
      <c r="BC227" s="83" t="s">
        <v>3112</v>
      </c>
      <c r="BD227" s="83"/>
      <c r="BE227" s="101"/>
      <c r="BF227" s="101"/>
      <c r="BG227" s="101"/>
      <c r="BH227" s="101"/>
      <c r="BI227" s="101"/>
      <c r="BJ227" s="101"/>
      <c r="BK227" s="110"/>
      <c r="BL227" s="21"/>
      <c r="BM227" s="22">
        <v>272</v>
      </c>
      <c r="BN227" s="23"/>
      <c r="BO227" s="47" t="s">
        <v>572</v>
      </c>
    </row>
    <row r="228" spans="1:67" x14ac:dyDescent="0.45">
      <c r="A228" s="46">
        <v>227</v>
      </c>
      <c r="B228" s="1" t="s">
        <v>1647</v>
      </c>
      <c r="C228" s="17" t="str">
        <f t="shared" si="27"/>
        <v>이행완료</v>
      </c>
      <c r="D228" s="17" t="str">
        <f t="shared" si="30"/>
        <v/>
      </c>
      <c r="E228" s="2" t="s">
        <v>1773</v>
      </c>
      <c r="F228" s="1" t="s">
        <v>573</v>
      </c>
      <c r="G228" s="11" t="s">
        <v>1774</v>
      </c>
      <c r="H228" s="18" t="s">
        <v>1276</v>
      </c>
      <c r="I228" s="19">
        <v>1262</v>
      </c>
      <c r="J228" s="2"/>
      <c r="K228" s="20" t="s">
        <v>2458</v>
      </c>
      <c r="L228" s="20"/>
      <c r="M228" s="17" t="str">
        <f t="shared" si="28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MATCH($BO228, 입력!$Z$2:$Z$500, 0)) &amp; "", "")</f>
        <v/>
      </c>
      <c r="S228" s="64" t="str">
        <f>IFERROR(INDEX(입력!$K$2:$K$500, MATCH($BO228,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9"/>
        <v>25</v>
      </c>
      <c r="W228" s="1" t="str">
        <f t="shared" si="26"/>
        <v/>
      </c>
      <c r="X228" s="1">
        <v>26</v>
      </c>
      <c r="Y228" s="64" t="str">
        <f>IFERROR(INDEX(입력!$M$2:$M$500, MATCH($BO228, 입력!$Z$2:$Z$500, 0)) &amp; "", "")</f>
        <v/>
      </c>
      <c r="Z228" s="64" t="str">
        <f>IFERROR(INDEX(입력!$N$2:$N$500, MATCH($BO228, 입력!$Z$2:$Z$500, 0)) &amp; "", "")</f>
        <v/>
      </c>
      <c r="AA228" s="64">
        <f>MAX(0, 표1[[#This Row],[의무_시설]]-표1[[#This Row],[시설합]])</f>
        <v>0</v>
      </c>
      <c r="AB228" s="17" t="str">
        <f t="shared" si="31"/>
        <v>이행완료</v>
      </c>
      <c r="AC228" s="64" t="str">
        <f>IFERROR(INDEX(입력!$P$2:$P$500, MATCH($BO228, 입력!$Z$2:$Z$500, 0)) &amp; "", "")</f>
        <v/>
      </c>
      <c r="AD228" s="64" t="str">
        <f>IFERROR(INDEX(입력!$Q$2:$Q$500, MATCH($BO228, 입력!$Z$2:$Z$500, 0)) &amp; "", "")</f>
        <v/>
      </c>
      <c r="AE228" s="64" t="str">
        <f>IFERROR(INDEX(입력!$R$2:$R$500, MATCH($BO228, 입력!$Z$2:$Z$500, 0)) &amp; "", "")</f>
        <v/>
      </c>
      <c r="AF228" s="64" t="str">
        <f>IFERROR(INDEX(입력!$S$2:$S$500, MATCH($BO228, 입력!$Z$2:$Z$500, 0)) &amp; "", "")</f>
        <v/>
      </c>
      <c r="AG228" s="64" t="str">
        <f>IFERROR(INDEX(입력!$T$2:$T$500, MATCH($BO228, 입력!$Z$2:$Z$500, 0)) &amp; "", "")</f>
        <v/>
      </c>
      <c r="AH228" s="64" t="str">
        <f>IFERROR(INDEX(입력!$U$2:$U$500, MATCH($BO228, 입력!$Z$2:$Z$500, 0)) &amp; "", "")</f>
        <v/>
      </c>
      <c r="AI228" s="64" t="str">
        <f>IFERROR(INDEX(입력!$V$2:$V$500, MATCH($BO228, 입력!$Z$2:$Z$500, 0)) &amp; "", "")</f>
        <v/>
      </c>
      <c r="AJ228" s="44" t="str">
        <f>IFERROR(INDEX(입력!$W$2:$W$500, MATCH($BO228, 입력!$Z$2:$Z$500, 0)) &amp; "", "")</f>
        <v/>
      </c>
      <c r="AK228" s="44" t="str">
        <f>IFERROR(INDEX(입력!$X$2:$X$500, MATCH($BO228, 입력!$Z$2:$Z$500, 0)) &amp; "", "")</f>
        <v/>
      </c>
      <c r="AL228" s="2"/>
      <c r="AM228" s="17" t="s">
        <v>1650</v>
      </c>
      <c r="AN228" s="101">
        <v>2025</v>
      </c>
      <c r="AO228" s="17" t="s">
        <v>3275</v>
      </c>
      <c r="AP228" s="118"/>
      <c r="AQ228" s="21"/>
      <c r="AR228" s="119" t="s">
        <v>1775</v>
      </c>
      <c r="AS228" s="101"/>
      <c r="AT228" s="101"/>
      <c r="AU228" s="101"/>
      <c r="AV228" s="101"/>
      <c r="AW228" s="101"/>
      <c r="AX228" s="101"/>
      <c r="AY228" s="83" t="s">
        <v>3131</v>
      </c>
      <c r="AZ228" s="71" t="str">
        <f>IFERROR(IF(INDEX(입력!$C$2:$C$500, MATCH($BO228, 입력!$Z$2:$Z$500, 0))="", "", TEXT(INDEX(입력!$C$2:$C$500, MATCH($BO228, 입력!$Z$2:$Z$500, 0)), "yyyy-mm-dd")), "")</f>
        <v/>
      </c>
      <c r="BA228" s="44" t="str">
        <f>IFERROR(INDEX(입력!$B$2:$B$500, MATCH($BO228, 입력!$Z$2:$Z$500, 0)) &amp; "", "")</f>
        <v/>
      </c>
      <c r="BB228" s="83" t="str">
        <f>IFERROR(INDEX(입력!$Y$2:$Y$500, MATCH($BO228, 입력!$Z$2:$Z$500, 0)) &amp; "", "")</f>
        <v/>
      </c>
      <c r="BC228" s="83" t="s">
        <v>3112</v>
      </c>
      <c r="BD228" s="83"/>
      <c r="BE228" s="101"/>
      <c r="BF228" s="101"/>
      <c r="BG228" s="101"/>
      <c r="BH228" s="101"/>
      <c r="BI228" s="101"/>
      <c r="BJ228" s="101"/>
      <c r="BK228" s="110"/>
      <c r="BL228" s="21"/>
      <c r="BM228" s="22">
        <v>1262</v>
      </c>
      <c r="BN228" s="23"/>
      <c r="BO228" s="47" t="s">
        <v>574</v>
      </c>
    </row>
    <row r="229" spans="1:67" x14ac:dyDescent="0.45">
      <c r="A229" s="19">
        <v>228</v>
      </c>
      <c r="B229" s="1" t="s">
        <v>1647</v>
      </c>
      <c r="C229" s="17" t="str">
        <f t="shared" si="27"/>
        <v>미이행</v>
      </c>
      <c r="D229" s="17" t="str">
        <f t="shared" si="30"/>
        <v>조사완료</v>
      </c>
      <c r="E229" s="1" t="s">
        <v>1776</v>
      </c>
      <c r="F229" s="1" t="s">
        <v>212</v>
      </c>
      <c r="G229" s="11" t="s">
        <v>1238</v>
      </c>
      <c r="H229" s="18" t="s">
        <v>1172</v>
      </c>
      <c r="I229" s="19">
        <v>1437</v>
      </c>
      <c r="J229" s="2"/>
      <c r="K229" s="20">
        <v>42450</v>
      </c>
      <c r="L229" s="20"/>
      <c r="M229" s="17" t="str">
        <f t="shared" si="28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MATCH($BO229,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9"/>
        <v>29</v>
      </c>
      <c r="W229" s="1" t="str">
        <f t="shared" si="26"/>
        <v/>
      </c>
      <c r="X229" s="1">
        <v>27</v>
      </c>
      <c r="Y229" s="64" t="str">
        <f>IFERROR(INDEX(입력!$M$2:$M$500, MATCH($BO229, 입력!$Z$2:$Z$500, 0)) &amp; "", "")</f>
        <v/>
      </c>
      <c r="Z229" s="64">
        <v>27</v>
      </c>
      <c r="AA229" s="64">
        <f>MAX(0, 표1[[#This Row],[의무_시설]]-표1[[#This Row],[시설합]])</f>
        <v>2</v>
      </c>
      <c r="AB229" s="17" t="str">
        <f t="shared" si="31"/>
        <v>미이행</v>
      </c>
      <c r="AC229" s="64" t="str">
        <f>IFERROR(INDEX(입력!$P$2:$P$500, MATCH($BO229, 입력!$Z$2:$Z$500, 0)) &amp; "", "")</f>
        <v>1111</v>
      </c>
      <c r="AD229" s="64" t="str">
        <f>IFERROR(INDEX(입력!$Q$2:$Q$500, MATCH($BO229, 입력!$Z$2:$Z$500, 0)) &amp; "", "")</f>
        <v>28</v>
      </c>
      <c r="AE229" s="64" t="str">
        <f>IFERROR(INDEX(입력!$R$2:$R$500, MATCH($BO229, 입력!$Z$2:$Z$500, 0)) &amp; "", "")</f>
        <v>여</v>
      </c>
      <c r="AF229" s="64" t="str">
        <f>IFERROR(INDEX(입력!$S$2:$S$500, MATCH($BO229, 입력!$Z$2:$Z$500, 0)) &amp; "", "")</f>
        <v/>
      </c>
      <c r="AG229" s="64" t="str">
        <f>IFERROR(INDEX(입력!$T$2:$T$500, MATCH($BO229, 입력!$Z$2:$Z$500, 0)) &amp; "", "")</f>
        <v>부</v>
      </c>
      <c r="AH229" s="64" t="str">
        <f>IFERROR(INDEX(입력!$U$2:$U$500, MATCH($BO229, 입력!$Z$2:$Z$500, 0)) &amp; "", "")</f>
        <v/>
      </c>
      <c r="AI229" s="64" t="str">
        <f>IFERROR(INDEX(입력!$V$2:$V$500, MATCH($BO229, 입력!$Z$2:$Z$500, 0)) &amp; "", "")</f>
        <v>여</v>
      </c>
      <c r="AJ229" s="44" t="str">
        <f>IFERROR(INDEX(입력!$W$2:$W$500, MATCH($BO229, 입력!$Z$2:$Z$500, 0)) &amp; "", "")</f>
        <v>김민욱</v>
      </c>
      <c r="AK229" s="44" t="str">
        <f>IFERROR(INDEX(입력!$X$2:$X$500, MATCH($BO229, 입력!$Z$2:$Z$500, 0)) &amp; "", "")</f>
        <v>010-2722-4413</v>
      </c>
      <c r="AL229" s="2" t="s">
        <v>1777</v>
      </c>
      <c r="AM229" s="17" t="s">
        <v>1650</v>
      </c>
      <c r="AN229" s="101">
        <v>2025</v>
      </c>
      <c r="AO229" s="17" t="s">
        <v>3275</v>
      </c>
      <c r="AP229" s="101"/>
      <c r="AQ229" s="108"/>
      <c r="AR229" s="119"/>
      <c r="AS229" s="101" t="s">
        <v>3163</v>
      </c>
      <c r="AT229" s="109">
        <v>46034</v>
      </c>
      <c r="AU229" s="101" t="s">
        <v>3126</v>
      </c>
      <c r="AV229" s="108" t="s">
        <v>1778</v>
      </c>
      <c r="AW229" s="101" t="s">
        <v>3283</v>
      </c>
      <c r="AX229" s="119" t="s">
        <v>2411</v>
      </c>
      <c r="AY229" s="83" t="s">
        <v>3137</v>
      </c>
      <c r="AZ229" s="71" t="str">
        <f>IFERROR(IF(INDEX(입력!$C$2:$C$500, MATCH($BO229, 입력!$Z$2:$Z$500, 0))="", "", TEXT(INDEX(입력!$C$2:$C$500, MATCH($BO229, 입력!$Z$2:$Z$500, 0)), "yyyy-mm-dd")), "")</f>
        <v>2026-04-15</v>
      </c>
      <c r="BA229" s="44" t="str">
        <f>IFERROR(INDEX(입력!$B$2:$B$500, MATCH($BO229, 입력!$Z$2:$Z$500, 0)) &amp; "", "")</f>
        <v>정은진</v>
      </c>
      <c r="BB229" s="83" t="s">
        <v>3381</v>
      </c>
      <c r="BC229" s="83" t="s">
        <v>3284</v>
      </c>
      <c r="BD229" s="83"/>
      <c r="BE229" s="83" t="s">
        <v>3285</v>
      </c>
      <c r="BF229" s="101"/>
      <c r="BG229" s="101"/>
      <c r="BH229" s="101"/>
      <c r="BI229" s="101"/>
      <c r="BJ229" s="101"/>
      <c r="BK229" s="110"/>
      <c r="BL229" s="21"/>
      <c r="BM229" s="22">
        <v>1437</v>
      </c>
      <c r="BN229" s="23"/>
      <c r="BO229" s="47" t="s">
        <v>575</v>
      </c>
    </row>
    <row r="230" spans="1:67" x14ac:dyDescent="0.45">
      <c r="A230" s="46">
        <v>229</v>
      </c>
      <c r="B230" s="1" t="s">
        <v>1647</v>
      </c>
      <c r="C230" s="17" t="str">
        <f t="shared" si="27"/>
        <v>이행완료</v>
      </c>
      <c r="D230" s="17" t="str">
        <f t="shared" si="30"/>
        <v>조사완료</v>
      </c>
      <c r="E230" s="2" t="s">
        <v>1779</v>
      </c>
      <c r="F230" s="1" t="s">
        <v>576</v>
      </c>
      <c r="G230" s="11" t="s">
        <v>1780</v>
      </c>
      <c r="H230" s="18" t="s">
        <v>1172</v>
      </c>
      <c r="I230" s="19">
        <v>1370</v>
      </c>
      <c r="J230" s="2"/>
      <c r="K230" s="20" t="s">
        <v>2595</v>
      </c>
      <c r="L230" s="20"/>
      <c r="M230" s="17" t="str">
        <f t="shared" si="28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MATCH($BO230, 입력!$Z$2:$Z$500, 0)) &amp; "", "")</f>
        <v>27</v>
      </c>
      <c r="S230" s="64" t="str">
        <f>IFERROR(INDEX(입력!$K$2:$K$500, MATCH($BO230,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9"/>
        <v>27</v>
      </c>
      <c r="W230" s="1" t="str">
        <f t="shared" si="26"/>
        <v/>
      </c>
      <c r="X230" s="1">
        <v>27</v>
      </c>
      <c r="Y230" s="64" t="str">
        <f>IFERROR(INDEX(입력!$M$2:$M$500, MATCH($BO230, 입력!$Z$2:$Z$500, 0)) &amp; "", "")</f>
        <v>27</v>
      </c>
      <c r="Z230" s="64" t="str">
        <f>IFERROR(INDEX(입력!$N$2:$N$500, MATCH($BO230, 입력!$Z$2:$Z$500, 0)) &amp; "", "")</f>
        <v/>
      </c>
      <c r="AA230" s="64">
        <f>MAX(0, 표1[[#This Row],[의무_시설]]-표1[[#This Row],[시설합]])</f>
        <v>0</v>
      </c>
      <c r="AB230" s="17" t="str">
        <f t="shared" si="31"/>
        <v>이행완료</v>
      </c>
      <c r="AC230" s="64" t="str">
        <f>IFERROR(INDEX(입력!$P$2:$P$500, MATCH($BO230, 입력!$Z$2:$Z$500, 0)) &amp; "", "")</f>
        <v>1198</v>
      </c>
      <c r="AD230" s="64" t="str">
        <f>IFERROR(INDEX(입력!$Q$2:$Q$500, MATCH($BO230, 입력!$Z$2:$Z$500, 0)) &amp; "", "")</f>
        <v>35</v>
      </c>
      <c r="AE230" s="64" t="str">
        <f>IFERROR(INDEX(입력!$R$2:$R$500, MATCH($BO230, 입력!$Z$2:$Z$500, 0)) &amp; "", "")</f>
        <v>여</v>
      </c>
      <c r="AF230" s="64" t="str">
        <f>IFERROR(INDEX(입력!$S$2:$S$500, MATCH($BO230, 입력!$Z$2:$Z$500, 0)) &amp; "", "")</f>
        <v>여</v>
      </c>
      <c r="AG230" s="64" t="str">
        <f>IFERROR(INDEX(입력!$T$2:$T$500, MATCH($BO230, 입력!$Z$2:$Z$500, 0)) &amp; "", "")</f>
        <v>부</v>
      </c>
      <c r="AH230" s="64" t="str">
        <f>IFERROR(INDEX(입력!$U$2:$U$500, MATCH($BO230, 입력!$Z$2:$Z$500, 0)) &amp; "", "")</f>
        <v/>
      </c>
      <c r="AI230" s="64" t="str">
        <f>IFERROR(INDEX(입력!$V$2:$V$500, MATCH($BO230, 입력!$Z$2:$Z$500, 0)) &amp; "", "")</f>
        <v>여</v>
      </c>
      <c r="AJ230" s="44" t="str">
        <f>IFERROR(INDEX(입력!$W$2:$W$500, MATCH($BO230, 입력!$Z$2:$Z$500, 0)) &amp; "", "")</f>
        <v>윤경호</v>
      </c>
      <c r="AK230" s="44" t="str">
        <f>IFERROR(INDEX(입력!$X$2:$X$500, MATCH($BO230, 입력!$Z$2:$Z$500, 0)) &amp; "", "")</f>
        <v>973-0256</v>
      </c>
      <c r="AL230" s="2" t="s">
        <v>1781</v>
      </c>
      <c r="AM230" s="17" t="s">
        <v>1650</v>
      </c>
      <c r="AN230" s="101">
        <v>2025</v>
      </c>
      <c r="AO230" s="17" t="s">
        <v>3274</v>
      </c>
      <c r="AP230" s="118"/>
      <c r="AQ230" s="21"/>
      <c r="AR230" s="119"/>
      <c r="AS230" s="101" t="s">
        <v>3124</v>
      </c>
      <c r="AT230" s="109">
        <v>46034</v>
      </c>
      <c r="AU230" s="101" t="s">
        <v>3141</v>
      </c>
      <c r="AV230" s="21" t="s">
        <v>1782</v>
      </c>
      <c r="AW230" s="119" t="s">
        <v>1783</v>
      </c>
      <c r="AX230" s="101"/>
      <c r="AY230" s="83" t="s">
        <v>3131</v>
      </c>
      <c r="AZ230" s="71" t="str">
        <f>IFERROR(IF(INDEX(입력!$C$2:$C$500, MATCH($BO230, 입력!$Z$2:$Z$500, 0))="", "", TEXT(INDEX(입력!$C$2:$C$500, MATCH($BO230, 입력!$Z$2:$Z$500, 0)), "yyyy-mm-dd")), "")</f>
        <v>2026-04-10</v>
      </c>
      <c r="BA230" s="44" t="str">
        <f>IFERROR(INDEX(입력!$B$2:$B$500, MATCH($BO230, 입력!$Z$2:$Z$500, 0)) &amp; "", "")</f>
        <v>정은진</v>
      </c>
      <c r="BB230" s="83" t="str">
        <f>IFERROR(INDEX(입력!$Y$2:$Y$500, MATCH($BO230, 입력!$Z$2:$Z$500, 0)) &amp; "", "")</f>
        <v/>
      </c>
      <c r="BC230" s="83" t="s">
        <v>3112</v>
      </c>
      <c r="BD230" s="83"/>
      <c r="BE230" s="101"/>
      <c r="BF230" s="101"/>
      <c r="BG230" s="101"/>
      <c r="BH230" s="101"/>
      <c r="BI230" s="101"/>
      <c r="BJ230" s="101"/>
      <c r="BK230" s="110"/>
      <c r="BL230" s="21"/>
      <c r="BM230" s="22">
        <v>1403</v>
      </c>
      <c r="BN230" s="23"/>
      <c r="BO230" s="47" t="s">
        <v>577</v>
      </c>
    </row>
    <row r="231" spans="1:67" x14ac:dyDescent="0.45">
      <c r="A231" s="19">
        <v>230</v>
      </c>
      <c r="B231" s="1" t="s">
        <v>1647</v>
      </c>
      <c r="C231" s="17" t="str">
        <f t="shared" si="27"/>
        <v>이행완료</v>
      </c>
      <c r="D231" s="17" t="str">
        <f t="shared" si="30"/>
        <v>조사완료</v>
      </c>
      <c r="E231" s="2" t="s">
        <v>1784</v>
      </c>
      <c r="F231" s="1" t="s">
        <v>578</v>
      </c>
      <c r="G231" s="11" t="s">
        <v>1785</v>
      </c>
      <c r="H231" s="18" t="s">
        <v>1202</v>
      </c>
      <c r="I231" s="19">
        <v>1260</v>
      </c>
      <c r="J231" s="2"/>
      <c r="K231" s="20" t="s">
        <v>2596</v>
      </c>
      <c r="L231" s="20"/>
      <c r="M231" s="17" t="str">
        <f t="shared" si="28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MATCH($BO231, 입력!$Z$2:$Z$500, 0)) &amp; "", "")</f>
        <v/>
      </c>
      <c r="S231" s="64" t="str">
        <f>IFERROR(INDEX(입력!$K$2:$K$500, MATCH($BO231,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9"/>
        <v>25</v>
      </c>
      <c r="W231" s="1" t="str">
        <f t="shared" si="26"/>
        <v/>
      </c>
      <c r="X231" s="1">
        <v>25</v>
      </c>
      <c r="Y231" s="64" t="str">
        <f>IFERROR(INDEX(입력!$M$2:$M$500, MATCH($BO231, 입력!$Z$2:$Z$500, 0)) &amp; "", "")</f>
        <v/>
      </c>
      <c r="Z231" s="64" t="str">
        <f>IFERROR(INDEX(입력!$N$2:$N$500, MATCH($BO231,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1"/>
        <v>이행완료</v>
      </c>
      <c r="AC231" s="64" t="str">
        <f>IFERROR(INDEX(입력!$P$2:$P$500, MATCH($BO231, 입력!$Z$2:$Z$500, 0)) &amp; "", "")</f>
        <v>753</v>
      </c>
      <c r="AD231" s="64" t="str">
        <f>IFERROR(INDEX(입력!$Q$2:$Q$500, MATCH($BO231, 입력!$Z$2:$Z$500, 0)) &amp; "", "")</f>
        <v>69</v>
      </c>
      <c r="AE231" s="64" t="str">
        <f>IFERROR(INDEX(입력!$R$2:$R$500, MATCH($BO231, 입력!$Z$2:$Z$500, 0)) &amp; "", "")</f>
        <v>여</v>
      </c>
      <c r="AF231" s="64" t="str">
        <f>IFERROR(INDEX(입력!$S$2:$S$500, MATCH($BO231, 입력!$Z$2:$Z$500, 0)) &amp; "", "")</f>
        <v>여</v>
      </c>
      <c r="AG231" s="64" t="str">
        <f>IFERROR(INDEX(입력!$T$2:$T$500, MATCH($BO231, 입력!$Z$2:$Z$500, 0)) &amp; "", "")</f>
        <v>부</v>
      </c>
      <c r="AH231" s="64" t="str">
        <f>IFERROR(INDEX(입력!$U$2:$U$500, MATCH($BO231, 입력!$Z$2:$Z$500, 0)) &amp; "", "")</f>
        <v/>
      </c>
      <c r="AI231" s="64" t="str">
        <f>IFERROR(INDEX(입력!$V$2:$V$500, MATCH($BO231, 입력!$Z$2:$Z$500, 0)) &amp; "", "")</f>
        <v>여</v>
      </c>
      <c r="AJ231" s="44" t="str">
        <f>IFERROR(INDEX(입력!$W$2:$W$500, MATCH($BO231, 입력!$Z$2:$Z$500, 0)) &amp; "", "")</f>
        <v>박동근</v>
      </c>
      <c r="AK231" s="44" t="str">
        <f>IFERROR(INDEX(입력!$X$2:$X$500, MATCH($BO231, 입력!$Z$2:$Z$500, 0)) &amp; "", "")</f>
        <v>010-3740-8072</v>
      </c>
      <c r="AL231" s="2" t="s">
        <v>1786</v>
      </c>
      <c r="AM231" s="17" t="s">
        <v>1650</v>
      </c>
      <c r="AN231" s="101">
        <v>2025</v>
      </c>
      <c r="AO231" s="17" t="s">
        <v>3274</v>
      </c>
      <c r="AP231" s="118"/>
      <c r="AQ231" s="21"/>
      <c r="AR231" s="119"/>
      <c r="AS231" s="101" t="s">
        <v>3138</v>
      </c>
      <c r="AT231" s="109">
        <v>46062</v>
      </c>
      <c r="AU231" s="101"/>
      <c r="AV231" s="21" t="s">
        <v>1760</v>
      </c>
      <c r="AW231" s="101"/>
      <c r="AX231" s="119" t="s">
        <v>1787</v>
      </c>
      <c r="AY231" s="83" t="s">
        <v>3137</v>
      </c>
      <c r="AZ231" s="71" t="str">
        <f>IFERROR(IF(INDEX(입력!$C$2:$C$500, MATCH($BO231, 입력!$Z$2:$Z$500, 0))="", "", TEXT(INDEX(입력!$C$2:$C$500, MATCH($BO231, 입력!$Z$2:$Z$500, 0)), "yyyy-mm-dd")), "")</f>
        <v>2026-04-13</v>
      </c>
      <c r="BA231" s="44" t="str">
        <f>IFERROR(INDEX(입력!$B$2:$B$500, MATCH($BO231, 입력!$Z$2:$Z$500, 0)) &amp; "", "")</f>
        <v>노기섭</v>
      </c>
      <c r="BB231" s="83" t="str">
        <f>IFERROR(INDEX(입력!$Y$2:$Y$500, MATCH($BO231, 입력!$Z$2:$Z$500, 0)) &amp; "", "")</f>
        <v/>
      </c>
      <c r="BC231" s="83" t="s">
        <v>3112</v>
      </c>
      <c r="BD231" s="83"/>
      <c r="BE231" s="101"/>
      <c r="BF231" s="101"/>
      <c r="BG231" s="101"/>
      <c r="BH231" s="101"/>
      <c r="BI231" s="101"/>
      <c r="BJ231" s="101"/>
      <c r="BK231" s="110"/>
      <c r="BL231" s="21"/>
      <c r="BM231" s="22">
        <v>1253</v>
      </c>
      <c r="BN231" s="23"/>
      <c r="BO231" s="47" t="s">
        <v>579</v>
      </c>
    </row>
    <row r="232" spans="1:67" x14ac:dyDescent="0.45">
      <c r="A232" s="46">
        <v>231</v>
      </c>
      <c r="B232" s="1" t="s">
        <v>1647</v>
      </c>
      <c r="C232" s="17" t="str">
        <f t="shared" si="27"/>
        <v>이행완료</v>
      </c>
      <c r="D232" s="17" t="str">
        <f t="shared" si="30"/>
        <v>조사완료</v>
      </c>
      <c r="E232" s="2" t="s">
        <v>1788</v>
      </c>
      <c r="F232" s="1" t="s">
        <v>580</v>
      </c>
      <c r="G232" s="11" t="s">
        <v>1789</v>
      </c>
      <c r="H232" s="18" t="s">
        <v>1202</v>
      </c>
      <c r="I232" s="19">
        <v>705</v>
      </c>
      <c r="J232" s="2"/>
      <c r="K232" s="20" t="s">
        <v>2510</v>
      </c>
      <c r="L232" s="20"/>
      <c r="M232" s="17" t="str">
        <f t="shared" si="28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MATCH($BO232, 입력!$Z$2:$Z$500, 0)) &amp; "", "")</f>
        <v>10</v>
      </c>
      <c r="S232" s="64" t="str">
        <f>IFERROR(INDEX(입력!$K$2:$K$500, MATCH($BO232,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9"/>
        <v>14</v>
      </c>
      <c r="W232" s="1" t="str">
        <f t="shared" si="26"/>
        <v/>
      </c>
      <c r="X232" s="1">
        <v>15</v>
      </c>
      <c r="Y232" s="64" t="str">
        <f>IFERROR(INDEX(입력!$M$2:$M$500, MATCH($BO232, 입력!$Z$2:$Z$500, 0)) &amp; "", "")</f>
        <v/>
      </c>
      <c r="Z232" s="64" t="str">
        <f>IFERROR(INDEX(입력!$N$2:$N$500, MATCH($BO232,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1"/>
        <v>이행완료</v>
      </c>
      <c r="AC232" s="64" t="str">
        <f>IFERROR(INDEX(입력!$P$2:$P$500, MATCH($BO232, 입력!$Z$2:$Z$500, 0)) &amp; "", "")</f>
        <v>579</v>
      </c>
      <c r="AD232" s="64" t="str">
        <f>IFERROR(INDEX(입력!$Q$2:$Q$500, MATCH($BO232, 입력!$Z$2:$Z$500, 0)) &amp; "", "")</f>
        <v>10</v>
      </c>
      <c r="AE232" s="64" t="str">
        <f>IFERROR(INDEX(입력!$R$2:$R$500, MATCH($BO232, 입력!$Z$2:$Z$500, 0)) &amp; "", "")</f>
        <v>여</v>
      </c>
      <c r="AF232" s="64" t="str">
        <f>IFERROR(INDEX(입력!$S$2:$S$500, MATCH($BO232, 입력!$Z$2:$Z$500, 0)) &amp; "", "")</f>
        <v>여</v>
      </c>
      <c r="AG232" s="64" t="str">
        <f>IFERROR(INDEX(입력!$T$2:$T$500, MATCH($BO232, 입력!$Z$2:$Z$500, 0)) &amp; "", "")</f>
        <v>부</v>
      </c>
      <c r="AH232" s="64" t="str">
        <f>IFERROR(INDEX(입력!$U$2:$U$500, MATCH($BO232, 입력!$Z$2:$Z$500, 0)) &amp; "", "")</f>
        <v/>
      </c>
      <c r="AI232" s="64" t="str">
        <f>IFERROR(INDEX(입력!$V$2:$V$500, MATCH($BO232, 입력!$Z$2:$Z$500, 0)) &amp; "", "")</f>
        <v>여</v>
      </c>
      <c r="AJ232" s="44" t="str">
        <f>IFERROR(INDEX(입력!$W$2:$W$500, MATCH($BO232, 입력!$Z$2:$Z$500, 0)) &amp; "", "")</f>
        <v>성점용</v>
      </c>
      <c r="AK232" s="44" t="str">
        <f>IFERROR(INDEX(입력!$X$2:$X$500, MATCH($BO232, 입력!$Z$2:$Z$500, 0)) &amp; "", "")</f>
        <v>010-7747-1359</v>
      </c>
      <c r="AL232" s="2" t="s">
        <v>1790</v>
      </c>
      <c r="AM232" s="17" t="s">
        <v>1650</v>
      </c>
      <c r="AN232" s="101">
        <v>2025</v>
      </c>
      <c r="AO232" s="17" t="s">
        <v>3277</v>
      </c>
      <c r="AP232" s="119"/>
      <c r="AQ232" s="21"/>
      <c r="AR232" s="119"/>
      <c r="AS232" s="101" t="s">
        <v>3125</v>
      </c>
      <c r="AT232" s="109">
        <v>46034</v>
      </c>
      <c r="AU232" s="101" t="s">
        <v>3141</v>
      </c>
      <c r="AV232" s="21" t="s">
        <v>1743</v>
      </c>
      <c r="AW232" s="101"/>
      <c r="AX232" s="119" t="s">
        <v>1791</v>
      </c>
      <c r="AY232" s="83" t="s">
        <v>3137</v>
      </c>
      <c r="AZ232" s="71" t="str">
        <f>IFERROR(IF(INDEX(입력!$C$2:$C$500, MATCH($BO232, 입력!$Z$2:$Z$500, 0))="", "", TEXT(INDEX(입력!$C$2:$C$500, MATCH($BO232, 입력!$Z$2:$Z$500, 0)), "yyyy-mm-dd")), "")</f>
        <v>2026-04-08</v>
      </c>
      <c r="BA232" s="44" t="str">
        <f>IFERROR(INDEX(입력!$B$2:$B$500, MATCH($BO232, 입력!$Z$2:$Z$500, 0)) &amp; "", "")</f>
        <v>정은진</v>
      </c>
      <c r="BB232" s="83" t="str">
        <f>IFERROR(INDEX(입력!$Y$2:$Y$500, MATCH($BO232, 입력!$Z$2:$Z$500, 0)) &amp; "", "")</f>
        <v/>
      </c>
      <c r="BC232" s="83" t="s">
        <v>3112</v>
      </c>
      <c r="BD232" s="83"/>
      <c r="BE232" s="101"/>
      <c r="BF232" s="101"/>
      <c r="BG232" s="101"/>
      <c r="BH232" s="101"/>
      <c r="BI232" s="101"/>
      <c r="BJ232" s="101"/>
      <c r="BK232" s="110"/>
      <c r="BL232" s="21"/>
      <c r="BM232" s="22">
        <v>705</v>
      </c>
      <c r="BN232" s="23"/>
      <c r="BO232" s="47" t="s">
        <v>581</v>
      </c>
    </row>
    <row r="233" spans="1:67" x14ac:dyDescent="0.45">
      <c r="A233" s="19">
        <v>232</v>
      </c>
      <c r="B233" s="1" t="s">
        <v>1647</v>
      </c>
      <c r="C233" s="17" t="str">
        <f t="shared" si="27"/>
        <v>이행완료</v>
      </c>
      <c r="D233" s="17" t="str">
        <f t="shared" si="30"/>
        <v>조사완료</v>
      </c>
      <c r="E233" s="2" t="s">
        <v>1792</v>
      </c>
      <c r="F233" s="1" t="s">
        <v>582</v>
      </c>
      <c r="G233" s="11" t="s">
        <v>1793</v>
      </c>
      <c r="H233" s="18" t="s">
        <v>1202</v>
      </c>
      <c r="I233" s="19">
        <v>320</v>
      </c>
      <c r="J233" s="2"/>
      <c r="K233" s="20">
        <v>38325</v>
      </c>
      <c r="L233" s="20"/>
      <c r="M233" s="17" t="str">
        <f t="shared" si="28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MATCH($BO233, 입력!$Z$2:$Z$500, 0)) &amp; "", "")</f>
        <v>13</v>
      </c>
      <c r="S233" s="64" t="str">
        <f>IFERROR(INDEX(입력!$K$2:$K$500, MATCH($BO233,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9"/>
        <v>6</v>
      </c>
      <c r="W233" s="1" t="str">
        <f t="shared" si="26"/>
        <v/>
      </c>
      <c r="X233" s="1">
        <v>6</v>
      </c>
      <c r="Y233" s="64" t="str">
        <f>IFERROR(INDEX(입력!$M$2:$M$500, MATCH($BO233, 입력!$Z$2:$Z$500, 0)) &amp; "", "")</f>
        <v/>
      </c>
      <c r="Z233" s="64" t="str">
        <f>IFERROR(INDEX(입력!$N$2:$N$500, MATCH($BO233, 입력!$Z$2:$Z$500, 0)) &amp; "", "")</f>
        <v>6</v>
      </c>
      <c r="AA233" s="64">
        <f>MAX(0, 표1[[#This Row],[의무_시설]]-표1[[#This Row],[시설합]])</f>
        <v>0</v>
      </c>
      <c r="AB233" s="17" t="str">
        <f t="shared" si="31"/>
        <v>이행완료</v>
      </c>
      <c r="AC233" s="64" t="str">
        <f>IFERROR(INDEX(입력!$P$2:$P$500, MATCH($BO233, 입력!$Z$2:$Z$500, 0)) &amp; "", "")</f>
        <v>355</v>
      </c>
      <c r="AD233" s="64" t="str">
        <f>IFERROR(INDEX(입력!$Q$2:$Q$500, MATCH($BO233, 입력!$Z$2:$Z$500, 0)) &amp; "", "")</f>
        <v>7</v>
      </c>
      <c r="AE233" s="64" t="str">
        <f>IFERROR(INDEX(입력!$R$2:$R$500, MATCH($BO233, 입력!$Z$2:$Z$500, 0)) &amp; "", "")</f>
        <v>여</v>
      </c>
      <c r="AF233" s="64" t="str">
        <f>IFERROR(INDEX(입력!$S$2:$S$500, MATCH($BO233, 입력!$Z$2:$Z$500, 0)) &amp; "", "")</f>
        <v>여</v>
      </c>
      <c r="AG233" s="64" t="str">
        <f>IFERROR(INDEX(입력!$T$2:$T$500, MATCH($BO233, 입력!$Z$2:$Z$500, 0)) &amp; "", "")</f>
        <v>부</v>
      </c>
      <c r="AH233" s="64" t="str">
        <f>IFERROR(INDEX(입력!$U$2:$U$500, MATCH($BO233, 입력!$Z$2:$Z$500, 0)) &amp; "", "")</f>
        <v/>
      </c>
      <c r="AI233" s="64" t="str">
        <f>IFERROR(INDEX(입력!$V$2:$V$500, MATCH($BO233, 입력!$Z$2:$Z$500, 0)) &amp; "", "")</f>
        <v>여</v>
      </c>
      <c r="AJ233" s="44" t="str">
        <f>IFERROR(INDEX(입력!$W$2:$W$500, MATCH($BO233, 입력!$Z$2:$Z$500, 0)) &amp; "", "")</f>
        <v>문상기</v>
      </c>
      <c r="AK233" s="44" t="str">
        <f>IFERROR(INDEX(입력!$X$2:$X$500, MATCH($BO233, 입력!$Z$2:$Z$500, 0)) &amp; "", "")</f>
        <v>951-0937</v>
      </c>
      <c r="AL233" s="2" t="s">
        <v>106</v>
      </c>
      <c r="AM233" s="17" t="s">
        <v>1650</v>
      </c>
      <c r="AN233" s="101">
        <v>2025</v>
      </c>
      <c r="AO233" s="17" t="s">
        <v>3275</v>
      </c>
      <c r="AP233" s="118"/>
      <c r="AQ233" s="21"/>
      <c r="AR233" s="67"/>
      <c r="AS233" s="101" t="s">
        <v>3286</v>
      </c>
      <c r="AT233" s="109">
        <v>46062</v>
      </c>
      <c r="AU233" s="101"/>
      <c r="AV233" s="119" t="s">
        <v>1794</v>
      </c>
      <c r="AW233" s="101"/>
      <c r="AX233" s="101"/>
      <c r="AY233" s="83" t="s">
        <v>3131</v>
      </c>
      <c r="AZ233" s="71" t="str">
        <f>IFERROR(IF(INDEX(입력!$C$2:$C$500, MATCH($BO233, 입력!$Z$2:$Z$500, 0))="", "", TEXT(INDEX(입력!$C$2:$C$500, MATCH($BO233, 입력!$Z$2:$Z$500, 0)), "yyyy-mm-dd")), "")</f>
        <v>2026-04-09</v>
      </c>
      <c r="BA233" s="44" t="str">
        <f>IFERROR(INDEX(입력!$B$2:$B$500, MATCH($BO233, 입력!$Z$2:$Z$500, 0)) &amp; "", "")</f>
        <v>노기섭</v>
      </c>
      <c r="BB233" s="83" t="str">
        <f>IFERROR(INDEX(입력!$Y$2:$Y$500, MATCH($BO233, 입력!$Z$2:$Z$500, 0)) &amp; "", "")</f>
        <v/>
      </c>
      <c r="BC233" s="83" t="s">
        <v>3112</v>
      </c>
      <c r="BD233" s="83"/>
      <c r="BE233" s="101"/>
      <c r="BF233" s="101"/>
      <c r="BG233" s="101"/>
      <c r="BH233" s="101"/>
      <c r="BI233" s="101"/>
      <c r="BJ233" s="101"/>
      <c r="BK233" s="110"/>
      <c r="BL233" s="21" t="s">
        <v>2410</v>
      </c>
      <c r="BM233" s="22">
        <v>220</v>
      </c>
      <c r="BN233" s="23"/>
      <c r="BO233" s="47" t="s">
        <v>583</v>
      </c>
    </row>
    <row r="234" spans="1:67" x14ac:dyDescent="0.45">
      <c r="A234" s="46">
        <v>233</v>
      </c>
      <c r="B234" s="1" t="s">
        <v>1647</v>
      </c>
      <c r="C234" s="17" t="str">
        <f t="shared" si="27"/>
        <v>이행완료</v>
      </c>
      <c r="D234" s="17" t="str">
        <f t="shared" si="30"/>
        <v/>
      </c>
      <c r="E234" s="2" t="s">
        <v>1795</v>
      </c>
      <c r="F234" s="1" t="s">
        <v>584</v>
      </c>
      <c r="G234" s="11" t="s">
        <v>1796</v>
      </c>
      <c r="H234" s="18" t="s">
        <v>1172</v>
      </c>
      <c r="I234" s="19">
        <v>215</v>
      </c>
      <c r="J234" s="2"/>
      <c r="K234" s="20" t="s">
        <v>2459</v>
      </c>
      <c r="L234" s="20"/>
      <c r="M234" s="17" t="str">
        <f t="shared" si="28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MATCH($BO234, 입력!$Z$2:$Z$500, 0)) &amp; "", "")</f>
        <v/>
      </c>
      <c r="S234" s="64" t="str">
        <f>IFERROR(INDEX(입력!$K$2:$K$500, MATCH($BO234,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9"/>
        <v>4</v>
      </c>
      <c r="W234" s="1" t="str">
        <f t="shared" si="26"/>
        <v/>
      </c>
      <c r="X234" s="1">
        <v>5</v>
      </c>
      <c r="Y234" s="64" t="str">
        <f>IFERROR(INDEX(입력!$M$2:$M$500, MATCH($BO234, 입력!$Z$2:$Z$500, 0)) &amp; "", "")</f>
        <v/>
      </c>
      <c r="Z234" s="64" t="str">
        <f>IFERROR(INDEX(입력!$N$2:$N$500, MATCH($BO234, 입력!$Z$2:$Z$500, 0)) &amp; "", "")</f>
        <v/>
      </c>
      <c r="AA234" s="64">
        <f>MAX(0, 표1[[#This Row],[의무_시설]]-표1[[#This Row],[시설합]])</f>
        <v>0</v>
      </c>
      <c r="AB234" s="17" t="str">
        <f t="shared" si="31"/>
        <v>이행완료</v>
      </c>
      <c r="AC234" s="64" t="str">
        <f>IFERROR(INDEX(입력!$P$2:$P$500, MATCH($BO234, 입력!$Z$2:$Z$500, 0)) &amp; "", "")</f>
        <v/>
      </c>
      <c r="AD234" s="64" t="str">
        <f>IFERROR(INDEX(입력!$Q$2:$Q$500, MATCH($BO234, 입력!$Z$2:$Z$500, 0)) &amp; "", "")</f>
        <v/>
      </c>
      <c r="AE234" s="64" t="str">
        <f>IFERROR(INDEX(입력!$R$2:$R$500, MATCH($BO234, 입력!$Z$2:$Z$500, 0)) &amp; "", "")</f>
        <v/>
      </c>
      <c r="AF234" s="64" t="str">
        <f>IFERROR(INDEX(입력!$S$2:$S$500, MATCH($BO234, 입력!$Z$2:$Z$500, 0)) &amp; "", "")</f>
        <v/>
      </c>
      <c r="AG234" s="64" t="str">
        <f>IFERROR(INDEX(입력!$T$2:$T$500, MATCH($BO234, 입력!$Z$2:$Z$500, 0)) &amp; "", "")</f>
        <v/>
      </c>
      <c r="AH234" s="64" t="str">
        <f>IFERROR(INDEX(입력!$U$2:$U$500, MATCH($BO234, 입력!$Z$2:$Z$500, 0)) &amp; "", "")</f>
        <v/>
      </c>
      <c r="AI234" s="64" t="str">
        <f>IFERROR(INDEX(입력!$V$2:$V$500, MATCH($BO234, 입력!$Z$2:$Z$500, 0)) &amp; "", "")</f>
        <v/>
      </c>
      <c r="AJ234" s="44" t="str">
        <f>IFERROR(INDEX(입력!$W$2:$W$500, MATCH($BO234, 입력!$Z$2:$Z$500, 0)) &amp; "", "")</f>
        <v/>
      </c>
      <c r="AK234" s="44" t="str">
        <f>IFERROR(INDEX(입력!$X$2:$X$500, MATCH($BO234, 입력!$Z$2:$Z$500, 0)) &amp; "", "")</f>
        <v/>
      </c>
      <c r="AL234" s="2"/>
      <c r="AM234" s="17" t="s">
        <v>1650</v>
      </c>
      <c r="AN234" s="101">
        <v>2025</v>
      </c>
      <c r="AO234" s="17" t="s">
        <v>3275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3131</v>
      </c>
      <c r="AZ234" s="71" t="str">
        <f>IFERROR(IF(INDEX(입력!$C$2:$C$500, MATCH($BO234, 입력!$Z$2:$Z$500, 0))="", "", TEXT(INDEX(입력!$C$2:$C$500, MATCH($BO234, 입력!$Z$2:$Z$500, 0)), "yyyy-mm-dd")), "")</f>
        <v/>
      </c>
      <c r="BA234" s="44" t="str">
        <f>IFERROR(INDEX(입력!$B$2:$B$500, MATCH($BO234, 입력!$Z$2:$Z$500, 0)) &amp; "", "")</f>
        <v/>
      </c>
      <c r="BB234" s="83" t="str">
        <f>IFERROR(INDEX(입력!$Y$2:$Y$500, MATCH($BO234, 입력!$Z$2:$Z$500, 0)) &amp; "", "")</f>
        <v/>
      </c>
      <c r="BC234" s="83" t="s">
        <v>3112</v>
      </c>
      <c r="BD234" s="83"/>
      <c r="BE234" s="101"/>
      <c r="BF234" s="101"/>
      <c r="BG234" s="101"/>
      <c r="BH234" s="101"/>
      <c r="BI234" s="101"/>
      <c r="BJ234" s="101"/>
      <c r="BK234" s="110"/>
      <c r="BL234" s="21"/>
      <c r="BM234" s="22">
        <v>215</v>
      </c>
      <c r="BN234" s="23"/>
      <c r="BO234" s="47" t="s">
        <v>585</v>
      </c>
    </row>
    <row r="235" spans="1:67" x14ac:dyDescent="0.45">
      <c r="A235" s="19">
        <v>234</v>
      </c>
      <c r="B235" s="1" t="s">
        <v>1647</v>
      </c>
      <c r="C235" s="17" t="str">
        <f t="shared" si="27"/>
        <v>이행완료</v>
      </c>
      <c r="D235" s="17" t="str">
        <f t="shared" si="30"/>
        <v>조사완료</v>
      </c>
      <c r="E235" s="2" t="s">
        <v>1797</v>
      </c>
      <c r="F235" s="1" t="s">
        <v>214</v>
      </c>
      <c r="G235" s="11" t="s">
        <v>1242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8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MATCH($BO235, 입력!$Z$2:$Z$500, 0)) &amp; "", "")</f>
        <v>4</v>
      </c>
      <c r="S235" s="64" t="str">
        <f>IFERROR(INDEX(입력!$K$2:$K$500, MATCH($BO235,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9"/>
        <v>8</v>
      </c>
      <c r="W235" s="1" t="str">
        <f t="shared" si="26"/>
        <v/>
      </c>
      <c r="X235" s="1">
        <v>8</v>
      </c>
      <c r="Y235" s="64" t="str">
        <f>IFERROR(INDEX(입력!$M$2:$M$500, MATCH($BO235, 입력!$Z$2:$Z$500, 0)) &amp; "", "")</f>
        <v/>
      </c>
      <c r="Z235" s="64" t="str">
        <f>IFERROR(INDEX(입력!$N$2:$N$500, MATCH($BO235, 입력!$Z$2:$Z$500, 0)) &amp; "", "")</f>
        <v>8</v>
      </c>
      <c r="AA235" s="64">
        <f>MAX(0, 표1[[#This Row],[의무_시설]]-표1[[#This Row],[시설합]])</f>
        <v>0</v>
      </c>
      <c r="AB235" s="17" t="str">
        <f t="shared" si="31"/>
        <v>이행완료</v>
      </c>
      <c r="AC235" s="64" t="str">
        <f>IFERROR(INDEX(입력!$P$2:$P$500, MATCH($BO235, 입력!$Z$2:$Z$500, 0)) &amp; "", "")</f>
        <v>339</v>
      </c>
      <c r="AD235" s="64" t="str">
        <f>IFERROR(INDEX(입력!$Q$2:$Q$500, MATCH($BO235, 입력!$Z$2:$Z$500, 0)) &amp; "", "")</f>
        <v>20</v>
      </c>
      <c r="AE235" s="64" t="str">
        <f>IFERROR(INDEX(입력!$R$2:$R$500, MATCH($BO235, 입력!$Z$2:$Z$500, 0)) &amp; "", "")</f>
        <v>부</v>
      </c>
      <c r="AF235" s="64" t="str">
        <f>IFERROR(INDEX(입력!$S$2:$S$500, MATCH($BO235, 입력!$Z$2:$Z$500, 0)) &amp; "", "")</f>
        <v>여</v>
      </c>
      <c r="AG235" s="64" t="str">
        <f>IFERROR(INDEX(입력!$T$2:$T$500, MATCH($BO235, 입력!$Z$2:$Z$500, 0)) &amp; "", "")</f>
        <v>부</v>
      </c>
      <c r="AH235" s="64" t="str">
        <f>IFERROR(INDEX(입력!$U$2:$U$500, MATCH($BO235, 입력!$Z$2:$Z$500, 0)) &amp; "", "")</f>
        <v/>
      </c>
      <c r="AI235" s="64" t="str">
        <f>IFERROR(INDEX(입력!$V$2:$V$500, MATCH($BO235, 입력!$Z$2:$Z$500, 0)) &amp; "", "")</f>
        <v>여</v>
      </c>
      <c r="AJ235" s="44" t="str">
        <f>IFERROR(INDEX(입력!$W$2:$W$500, MATCH($BO235, 입력!$Z$2:$Z$500, 0)) &amp; "", "")</f>
        <v>황덕수</v>
      </c>
      <c r="AK235" s="44" t="str">
        <f>IFERROR(INDEX(입력!$X$2:$X$500, MATCH($BO235, 입력!$Z$2:$Z$500, 0)) &amp; "", "")</f>
        <v>942-1231</v>
      </c>
      <c r="AL235" s="2" t="s">
        <v>36</v>
      </c>
      <c r="AM235" s="17" t="s">
        <v>1650</v>
      </c>
      <c r="AN235" s="101">
        <v>2025</v>
      </c>
      <c r="AO235" s="17" t="s">
        <v>3277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1798</v>
      </c>
      <c r="AW235" s="101"/>
      <c r="AX235" s="101"/>
      <c r="AY235" s="83" t="s">
        <v>3137</v>
      </c>
      <c r="AZ235" s="71" t="str">
        <f>IFERROR(IF(INDEX(입력!$C$2:$C$500, MATCH($BO235, 입력!$Z$2:$Z$500, 0))="", "", TEXT(INDEX(입력!$C$2:$C$500, MATCH($BO235, 입력!$Z$2:$Z$500, 0)), "yyyy-mm-dd")), "")</f>
        <v>2026-04-08</v>
      </c>
      <c r="BA235" s="44" t="str">
        <f>IFERROR(INDEX(입력!$B$2:$B$500, MATCH($BO235, 입력!$Z$2:$Z$500, 0)) &amp; "", "")</f>
        <v>최하영</v>
      </c>
      <c r="BB235" s="83" t="str">
        <f>IFERROR(INDEX(입력!$Y$2:$Y$500, MATCH($BO235, 입력!$Z$2:$Z$500, 0)) &amp; "", "")</f>
        <v/>
      </c>
      <c r="BC235" s="83" t="s">
        <v>3112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3364</v>
      </c>
      <c r="BI235" s="101"/>
      <c r="BJ235" s="101"/>
      <c r="BK235" s="110"/>
      <c r="BL235" s="21"/>
      <c r="BM235" s="22">
        <v>400</v>
      </c>
      <c r="BN235" s="23"/>
      <c r="BO235" s="47" t="s">
        <v>586</v>
      </c>
    </row>
    <row r="236" spans="1:67" x14ac:dyDescent="0.45">
      <c r="A236" s="46">
        <v>235</v>
      </c>
      <c r="B236" s="1" t="s">
        <v>1647</v>
      </c>
      <c r="C236" s="17" t="str">
        <f t="shared" si="27"/>
        <v>이행완료</v>
      </c>
      <c r="D236" s="17" t="str">
        <f t="shared" si="30"/>
        <v/>
      </c>
      <c r="E236" s="2" t="s">
        <v>1799</v>
      </c>
      <c r="F236" s="1" t="s">
        <v>587</v>
      </c>
      <c r="G236" s="11" t="s">
        <v>1800</v>
      </c>
      <c r="H236" s="18" t="s">
        <v>1133</v>
      </c>
      <c r="I236" s="19">
        <v>656</v>
      </c>
      <c r="J236" s="2"/>
      <c r="K236" s="20" t="s">
        <v>2456</v>
      </c>
      <c r="L236" s="20"/>
      <c r="M236" s="17" t="str">
        <f t="shared" si="28"/>
        <v>기축</v>
      </c>
      <c r="N236" s="21" t="s">
        <v>2397</v>
      </c>
      <c r="O236" s="21"/>
      <c r="P236" s="1">
        <f t="shared" si="24"/>
        <v>13</v>
      </c>
      <c r="Q236" s="1">
        <v>33</v>
      </c>
      <c r="R236" s="64" t="str">
        <f>IFERROR(INDEX(입력!$J$2:$J$500, MATCH($BO236, 입력!$Z$2:$Z$500, 0)) &amp; "", "")</f>
        <v/>
      </c>
      <c r="S236" s="64" t="str">
        <f>IFERROR(INDEX(입력!$K$2:$K$500, MATCH($BO236,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9"/>
        <v>13</v>
      </c>
      <c r="W236" s="1" t="str">
        <f t="shared" si="26"/>
        <v/>
      </c>
      <c r="X236" s="1">
        <v>33</v>
      </c>
      <c r="Y236" s="64" t="str">
        <f>IFERROR(INDEX(입력!$M$2:$M$500, MATCH($BO236, 입력!$Z$2:$Z$500, 0)) &amp; "", "")</f>
        <v/>
      </c>
      <c r="Z236" s="64" t="str">
        <f>IFERROR(INDEX(입력!$N$2:$N$500, MATCH($BO236, 입력!$Z$2:$Z$500, 0)) &amp; "", "")</f>
        <v/>
      </c>
      <c r="AA236" s="64">
        <f>MAX(0, 표1[[#This Row],[의무_시설]]-표1[[#This Row],[시설합]])</f>
        <v>0</v>
      </c>
      <c r="AB236" s="17" t="str">
        <f t="shared" si="31"/>
        <v>이행완료</v>
      </c>
      <c r="AC236" s="64" t="str">
        <f>IFERROR(INDEX(입력!$P$2:$P$500, MATCH($BO236, 입력!$Z$2:$Z$500, 0)) &amp; "", "")</f>
        <v/>
      </c>
      <c r="AD236" s="64" t="str">
        <f>IFERROR(INDEX(입력!$Q$2:$Q$500, MATCH($BO236, 입력!$Z$2:$Z$500, 0)) &amp; "", "")</f>
        <v/>
      </c>
      <c r="AE236" s="64" t="str">
        <f>IFERROR(INDEX(입력!$R$2:$R$500, MATCH($BO236, 입력!$Z$2:$Z$500, 0)) &amp; "", "")</f>
        <v/>
      </c>
      <c r="AF236" s="64" t="str">
        <f>IFERROR(INDEX(입력!$S$2:$S$500, MATCH($BO236, 입력!$Z$2:$Z$500, 0)) &amp; "", "")</f>
        <v/>
      </c>
      <c r="AG236" s="64" t="str">
        <f>IFERROR(INDEX(입력!$T$2:$T$500, MATCH($BO236, 입력!$Z$2:$Z$500, 0)) &amp; "", "")</f>
        <v/>
      </c>
      <c r="AH236" s="64" t="str">
        <f>IFERROR(INDEX(입력!$U$2:$U$500, MATCH($BO236, 입력!$Z$2:$Z$500, 0)) &amp; "", "")</f>
        <v/>
      </c>
      <c r="AI236" s="64" t="str">
        <f>IFERROR(INDEX(입력!$V$2:$V$500, MATCH($BO236, 입력!$Z$2:$Z$500, 0)) &amp; "", "")</f>
        <v/>
      </c>
      <c r="AJ236" s="44" t="str">
        <f>IFERROR(INDEX(입력!$W$2:$W$500, MATCH($BO236, 입력!$Z$2:$Z$500, 0)) &amp; "", "")</f>
        <v/>
      </c>
      <c r="AK236" s="44" t="str">
        <f>IFERROR(INDEX(입력!$X$2:$X$500, MATCH($BO236, 입력!$Z$2:$Z$500, 0)) &amp; "", "")</f>
        <v/>
      </c>
      <c r="AL236" s="2"/>
      <c r="AM236" s="17" t="s">
        <v>1650</v>
      </c>
      <c r="AN236" s="101">
        <v>2025</v>
      </c>
      <c r="AO236" s="17" t="s">
        <v>3274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3137</v>
      </c>
      <c r="AZ236" s="71" t="str">
        <f>IFERROR(IF(INDEX(입력!$C$2:$C$500, MATCH($BO236, 입력!$Z$2:$Z$500, 0))="", "", TEXT(INDEX(입력!$C$2:$C$500, MATCH($BO236, 입력!$Z$2:$Z$500, 0)), "yyyy-mm-dd")), "")</f>
        <v/>
      </c>
      <c r="BA236" s="44" t="str">
        <f>IFERROR(INDEX(입력!$B$2:$B$500, MATCH($BO236, 입력!$Z$2:$Z$500, 0)) &amp; "", "")</f>
        <v/>
      </c>
      <c r="BB236" s="83" t="str">
        <f>IFERROR(INDEX(입력!$Y$2:$Y$500, MATCH($BO236, 입력!$Z$2:$Z$500, 0)) &amp; "", "")</f>
        <v/>
      </c>
      <c r="BC236" s="83" t="s">
        <v>3112</v>
      </c>
      <c r="BD236" s="83"/>
      <c r="BE236" s="101"/>
      <c r="BF236" s="101"/>
      <c r="BG236" s="101"/>
      <c r="BH236" s="101"/>
      <c r="BI236" s="101"/>
      <c r="BJ236" s="101"/>
      <c r="BK236" s="110"/>
      <c r="BL236" s="21"/>
      <c r="BM236" s="22">
        <v>668</v>
      </c>
      <c r="BN236" s="23"/>
      <c r="BO236" s="47" t="s">
        <v>588</v>
      </c>
    </row>
    <row r="237" spans="1:67" x14ac:dyDescent="0.45">
      <c r="A237" s="19">
        <v>236</v>
      </c>
      <c r="B237" s="1" t="s">
        <v>1647</v>
      </c>
      <c r="C237" s="17" t="str">
        <f t="shared" si="27"/>
        <v>이행완료</v>
      </c>
      <c r="D237" s="17" t="str">
        <f t="shared" si="30"/>
        <v/>
      </c>
      <c r="E237" s="2" t="s">
        <v>1801</v>
      </c>
      <c r="F237" s="1" t="s">
        <v>589</v>
      </c>
      <c r="G237" s="11" t="s">
        <v>1802</v>
      </c>
      <c r="H237" s="18" t="s">
        <v>1133</v>
      </c>
      <c r="I237" s="19">
        <v>884</v>
      </c>
      <c r="J237" s="2"/>
      <c r="K237" s="20"/>
      <c r="L237" s="20">
        <v>35790</v>
      </c>
      <c r="M237" s="17" t="str">
        <f t="shared" si="28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MATCH($BO237, 입력!$Z$2:$Z$500, 0)) &amp; "", "")</f>
        <v/>
      </c>
      <c r="S237" s="64" t="str">
        <f>IFERROR(INDEX(입력!$K$2:$K$500, MATCH($BO237, 입력!$Z$2:$Z$500, 0)) &amp; "", "")</f>
        <v/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9"/>
        <v>18</v>
      </c>
      <c r="W237" s="1" t="str">
        <f t="shared" si="26"/>
        <v/>
      </c>
      <c r="X237" s="1">
        <v>18</v>
      </c>
      <c r="Y237" s="64" t="str">
        <f>IFERROR(INDEX(입력!$M$2:$M$500, MATCH($BO237, 입력!$Z$2:$Z$500, 0)) &amp; "", "")</f>
        <v/>
      </c>
      <c r="Z237" s="64" t="str">
        <f>IFERROR(INDEX(입력!$N$2:$N$500, MATCH($BO237, 입력!$Z$2:$Z$500, 0)) &amp; "", "")</f>
        <v/>
      </c>
      <c r="AA237" s="64">
        <f>MAX(0, 표1[[#This Row],[의무_시설]]-표1[[#This Row],[시설합]])</f>
        <v>0</v>
      </c>
      <c r="AB237" s="17" t="str">
        <f t="shared" si="31"/>
        <v>이행완료</v>
      </c>
      <c r="AC237" s="64" t="str">
        <f>IFERROR(INDEX(입력!$P$2:$P$500, MATCH($BO237, 입력!$Z$2:$Z$500, 0)) &amp; "", "")</f>
        <v/>
      </c>
      <c r="AD237" s="64" t="str">
        <f>IFERROR(INDEX(입력!$Q$2:$Q$500, MATCH($BO237, 입력!$Z$2:$Z$500, 0)) &amp; "", "")</f>
        <v/>
      </c>
      <c r="AE237" s="64" t="str">
        <f>IFERROR(INDEX(입력!$R$2:$R$500, MATCH($BO237, 입력!$Z$2:$Z$500, 0)) &amp; "", "")</f>
        <v/>
      </c>
      <c r="AF237" s="64" t="str">
        <f>IFERROR(INDEX(입력!$S$2:$S$500, MATCH($BO237, 입력!$Z$2:$Z$500, 0)) &amp; "", "")</f>
        <v/>
      </c>
      <c r="AG237" s="64" t="str">
        <f>IFERROR(INDEX(입력!$T$2:$T$500, MATCH($BO237, 입력!$Z$2:$Z$500, 0)) &amp; "", "")</f>
        <v/>
      </c>
      <c r="AH237" s="64" t="str">
        <f>IFERROR(INDEX(입력!$U$2:$U$500, MATCH($BO237, 입력!$Z$2:$Z$500, 0)) &amp; "", "")</f>
        <v/>
      </c>
      <c r="AI237" s="64" t="str">
        <f>IFERROR(INDEX(입력!$V$2:$V$500, MATCH($BO237, 입력!$Z$2:$Z$500, 0)) &amp; "", "")</f>
        <v/>
      </c>
      <c r="AJ237" s="44" t="str">
        <f>IFERROR(INDEX(입력!$W$2:$W$500, MATCH($BO237, 입력!$Z$2:$Z$500, 0)) &amp; "", "")</f>
        <v/>
      </c>
      <c r="AK237" s="44" t="str">
        <f>IFERROR(INDEX(입력!$X$2:$X$500, MATCH($BO237, 입력!$Z$2:$Z$500, 0)) &amp; "", "")</f>
        <v/>
      </c>
      <c r="AL237" s="2"/>
      <c r="AM237" s="17" t="s">
        <v>1650</v>
      </c>
      <c r="AN237" s="101">
        <v>2025</v>
      </c>
      <c r="AO237" s="17" t="s">
        <v>3277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3137</v>
      </c>
      <c r="AZ237" s="71" t="str">
        <f>IFERROR(IF(INDEX(입력!$C$2:$C$500, MATCH($BO237, 입력!$Z$2:$Z$500, 0))="", "", TEXT(INDEX(입력!$C$2:$C$500, MATCH($BO237, 입력!$Z$2:$Z$500, 0)), "yyyy-mm-dd")), "")</f>
        <v/>
      </c>
      <c r="BA237" s="44" t="str">
        <f>IFERROR(INDEX(입력!$B$2:$B$500, MATCH($BO237, 입력!$Z$2:$Z$500, 0)) &amp; "", "")</f>
        <v/>
      </c>
      <c r="BB237" s="83" t="str">
        <f>IFERROR(INDEX(입력!$Y$2:$Y$500, MATCH($BO237, 입력!$Z$2:$Z$500, 0)) &amp; "", "")</f>
        <v/>
      </c>
      <c r="BC237" s="83" t="s">
        <v>3112</v>
      </c>
      <c r="BD237" s="83"/>
      <c r="BE237" s="101"/>
      <c r="BF237" s="101"/>
      <c r="BG237" s="101"/>
      <c r="BH237" s="101"/>
      <c r="BI237" s="101"/>
      <c r="BJ237" s="101"/>
      <c r="BK237" s="110"/>
      <c r="BL237" s="21"/>
      <c r="BM237" s="22">
        <v>884</v>
      </c>
      <c r="BN237" s="23"/>
      <c r="BO237" s="47" t="s">
        <v>590</v>
      </c>
    </row>
    <row r="238" spans="1:67" x14ac:dyDescent="0.45">
      <c r="A238" s="46">
        <v>237</v>
      </c>
      <c r="B238" s="1" t="s">
        <v>1647</v>
      </c>
      <c r="C238" s="17" t="str">
        <f t="shared" si="27"/>
        <v>이행완료</v>
      </c>
      <c r="D238" s="17" t="str">
        <f t="shared" si="30"/>
        <v/>
      </c>
      <c r="E238" s="2" t="s">
        <v>1803</v>
      </c>
      <c r="F238" s="1" t="s">
        <v>591</v>
      </c>
      <c r="G238" s="11" t="s">
        <v>1804</v>
      </c>
      <c r="H238" s="18" t="s">
        <v>1133</v>
      </c>
      <c r="I238" s="19">
        <v>409</v>
      </c>
      <c r="J238" s="2"/>
      <c r="K238" s="20">
        <v>34969</v>
      </c>
      <c r="L238" s="20"/>
      <c r="M238" s="17" t="str">
        <f t="shared" si="28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MATCH($BO238, 입력!$Z$2:$Z$500, 0)) &amp; "", "")</f>
        <v/>
      </c>
      <c r="S238" s="64" t="str">
        <f>IFERROR(INDEX(입력!$K$2:$K$500, MATCH($BO238, 입력!$Z$2:$Z$500, 0)) &amp; "", "")</f>
        <v/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9"/>
        <v>8</v>
      </c>
      <c r="W238" s="1" t="str">
        <f t="shared" si="26"/>
        <v/>
      </c>
      <c r="X238" s="1">
        <v>8</v>
      </c>
      <c r="Y238" s="64" t="str">
        <f>IFERROR(INDEX(입력!$M$2:$M$500, MATCH($BO238, 입력!$Z$2:$Z$500, 0)) &amp; "", "")</f>
        <v/>
      </c>
      <c r="Z238" s="64" t="str">
        <f>IFERROR(INDEX(입력!$N$2:$N$500, MATCH($BO238, 입력!$Z$2:$Z$500, 0)) &amp; "", "")</f>
        <v/>
      </c>
      <c r="AA238" s="64">
        <f>MAX(0, 표1[[#This Row],[의무_시설]]-표1[[#This Row],[시설합]])</f>
        <v>0</v>
      </c>
      <c r="AB238" s="17" t="str">
        <f t="shared" si="31"/>
        <v>이행완료</v>
      </c>
      <c r="AC238" s="64" t="str">
        <f>IFERROR(INDEX(입력!$P$2:$P$500, MATCH($BO238, 입력!$Z$2:$Z$500, 0)) &amp; "", "")</f>
        <v/>
      </c>
      <c r="AD238" s="64" t="str">
        <f>IFERROR(INDEX(입력!$Q$2:$Q$500, MATCH($BO238, 입력!$Z$2:$Z$500, 0)) &amp; "", "")</f>
        <v/>
      </c>
      <c r="AE238" s="64" t="str">
        <f>IFERROR(INDEX(입력!$R$2:$R$500, MATCH($BO238, 입력!$Z$2:$Z$500, 0)) &amp; "", "")</f>
        <v/>
      </c>
      <c r="AF238" s="64" t="str">
        <f>IFERROR(INDEX(입력!$S$2:$S$500, MATCH($BO238, 입력!$Z$2:$Z$500, 0)) &amp; "", "")</f>
        <v/>
      </c>
      <c r="AG238" s="64" t="str">
        <f>IFERROR(INDEX(입력!$T$2:$T$500, MATCH($BO238, 입력!$Z$2:$Z$500, 0)) &amp; "", "")</f>
        <v/>
      </c>
      <c r="AH238" s="64" t="str">
        <f>IFERROR(INDEX(입력!$U$2:$U$500, MATCH($BO238, 입력!$Z$2:$Z$500, 0)) &amp; "", "")</f>
        <v/>
      </c>
      <c r="AI238" s="64" t="str">
        <f>IFERROR(INDEX(입력!$V$2:$V$500, MATCH($BO238, 입력!$Z$2:$Z$500, 0)) &amp; "", "")</f>
        <v/>
      </c>
      <c r="AJ238" s="44" t="str">
        <f>IFERROR(INDEX(입력!$W$2:$W$500, MATCH($BO238, 입력!$Z$2:$Z$500, 0)) &amp; "", "")</f>
        <v/>
      </c>
      <c r="AK238" s="44" t="str">
        <f>IFERROR(INDEX(입력!$X$2:$X$500, MATCH($BO238, 입력!$Z$2:$Z$500, 0)) &amp; "", "")</f>
        <v/>
      </c>
      <c r="AL238" s="2"/>
      <c r="AM238" s="17" t="s">
        <v>1650</v>
      </c>
      <c r="AN238" s="101">
        <v>2025</v>
      </c>
      <c r="AO238" s="17" t="s">
        <v>3275</v>
      </c>
      <c r="AP238" s="101"/>
      <c r="AQ238" s="108"/>
      <c r="AR238" s="119"/>
      <c r="AS238" s="121" t="s">
        <v>3278</v>
      </c>
      <c r="AT238" s="109">
        <v>46034</v>
      </c>
      <c r="AU238" s="101" t="s">
        <v>3141</v>
      </c>
      <c r="AV238" s="101"/>
      <c r="AW238" s="101" t="s">
        <v>3150</v>
      </c>
      <c r="AX238" s="101"/>
      <c r="AY238" s="83" t="s">
        <v>3137</v>
      </c>
      <c r="AZ238" s="71" t="str">
        <f>IFERROR(IF(INDEX(입력!$C$2:$C$500, MATCH($BO238, 입력!$Z$2:$Z$500, 0))="", "", TEXT(INDEX(입력!$C$2:$C$500, MATCH($BO238, 입력!$Z$2:$Z$500, 0)), "yyyy-mm-dd")), "")</f>
        <v/>
      </c>
      <c r="BA238" s="44" t="str">
        <f>IFERROR(INDEX(입력!$B$2:$B$500, MATCH($BO238, 입력!$Z$2:$Z$500, 0)) &amp; "", "")</f>
        <v/>
      </c>
      <c r="BB238" s="83" t="str">
        <f>IFERROR(INDEX(입력!$Y$2:$Y$500, MATCH($BO238, 입력!$Z$2:$Z$500, 0)) &amp; "", "")</f>
        <v/>
      </c>
      <c r="BC238" s="83" t="s">
        <v>3279</v>
      </c>
      <c r="BD238" s="83"/>
      <c r="BE238" s="114" t="s">
        <v>3287</v>
      </c>
      <c r="BF238" s="101"/>
      <c r="BG238" s="101"/>
      <c r="BH238" s="101"/>
      <c r="BI238" s="101"/>
      <c r="BJ238" s="101"/>
      <c r="BK238" s="110"/>
      <c r="BL238" s="21"/>
      <c r="BM238" s="22">
        <v>409</v>
      </c>
      <c r="BN238" s="23"/>
      <c r="BO238" s="47" t="s">
        <v>592</v>
      </c>
    </row>
    <row r="239" spans="1:67" x14ac:dyDescent="0.45">
      <c r="A239" s="19">
        <v>238</v>
      </c>
      <c r="B239" s="1" t="s">
        <v>1647</v>
      </c>
      <c r="C239" s="17" t="str">
        <f t="shared" si="27"/>
        <v>이행완료</v>
      </c>
      <c r="D239" s="17" t="str">
        <f t="shared" si="30"/>
        <v/>
      </c>
      <c r="E239" s="2" t="s">
        <v>1805</v>
      </c>
      <c r="F239" s="1" t="s">
        <v>593</v>
      </c>
      <c r="G239" s="11" t="s">
        <v>1806</v>
      </c>
      <c r="H239" s="18" t="s">
        <v>1133</v>
      </c>
      <c r="I239" s="19">
        <v>198</v>
      </c>
      <c r="J239" s="2"/>
      <c r="K239" s="20" t="s">
        <v>2460</v>
      </c>
      <c r="L239" s="20"/>
      <c r="M239" s="17" t="str">
        <f t="shared" si="28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MATCH($BO239, 입력!$Z$2:$Z$500, 0)) &amp; "", "")</f>
        <v/>
      </c>
      <c r="S239" s="64" t="str">
        <f>IFERROR(INDEX(입력!$K$2:$K$500, MATCH($BO239,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9"/>
        <v>4</v>
      </c>
      <c r="W239" s="1" t="str">
        <f t="shared" si="26"/>
        <v/>
      </c>
      <c r="X239" s="1">
        <v>4</v>
      </c>
      <c r="Y239" s="64" t="str">
        <f>IFERROR(INDEX(입력!$M$2:$M$500, MATCH($BO239, 입력!$Z$2:$Z$500, 0)) &amp; "", "")</f>
        <v/>
      </c>
      <c r="Z239" s="64" t="str">
        <f>IFERROR(INDEX(입력!$N$2:$N$500, MATCH($BO239, 입력!$Z$2:$Z$500, 0)) &amp; "", "")</f>
        <v/>
      </c>
      <c r="AA239" s="64">
        <f>MAX(0, 표1[[#This Row],[의무_시설]]-표1[[#This Row],[시설합]])</f>
        <v>0</v>
      </c>
      <c r="AB239" s="17" t="str">
        <f t="shared" si="31"/>
        <v>이행완료</v>
      </c>
      <c r="AC239" s="64" t="str">
        <f>IFERROR(INDEX(입력!$P$2:$P$500, MATCH($BO239, 입력!$Z$2:$Z$500, 0)) &amp; "", "")</f>
        <v/>
      </c>
      <c r="AD239" s="64" t="str">
        <f>IFERROR(INDEX(입력!$Q$2:$Q$500, MATCH($BO239, 입력!$Z$2:$Z$500, 0)) &amp; "", "")</f>
        <v/>
      </c>
      <c r="AE239" s="64" t="str">
        <f>IFERROR(INDEX(입력!$R$2:$R$500, MATCH($BO239, 입력!$Z$2:$Z$500, 0)) &amp; "", "")</f>
        <v/>
      </c>
      <c r="AF239" s="64" t="str">
        <f>IFERROR(INDEX(입력!$S$2:$S$500, MATCH($BO239, 입력!$Z$2:$Z$500, 0)) &amp; "", "")</f>
        <v/>
      </c>
      <c r="AG239" s="64" t="str">
        <f>IFERROR(INDEX(입력!$T$2:$T$500, MATCH($BO239, 입력!$Z$2:$Z$500, 0)) &amp; "", "")</f>
        <v/>
      </c>
      <c r="AH239" s="64" t="str">
        <f>IFERROR(INDEX(입력!$U$2:$U$500, MATCH($BO239, 입력!$Z$2:$Z$500, 0)) &amp; "", "")</f>
        <v/>
      </c>
      <c r="AI239" s="64" t="str">
        <f>IFERROR(INDEX(입력!$V$2:$V$500, MATCH($BO239, 입력!$Z$2:$Z$500, 0)) &amp; "", "")</f>
        <v/>
      </c>
      <c r="AJ239" s="44" t="str">
        <f>IFERROR(INDEX(입력!$W$2:$W$500, MATCH($BO239, 입력!$Z$2:$Z$500, 0)) &amp; "", "")</f>
        <v/>
      </c>
      <c r="AK239" s="44" t="str">
        <f>IFERROR(INDEX(입력!$X$2:$X$500, MATCH($BO239, 입력!$Z$2:$Z$500, 0)) &amp; "", "")</f>
        <v/>
      </c>
      <c r="AL239" s="2"/>
      <c r="AM239" s="17" t="s">
        <v>1650</v>
      </c>
      <c r="AN239" s="101">
        <v>2025</v>
      </c>
      <c r="AO239" s="17" t="s">
        <v>3274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3137</v>
      </c>
      <c r="AZ239" s="71" t="str">
        <f>IFERROR(IF(INDEX(입력!$C$2:$C$500, MATCH($BO239, 입력!$Z$2:$Z$500, 0))="", "", TEXT(INDEX(입력!$C$2:$C$500, MATCH($BO239, 입력!$Z$2:$Z$500, 0)), "yyyy-mm-dd")), "")</f>
        <v/>
      </c>
      <c r="BA239" s="44" t="str">
        <f>IFERROR(INDEX(입력!$B$2:$B$500, MATCH($BO239, 입력!$Z$2:$Z$500, 0)) &amp; "", "")</f>
        <v/>
      </c>
      <c r="BB239" s="83" t="str">
        <f>IFERROR(INDEX(입력!$Y$2:$Y$500, MATCH($BO239, 입력!$Z$2:$Z$500, 0)) &amp; "", "")</f>
        <v/>
      </c>
      <c r="BC239" s="83" t="s">
        <v>3112</v>
      </c>
      <c r="BD239" s="83"/>
      <c r="BE239" s="101"/>
      <c r="BF239" s="101"/>
      <c r="BG239" s="101"/>
      <c r="BH239" s="101"/>
      <c r="BI239" s="101"/>
      <c r="BJ239" s="101"/>
      <c r="BK239" s="110"/>
      <c r="BL239" s="21"/>
      <c r="BM239" s="22">
        <v>198</v>
      </c>
      <c r="BN239" s="23"/>
      <c r="BO239" s="47" t="s">
        <v>594</v>
      </c>
    </row>
    <row r="240" spans="1:67" x14ac:dyDescent="0.45">
      <c r="A240" s="46">
        <v>239</v>
      </c>
      <c r="B240" s="1" t="s">
        <v>1647</v>
      </c>
      <c r="C240" s="17" t="str">
        <f t="shared" si="27"/>
        <v>이행완료</v>
      </c>
      <c r="D240" s="17" t="str">
        <f t="shared" si="30"/>
        <v/>
      </c>
      <c r="E240" s="2" t="s">
        <v>1807</v>
      </c>
      <c r="F240" s="1" t="s">
        <v>595</v>
      </c>
      <c r="G240" s="11" t="s">
        <v>1808</v>
      </c>
      <c r="H240" s="18" t="s">
        <v>1088</v>
      </c>
      <c r="I240" s="19">
        <v>727</v>
      </c>
      <c r="J240" s="2"/>
      <c r="K240" s="20" t="s">
        <v>2461</v>
      </c>
      <c r="L240" s="20"/>
      <c r="M240" s="17" t="str">
        <f t="shared" si="28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MATCH($BO240, 입력!$Z$2:$Z$500, 0)) &amp; "", "")</f>
        <v/>
      </c>
      <c r="S240" s="64" t="str">
        <f>IFERROR(INDEX(입력!$K$2:$K$500, MATCH($BO240,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9"/>
        <v>15</v>
      </c>
      <c r="W240" s="1" t="str">
        <f t="shared" si="26"/>
        <v/>
      </c>
      <c r="X240" s="1">
        <v>15</v>
      </c>
      <c r="Y240" s="64" t="str">
        <f>IFERROR(INDEX(입력!$M$2:$M$500, MATCH($BO240, 입력!$Z$2:$Z$500, 0)) &amp; "", "")</f>
        <v/>
      </c>
      <c r="Z240" s="64" t="str">
        <f>IFERROR(INDEX(입력!$N$2:$N$500, MATCH($BO240, 입력!$Z$2:$Z$500, 0)) &amp; "", "")</f>
        <v/>
      </c>
      <c r="AA240" s="64">
        <f>MAX(0, 표1[[#This Row],[의무_시설]]-표1[[#This Row],[시설합]])</f>
        <v>0</v>
      </c>
      <c r="AB240" s="17" t="str">
        <f t="shared" si="31"/>
        <v>이행완료</v>
      </c>
      <c r="AC240" s="64" t="str">
        <f>IFERROR(INDEX(입력!$P$2:$P$500, MATCH($BO240, 입력!$Z$2:$Z$500, 0)) &amp; "", "")</f>
        <v/>
      </c>
      <c r="AD240" s="64" t="str">
        <f>IFERROR(INDEX(입력!$Q$2:$Q$500, MATCH($BO240, 입력!$Z$2:$Z$500, 0)) &amp; "", "")</f>
        <v/>
      </c>
      <c r="AE240" s="64" t="str">
        <f>IFERROR(INDEX(입력!$R$2:$R$500, MATCH($BO240, 입력!$Z$2:$Z$500, 0)) &amp; "", "")</f>
        <v/>
      </c>
      <c r="AF240" s="64" t="str">
        <f>IFERROR(INDEX(입력!$S$2:$S$500, MATCH($BO240, 입력!$Z$2:$Z$500, 0)) &amp; "", "")</f>
        <v/>
      </c>
      <c r="AG240" s="64" t="str">
        <f>IFERROR(INDEX(입력!$T$2:$T$500, MATCH($BO240, 입력!$Z$2:$Z$500, 0)) &amp; "", "")</f>
        <v/>
      </c>
      <c r="AH240" s="64" t="str">
        <f>IFERROR(INDEX(입력!$U$2:$U$500, MATCH($BO240, 입력!$Z$2:$Z$500, 0)) &amp; "", "")</f>
        <v/>
      </c>
      <c r="AI240" s="64" t="str">
        <f>IFERROR(INDEX(입력!$V$2:$V$500, MATCH($BO240, 입력!$Z$2:$Z$500, 0)) &amp; "", "")</f>
        <v/>
      </c>
      <c r="AJ240" s="44" t="str">
        <f>IFERROR(INDEX(입력!$W$2:$W$500, MATCH($BO240, 입력!$Z$2:$Z$500, 0)) &amp; "", "")</f>
        <v/>
      </c>
      <c r="AK240" s="44" t="str">
        <f>IFERROR(INDEX(입력!$X$2:$X$500, MATCH($BO240, 입력!$Z$2:$Z$500, 0)) &amp; "", "")</f>
        <v/>
      </c>
      <c r="AL240" s="2"/>
      <c r="AM240" s="17" t="s">
        <v>1650</v>
      </c>
      <c r="AN240" s="101">
        <v>2025</v>
      </c>
      <c r="AO240" s="17" t="s">
        <v>3275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3137</v>
      </c>
      <c r="AZ240" s="71" t="str">
        <f>IFERROR(IF(INDEX(입력!$C$2:$C$500, MATCH($BO240, 입력!$Z$2:$Z$500, 0))="", "", TEXT(INDEX(입력!$C$2:$C$500, MATCH($BO240, 입력!$Z$2:$Z$500, 0)), "yyyy-mm-dd")), "")</f>
        <v/>
      </c>
      <c r="BA240" s="44" t="str">
        <f>IFERROR(INDEX(입력!$B$2:$B$500, MATCH($BO240, 입력!$Z$2:$Z$500, 0)) &amp; "", "")</f>
        <v/>
      </c>
      <c r="BB240" s="83" t="str">
        <f>IFERROR(INDEX(입력!$Y$2:$Y$500, MATCH($BO240, 입력!$Z$2:$Z$500, 0)) &amp; "", "")</f>
        <v/>
      </c>
      <c r="BC240" s="83" t="s">
        <v>3112</v>
      </c>
      <c r="BD240" s="83"/>
      <c r="BE240" s="101"/>
      <c r="BF240" s="101"/>
      <c r="BG240" s="101"/>
      <c r="BH240" s="101"/>
      <c r="BI240" s="101"/>
      <c r="BJ240" s="101"/>
      <c r="BK240" s="110"/>
      <c r="BL240" s="21"/>
      <c r="BM240" s="22">
        <v>727</v>
      </c>
      <c r="BN240" s="23"/>
      <c r="BO240" s="47" t="s">
        <v>596</v>
      </c>
    </row>
    <row r="241" spans="1:67" x14ac:dyDescent="0.45">
      <c r="A241" s="19">
        <v>240</v>
      </c>
      <c r="B241" s="1" t="s">
        <v>1647</v>
      </c>
      <c r="C241" s="17" t="str">
        <f t="shared" si="27"/>
        <v>이행완료</v>
      </c>
      <c r="D241" s="17" t="str">
        <f t="shared" si="30"/>
        <v/>
      </c>
      <c r="E241" s="2" t="s">
        <v>1809</v>
      </c>
      <c r="F241" s="1" t="s">
        <v>597</v>
      </c>
      <c r="G241" s="11" t="s">
        <v>1810</v>
      </c>
      <c r="H241" s="18" t="s">
        <v>1335</v>
      </c>
      <c r="I241" s="19">
        <v>509</v>
      </c>
      <c r="J241" s="2"/>
      <c r="K241" s="20">
        <v>34240</v>
      </c>
      <c r="L241" s="20"/>
      <c r="M241" s="17" t="str">
        <f t="shared" si="28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MATCH($BO241, 입력!$Z$2:$Z$500, 0)) &amp; "", "")</f>
        <v/>
      </c>
      <c r="S241" s="64" t="str">
        <f>IFERROR(INDEX(입력!$K$2:$K$500, MATCH($BO241,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9"/>
        <v>10</v>
      </c>
      <c r="W241" s="1" t="str">
        <f t="shared" si="26"/>
        <v/>
      </c>
      <c r="X241" s="1">
        <v>13</v>
      </c>
      <c r="Y241" s="64" t="str">
        <f>IFERROR(INDEX(입력!$M$2:$M$500, MATCH($BO241, 입력!$Z$2:$Z$500, 0)) &amp; "", "")</f>
        <v/>
      </c>
      <c r="Z241" s="64" t="str">
        <f>IFERROR(INDEX(입력!$N$2:$N$500, MATCH($BO241, 입력!$Z$2:$Z$500, 0)) &amp; "", "")</f>
        <v/>
      </c>
      <c r="AA241" s="64">
        <f>MAX(0, 표1[[#This Row],[의무_시설]]-표1[[#This Row],[시설합]])</f>
        <v>0</v>
      </c>
      <c r="AB241" s="17" t="str">
        <f t="shared" si="31"/>
        <v>이행완료</v>
      </c>
      <c r="AC241" s="64" t="str">
        <f>IFERROR(INDEX(입력!$P$2:$P$500, MATCH($BO241, 입력!$Z$2:$Z$500, 0)) &amp; "", "")</f>
        <v/>
      </c>
      <c r="AD241" s="64" t="str">
        <f>IFERROR(INDEX(입력!$Q$2:$Q$500, MATCH($BO241, 입력!$Z$2:$Z$500, 0)) &amp; "", "")</f>
        <v/>
      </c>
      <c r="AE241" s="64" t="str">
        <f>IFERROR(INDEX(입력!$R$2:$R$500, MATCH($BO241, 입력!$Z$2:$Z$500, 0)) &amp; "", "")</f>
        <v/>
      </c>
      <c r="AF241" s="64" t="str">
        <f>IFERROR(INDEX(입력!$S$2:$S$500, MATCH($BO241, 입력!$Z$2:$Z$500, 0)) &amp; "", "")</f>
        <v/>
      </c>
      <c r="AG241" s="64" t="str">
        <f>IFERROR(INDEX(입력!$T$2:$T$500, MATCH($BO241, 입력!$Z$2:$Z$500, 0)) &amp; "", "")</f>
        <v/>
      </c>
      <c r="AH241" s="64" t="str">
        <f>IFERROR(INDEX(입력!$U$2:$U$500, MATCH($BO241, 입력!$Z$2:$Z$500, 0)) &amp; "", "")</f>
        <v/>
      </c>
      <c r="AI241" s="64" t="str">
        <f>IFERROR(INDEX(입력!$V$2:$V$500, MATCH($BO241, 입력!$Z$2:$Z$500, 0)) &amp; "", "")</f>
        <v/>
      </c>
      <c r="AJ241" s="44" t="str">
        <f>IFERROR(INDEX(입력!$W$2:$W$500, MATCH($BO241, 입력!$Z$2:$Z$500, 0)) &amp; "", "")</f>
        <v/>
      </c>
      <c r="AK241" s="44" t="str">
        <f>IFERROR(INDEX(입력!$X$2:$X$500, MATCH($BO241, 입력!$Z$2:$Z$500, 0)) &amp; "", "")</f>
        <v/>
      </c>
      <c r="AL241" s="2"/>
      <c r="AM241" s="17" t="s">
        <v>1650</v>
      </c>
      <c r="AN241" s="101">
        <v>2025</v>
      </c>
      <c r="AO241" s="17" t="s">
        <v>3275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3131</v>
      </c>
      <c r="AZ241" s="71" t="str">
        <f>IFERROR(IF(INDEX(입력!$C$2:$C$500, MATCH($BO241, 입력!$Z$2:$Z$500, 0))="", "", TEXT(INDEX(입력!$C$2:$C$500, MATCH($BO241, 입력!$Z$2:$Z$500, 0)), "yyyy-mm-dd")), "")</f>
        <v/>
      </c>
      <c r="BA241" s="44" t="str">
        <f>IFERROR(INDEX(입력!$B$2:$B$500, MATCH($BO241, 입력!$Z$2:$Z$500, 0)) &amp; "", "")</f>
        <v/>
      </c>
      <c r="BB241" s="83" t="str">
        <f>IFERROR(INDEX(입력!$Y$2:$Y$500, MATCH($BO241, 입력!$Z$2:$Z$500, 0)) &amp; "", "")</f>
        <v/>
      </c>
      <c r="BC241" s="83" t="s">
        <v>3112</v>
      </c>
      <c r="BD241" s="83"/>
      <c r="BE241" s="101"/>
      <c r="BF241" s="101"/>
      <c r="BG241" s="101"/>
      <c r="BH241" s="101"/>
      <c r="BI241" s="101"/>
      <c r="BJ241" s="101"/>
      <c r="BK241" s="110"/>
      <c r="BL241" s="21"/>
      <c r="BM241" s="22">
        <v>616</v>
      </c>
      <c r="BN241" s="23"/>
      <c r="BO241" s="47" t="s">
        <v>598</v>
      </c>
    </row>
    <row r="242" spans="1:67" x14ac:dyDescent="0.45">
      <c r="A242" s="46">
        <v>241</v>
      </c>
      <c r="B242" s="1" t="s">
        <v>1647</v>
      </c>
      <c r="C242" s="17" t="str">
        <f t="shared" si="27"/>
        <v>이행완료</v>
      </c>
      <c r="D242" s="17" t="str">
        <f t="shared" si="30"/>
        <v/>
      </c>
      <c r="E242" s="2" t="s">
        <v>1811</v>
      </c>
      <c r="F242" s="1" t="s">
        <v>599</v>
      </c>
      <c r="G242" s="11" t="s">
        <v>1812</v>
      </c>
      <c r="H242" s="18" t="s">
        <v>1097</v>
      </c>
      <c r="I242" s="19">
        <v>469</v>
      </c>
      <c r="J242" s="2"/>
      <c r="K242" s="20" t="s">
        <v>2462</v>
      </c>
      <c r="L242" s="20"/>
      <c r="M242" s="17" t="str">
        <f t="shared" si="28"/>
        <v>기축</v>
      </c>
      <c r="N242" s="21"/>
      <c r="O242" s="21"/>
      <c r="P242" s="1">
        <f t="shared" si="24"/>
        <v>9</v>
      </c>
      <c r="Q242" s="1">
        <v>10</v>
      </c>
      <c r="R242" s="64" t="str">
        <f>IFERROR(INDEX(입력!$J$2:$J$500, MATCH($BO242, 입력!$Z$2:$Z$500, 0)) &amp; "", "")</f>
        <v/>
      </c>
      <c r="S242" s="64" t="str">
        <f>IFERROR(INDEX(입력!$K$2:$K$500, MATCH($BO242,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9"/>
        <v>9</v>
      </c>
      <c r="W242" s="1" t="str">
        <f t="shared" si="26"/>
        <v/>
      </c>
      <c r="X242" s="1">
        <v>10</v>
      </c>
      <c r="Y242" s="64" t="str">
        <f>IFERROR(INDEX(입력!$M$2:$M$500, MATCH($BO242, 입력!$Z$2:$Z$500, 0)) &amp; "", "")</f>
        <v/>
      </c>
      <c r="Z242" s="64" t="str">
        <f>IFERROR(INDEX(입력!$N$2:$N$500, MATCH($BO242, 입력!$Z$2:$Z$500, 0)) &amp; "", "")</f>
        <v/>
      </c>
      <c r="AA242" s="64">
        <f>MAX(0, 표1[[#This Row],[의무_시설]]-표1[[#This Row],[시설합]])</f>
        <v>0</v>
      </c>
      <c r="AB242" s="17" t="str">
        <f t="shared" si="31"/>
        <v>이행완료</v>
      </c>
      <c r="AC242" s="64" t="str">
        <f>IFERROR(INDEX(입력!$P$2:$P$500, MATCH($BO242, 입력!$Z$2:$Z$500, 0)) &amp; "", "")</f>
        <v/>
      </c>
      <c r="AD242" s="64" t="str">
        <f>IFERROR(INDEX(입력!$Q$2:$Q$500, MATCH($BO242, 입력!$Z$2:$Z$500, 0)) &amp; "", "")</f>
        <v/>
      </c>
      <c r="AE242" s="64" t="str">
        <f>IFERROR(INDEX(입력!$R$2:$R$500, MATCH($BO242, 입력!$Z$2:$Z$500, 0)) &amp; "", "")</f>
        <v/>
      </c>
      <c r="AF242" s="64" t="str">
        <f>IFERROR(INDEX(입력!$S$2:$S$500, MATCH($BO242, 입력!$Z$2:$Z$500, 0)) &amp; "", "")</f>
        <v/>
      </c>
      <c r="AG242" s="64" t="str">
        <f>IFERROR(INDEX(입력!$T$2:$T$500, MATCH($BO242, 입력!$Z$2:$Z$500, 0)) &amp; "", "")</f>
        <v/>
      </c>
      <c r="AH242" s="64" t="str">
        <f>IFERROR(INDEX(입력!$U$2:$U$500, MATCH($BO242, 입력!$Z$2:$Z$500, 0)) &amp; "", "")</f>
        <v/>
      </c>
      <c r="AI242" s="64" t="str">
        <f>IFERROR(INDEX(입력!$V$2:$V$500, MATCH($BO242, 입력!$Z$2:$Z$500, 0)) &amp; "", "")</f>
        <v/>
      </c>
      <c r="AJ242" s="44" t="str">
        <f>IFERROR(INDEX(입력!$W$2:$W$500, MATCH($BO242, 입력!$Z$2:$Z$500, 0)) &amp; "", "")</f>
        <v/>
      </c>
      <c r="AK242" s="44" t="str">
        <f>IFERROR(INDEX(입력!$X$2:$X$500, MATCH($BO242, 입력!$Z$2:$Z$500, 0)) &amp; "", "")</f>
        <v/>
      </c>
      <c r="AL242" s="2"/>
      <c r="AM242" s="17" t="s">
        <v>1650</v>
      </c>
      <c r="AN242" s="101">
        <v>2025</v>
      </c>
      <c r="AO242" s="17" t="s">
        <v>3275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3132</v>
      </c>
      <c r="AZ242" s="71" t="str">
        <f>IFERROR(IF(INDEX(입력!$C$2:$C$500, MATCH($BO242, 입력!$Z$2:$Z$500, 0))="", "", TEXT(INDEX(입력!$C$2:$C$500, MATCH($BO242, 입력!$Z$2:$Z$500, 0)), "yyyy-mm-dd")), "")</f>
        <v/>
      </c>
      <c r="BA242" s="44" t="str">
        <f>IFERROR(INDEX(입력!$B$2:$B$500, MATCH($BO242, 입력!$Z$2:$Z$500, 0)) &amp; "", "")</f>
        <v/>
      </c>
      <c r="BB242" s="83" t="str">
        <f>IFERROR(INDEX(입력!$Y$2:$Y$500, MATCH($BO242, 입력!$Z$2:$Z$500, 0)) &amp; "", "")</f>
        <v/>
      </c>
      <c r="BC242" s="83" t="s">
        <v>3112</v>
      </c>
      <c r="BD242" s="83"/>
      <c r="BE242" s="101"/>
      <c r="BF242" s="101"/>
      <c r="BG242" s="101"/>
      <c r="BH242" s="101"/>
      <c r="BI242" s="101"/>
      <c r="BJ242" s="101"/>
      <c r="BK242" s="110"/>
      <c r="BL242" s="21"/>
      <c r="BM242" s="22">
        <v>469</v>
      </c>
      <c r="BN242" s="23"/>
      <c r="BO242" s="47" t="s">
        <v>600</v>
      </c>
    </row>
    <row r="243" spans="1:67" x14ac:dyDescent="0.45">
      <c r="A243" s="19">
        <v>242</v>
      </c>
      <c r="B243" s="1" t="s">
        <v>1647</v>
      </c>
      <c r="C243" s="17" t="str">
        <f t="shared" si="27"/>
        <v>이행완료</v>
      </c>
      <c r="D243" s="17" t="str">
        <f t="shared" si="30"/>
        <v>조사완료</v>
      </c>
      <c r="E243" s="2" t="s">
        <v>1813</v>
      </c>
      <c r="F243" s="1" t="s">
        <v>601</v>
      </c>
      <c r="G243" s="11" t="s">
        <v>1814</v>
      </c>
      <c r="H243" s="18" t="s">
        <v>1097</v>
      </c>
      <c r="I243" s="19">
        <v>692</v>
      </c>
      <c r="J243" s="2"/>
      <c r="K243" s="20" t="s">
        <v>2339</v>
      </c>
      <c r="L243" s="20"/>
      <c r="M243" s="17" t="str">
        <f t="shared" si="28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MATCH($BO243, 입력!$Z$2:$Z$500, 0)) &amp; "", "")</f>
        <v>3</v>
      </c>
      <c r="S243" s="64" t="str">
        <f>IFERROR(INDEX(입력!$K$2:$K$500, MATCH($BO243,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9"/>
        <v>14</v>
      </c>
      <c r="W243" s="1" t="str">
        <f t="shared" si="26"/>
        <v/>
      </c>
      <c r="X243" s="1">
        <v>14</v>
      </c>
      <c r="Y243" s="64" t="str">
        <f>IFERROR(INDEX(입력!$M$2:$M$500, MATCH($BO243, 입력!$Z$2:$Z$500, 0)) &amp; "", "")</f>
        <v>1</v>
      </c>
      <c r="Z243" s="64" t="str">
        <f>IFERROR(INDEX(입력!$N$2:$N$500, MATCH($BO243,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1"/>
        <v>이행완료</v>
      </c>
      <c r="AC243" s="64" t="str">
        <f>IFERROR(INDEX(입력!$P$2:$P$500, MATCH($BO243, 입력!$Z$2:$Z$500, 0)) &amp; "", "")</f>
        <v>562</v>
      </c>
      <c r="AD243" s="64" t="str">
        <f>IFERROR(INDEX(입력!$Q$2:$Q$500, MATCH($BO243, 입력!$Z$2:$Z$500, 0)) &amp; "", "")</f>
        <v>40</v>
      </c>
      <c r="AE243" s="64" t="str">
        <f>IFERROR(INDEX(입력!$R$2:$R$500, MATCH($BO243, 입력!$Z$2:$Z$500, 0)) &amp; "", "")</f>
        <v/>
      </c>
      <c r="AF243" s="64" t="str">
        <f>IFERROR(INDEX(입력!$S$2:$S$500, MATCH($BO243, 입력!$Z$2:$Z$500, 0)) &amp; "", "")</f>
        <v/>
      </c>
      <c r="AG243" s="64" t="str">
        <f>IFERROR(INDEX(입력!$T$2:$T$500, MATCH($BO243, 입력!$Z$2:$Z$500, 0)) &amp; "", "")</f>
        <v>여</v>
      </c>
      <c r="AH243" s="64" t="str">
        <f>IFERROR(INDEX(입력!$U$2:$U$500, MATCH($BO243, 입력!$Z$2:$Z$500, 0)) &amp; "", "")</f>
        <v>14</v>
      </c>
      <c r="AI243" s="64" t="str">
        <f>IFERROR(INDEX(입력!$V$2:$V$500, MATCH($BO243, 입력!$Z$2:$Z$500, 0)) &amp; "", "")</f>
        <v>여</v>
      </c>
      <c r="AJ243" s="44" t="str">
        <f>IFERROR(INDEX(입력!$W$2:$W$500, MATCH($BO243, 입력!$Z$2:$Z$500, 0)) &amp; "", "")</f>
        <v>배동일</v>
      </c>
      <c r="AK243" s="44" t="str">
        <f>IFERROR(INDEX(입력!$X$2:$X$500, MATCH($BO243, 입력!$Z$2:$Z$500, 0)) &amp; "", "")</f>
        <v>010-5429-7821</v>
      </c>
      <c r="AL243" s="2" t="s">
        <v>1815</v>
      </c>
      <c r="AM243" s="17" t="s">
        <v>1650</v>
      </c>
      <c r="AN243" s="101">
        <v>2025</v>
      </c>
      <c r="AO243" s="17" t="s">
        <v>3274</v>
      </c>
      <c r="AP243" s="118"/>
      <c r="AQ243" s="21"/>
      <c r="AR243" s="119"/>
      <c r="AS243" s="101" t="s">
        <v>3163</v>
      </c>
      <c r="AT243" s="109">
        <v>46034</v>
      </c>
      <c r="AU243" s="101" t="s">
        <v>3126</v>
      </c>
      <c r="AV243" s="21" t="s">
        <v>1715</v>
      </c>
      <c r="AW243" s="101"/>
      <c r="AX243" s="119" t="s">
        <v>1816</v>
      </c>
      <c r="AY243" s="83" t="s">
        <v>3131</v>
      </c>
      <c r="AZ243" s="71" t="str">
        <f>IFERROR(IF(INDEX(입력!$C$2:$C$500, MATCH($BO243, 입력!$Z$2:$Z$500, 0))="", "", TEXT(INDEX(입력!$C$2:$C$500, MATCH($BO243, 입력!$Z$2:$Z$500, 0)), "yyyy-mm-dd")), "")</f>
        <v>2026-04-01</v>
      </c>
      <c r="BA243" s="44" t="str">
        <f>IFERROR(INDEX(입력!$B$2:$B$500, MATCH($BO243, 입력!$Z$2:$Z$500, 0)) &amp; "", "")</f>
        <v>정다은</v>
      </c>
      <c r="BB243" s="83" t="str">
        <f>IFERROR(INDEX(입력!$Y$2:$Y$500, MATCH($BO243, 입력!$Z$2:$Z$500, 0)) &amp; "", "")</f>
        <v/>
      </c>
      <c r="BC243" s="83" t="s">
        <v>3112</v>
      </c>
      <c r="BD243" s="83"/>
      <c r="BE243" s="101"/>
      <c r="BF243" s="101"/>
      <c r="BG243" s="101"/>
      <c r="BH243" s="101"/>
      <c r="BI243" s="101"/>
      <c r="BJ243" s="101"/>
      <c r="BK243" s="110"/>
      <c r="BL243" s="21"/>
      <c r="BM243" s="22">
        <v>677</v>
      </c>
      <c r="BN243" s="23"/>
      <c r="BO243" s="47" t="s">
        <v>602</v>
      </c>
    </row>
    <row r="244" spans="1:67" x14ac:dyDescent="0.45">
      <c r="A244" s="46">
        <v>243</v>
      </c>
      <c r="B244" s="1" t="s">
        <v>1647</v>
      </c>
      <c r="C244" s="17" t="str">
        <f t="shared" si="27"/>
        <v>이행완료</v>
      </c>
      <c r="D244" s="17" t="str">
        <f t="shared" si="30"/>
        <v/>
      </c>
      <c r="E244" s="2" t="s">
        <v>1817</v>
      </c>
      <c r="F244" s="1" t="s">
        <v>603</v>
      </c>
      <c r="G244" s="11" t="s">
        <v>1818</v>
      </c>
      <c r="H244" s="18" t="s">
        <v>1105</v>
      </c>
      <c r="I244" s="19">
        <v>434</v>
      </c>
      <c r="J244" s="2"/>
      <c r="K244" s="20" t="s">
        <v>2463</v>
      </c>
      <c r="L244" s="20"/>
      <c r="M244" s="17" t="str">
        <f t="shared" si="28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MATCH($BO244, 입력!$Z$2:$Z$500, 0)) &amp; "", "")</f>
        <v/>
      </c>
      <c r="S244" s="64" t="str">
        <f>IFERROR(INDEX(입력!$K$2:$K$500, MATCH($BO244,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9"/>
        <v>9</v>
      </c>
      <c r="W244" s="1" t="str">
        <f t="shared" si="26"/>
        <v/>
      </c>
      <c r="X244" s="1">
        <v>9</v>
      </c>
      <c r="Y244" s="64" t="str">
        <f>IFERROR(INDEX(입력!$M$2:$M$500, MATCH($BO244, 입력!$Z$2:$Z$500, 0)) &amp; "", "")</f>
        <v/>
      </c>
      <c r="Z244" s="64" t="str">
        <f>IFERROR(INDEX(입력!$N$2:$N$500, MATCH($BO244, 입력!$Z$2:$Z$500, 0)) &amp; "", "")</f>
        <v/>
      </c>
      <c r="AA244" s="64">
        <f>MAX(0, 표1[[#This Row],[의무_시설]]-표1[[#This Row],[시설합]])</f>
        <v>0</v>
      </c>
      <c r="AB244" s="17" t="str">
        <f t="shared" si="31"/>
        <v>이행완료</v>
      </c>
      <c r="AC244" s="64" t="str">
        <f>IFERROR(INDEX(입력!$P$2:$P$500, MATCH($BO244, 입력!$Z$2:$Z$500, 0)) &amp; "", "")</f>
        <v/>
      </c>
      <c r="AD244" s="64" t="str">
        <f>IFERROR(INDEX(입력!$Q$2:$Q$500, MATCH($BO244, 입력!$Z$2:$Z$500, 0)) &amp; "", "")</f>
        <v/>
      </c>
      <c r="AE244" s="64" t="str">
        <f>IFERROR(INDEX(입력!$R$2:$R$500, MATCH($BO244, 입력!$Z$2:$Z$500, 0)) &amp; "", "")</f>
        <v/>
      </c>
      <c r="AF244" s="64" t="str">
        <f>IFERROR(INDEX(입력!$S$2:$S$500, MATCH($BO244, 입력!$Z$2:$Z$500, 0)) &amp; "", "")</f>
        <v/>
      </c>
      <c r="AG244" s="64" t="str">
        <f>IFERROR(INDEX(입력!$T$2:$T$500, MATCH($BO244, 입력!$Z$2:$Z$500, 0)) &amp; "", "")</f>
        <v/>
      </c>
      <c r="AH244" s="64" t="str">
        <f>IFERROR(INDEX(입력!$U$2:$U$500, MATCH($BO244, 입력!$Z$2:$Z$500, 0)) &amp; "", "")</f>
        <v/>
      </c>
      <c r="AI244" s="64" t="str">
        <f>IFERROR(INDEX(입력!$V$2:$V$500, MATCH($BO244, 입력!$Z$2:$Z$500, 0)) &amp; "", "")</f>
        <v/>
      </c>
      <c r="AJ244" s="44" t="str">
        <f>IFERROR(INDEX(입력!$W$2:$W$500, MATCH($BO244, 입력!$Z$2:$Z$500, 0)) &amp; "", "")</f>
        <v/>
      </c>
      <c r="AK244" s="44" t="str">
        <f>IFERROR(INDEX(입력!$X$2:$X$500, MATCH($BO244, 입력!$Z$2:$Z$500, 0)) &amp; "", "")</f>
        <v/>
      </c>
      <c r="AL244" s="2"/>
      <c r="AM244" s="17" t="s">
        <v>1650</v>
      </c>
      <c r="AN244" s="101">
        <v>2025</v>
      </c>
      <c r="AO244" s="17" t="s">
        <v>3274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3137</v>
      </c>
      <c r="AZ244" s="71" t="str">
        <f>IFERROR(IF(INDEX(입력!$C$2:$C$500, MATCH($BO244, 입력!$Z$2:$Z$500, 0))="", "", TEXT(INDEX(입력!$C$2:$C$500, MATCH($BO244, 입력!$Z$2:$Z$500, 0)), "yyyy-mm-dd")), "")</f>
        <v/>
      </c>
      <c r="BA244" s="44" t="str">
        <f>IFERROR(INDEX(입력!$B$2:$B$500, MATCH($BO244, 입력!$Z$2:$Z$500, 0)) &amp; "", "")</f>
        <v/>
      </c>
      <c r="BB244" s="83" t="str">
        <f>IFERROR(INDEX(입력!$Y$2:$Y$500, MATCH($BO244, 입력!$Z$2:$Z$500, 0)) &amp; "", "")</f>
        <v/>
      </c>
      <c r="BC244" s="83" t="s">
        <v>3112</v>
      </c>
      <c r="BD244" s="83"/>
      <c r="BE244" s="101"/>
      <c r="BF244" s="101"/>
      <c r="BG244" s="101"/>
      <c r="BH244" s="101"/>
      <c r="BI244" s="101"/>
      <c r="BJ244" s="101"/>
      <c r="BK244" s="110"/>
      <c r="BL244" s="21"/>
      <c r="BM244" s="22">
        <v>434</v>
      </c>
      <c r="BN244" s="23"/>
      <c r="BO244" s="47" t="s">
        <v>604</v>
      </c>
    </row>
    <row r="245" spans="1:67" x14ac:dyDescent="0.45">
      <c r="A245" s="19">
        <v>244</v>
      </c>
      <c r="B245" s="1" t="s">
        <v>1647</v>
      </c>
      <c r="C245" s="17" t="str">
        <f t="shared" si="27"/>
        <v>이행완료</v>
      </c>
      <c r="D245" s="17" t="str">
        <f t="shared" si="30"/>
        <v/>
      </c>
      <c r="E245" s="2" t="s">
        <v>1819</v>
      </c>
      <c r="F245" s="1" t="s">
        <v>605</v>
      </c>
      <c r="G245" s="11" t="s">
        <v>1820</v>
      </c>
      <c r="H245" s="18" t="s">
        <v>1097</v>
      </c>
      <c r="I245" s="19">
        <v>518</v>
      </c>
      <c r="J245" s="2"/>
      <c r="K245" s="20" t="s">
        <v>2464</v>
      </c>
      <c r="L245" s="20"/>
      <c r="M245" s="17" t="str">
        <f t="shared" si="28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MATCH($BO245, 입력!$Z$2:$Z$500, 0)) &amp; "", "")</f>
        <v/>
      </c>
      <c r="S245" s="64" t="str">
        <f>IFERROR(INDEX(입력!$K$2:$K$500, MATCH($BO245, 입력!$Z$2:$Z$500, 0)) &amp; "", "")</f>
        <v/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9"/>
        <v>10</v>
      </c>
      <c r="W245" s="1" t="str">
        <f t="shared" si="26"/>
        <v/>
      </c>
      <c r="X245" s="1">
        <v>16</v>
      </c>
      <c r="Y245" s="64" t="str">
        <f>IFERROR(INDEX(입력!$M$2:$M$500, MATCH($BO245, 입력!$Z$2:$Z$500, 0)) &amp; "", "")</f>
        <v/>
      </c>
      <c r="Z245" s="64" t="str">
        <f>IFERROR(INDEX(입력!$N$2:$N$500, MATCH($BO245, 입력!$Z$2:$Z$500, 0)) &amp; "", "")</f>
        <v/>
      </c>
      <c r="AA245" s="64">
        <f>MAX(0, 표1[[#This Row],[의무_시설]]-표1[[#This Row],[시설합]])</f>
        <v>0</v>
      </c>
      <c r="AB245" s="17" t="str">
        <f t="shared" si="31"/>
        <v>이행완료</v>
      </c>
      <c r="AC245" s="64" t="str">
        <f>IFERROR(INDEX(입력!$P$2:$P$500, MATCH($BO245, 입력!$Z$2:$Z$500, 0)) &amp; "", "")</f>
        <v/>
      </c>
      <c r="AD245" s="64" t="str">
        <f>IFERROR(INDEX(입력!$Q$2:$Q$500, MATCH($BO245, 입력!$Z$2:$Z$500, 0)) &amp; "", "")</f>
        <v/>
      </c>
      <c r="AE245" s="64" t="str">
        <f>IFERROR(INDEX(입력!$R$2:$R$500, MATCH($BO245, 입력!$Z$2:$Z$500, 0)) &amp; "", "")</f>
        <v/>
      </c>
      <c r="AF245" s="64" t="str">
        <f>IFERROR(INDEX(입력!$S$2:$S$500, MATCH($BO245, 입력!$Z$2:$Z$500, 0)) &amp; "", "")</f>
        <v/>
      </c>
      <c r="AG245" s="64" t="str">
        <f>IFERROR(INDEX(입력!$T$2:$T$500, MATCH($BO245, 입력!$Z$2:$Z$500, 0)) &amp; "", "")</f>
        <v/>
      </c>
      <c r="AH245" s="64" t="str">
        <f>IFERROR(INDEX(입력!$U$2:$U$500, MATCH($BO245, 입력!$Z$2:$Z$500, 0)) &amp; "", "")</f>
        <v/>
      </c>
      <c r="AI245" s="64" t="str">
        <f>IFERROR(INDEX(입력!$V$2:$V$500, MATCH($BO245, 입력!$Z$2:$Z$500, 0)) &amp; "", "")</f>
        <v/>
      </c>
      <c r="AJ245" s="44" t="str">
        <f>IFERROR(INDEX(입력!$W$2:$W$500, MATCH($BO245, 입력!$Z$2:$Z$500, 0)) &amp; "", "")</f>
        <v/>
      </c>
      <c r="AK245" s="44" t="str">
        <f>IFERROR(INDEX(입력!$X$2:$X$500, MATCH($BO245, 입력!$Z$2:$Z$500, 0)) &amp; "", "")</f>
        <v/>
      </c>
      <c r="AL245" s="2"/>
      <c r="AM245" s="17" t="s">
        <v>1650</v>
      </c>
      <c r="AN245" s="101">
        <v>2025</v>
      </c>
      <c r="AO245" s="17" t="s">
        <v>3274</v>
      </c>
      <c r="AP245" s="118"/>
      <c r="AQ245" s="21"/>
      <c r="AR245" s="119" t="s">
        <v>1821</v>
      </c>
      <c r="AS245" s="101"/>
      <c r="AT245" s="101"/>
      <c r="AU245" s="101"/>
      <c r="AV245" s="101"/>
      <c r="AW245" s="101"/>
      <c r="AX245" s="101"/>
      <c r="AY245" s="83" t="s">
        <v>3137</v>
      </c>
      <c r="AZ245" s="71" t="str">
        <f>IFERROR(IF(INDEX(입력!$C$2:$C$500, MATCH($BO245, 입력!$Z$2:$Z$500, 0))="", "", TEXT(INDEX(입력!$C$2:$C$500, MATCH($BO245, 입력!$Z$2:$Z$500, 0)), "yyyy-mm-dd")), "")</f>
        <v/>
      </c>
      <c r="BA245" s="44" t="str">
        <f>IFERROR(INDEX(입력!$B$2:$B$500, MATCH($BO245, 입력!$Z$2:$Z$500, 0)) &amp; "", "")</f>
        <v/>
      </c>
      <c r="BB245" s="83" t="str">
        <f>IFERROR(INDEX(입력!$Y$2:$Y$500, MATCH($BO245, 입력!$Z$2:$Z$500, 0)) &amp; "", "")</f>
        <v/>
      </c>
      <c r="BC245" s="83" t="s">
        <v>3112</v>
      </c>
      <c r="BD245" s="83"/>
      <c r="BE245" s="101"/>
      <c r="BF245" s="101"/>
      <c r="BG245" s="101"/>
      <c r="BH245" s="101"/>
      <c r="BI245" s="101"/>
      <c r="BJ245" s="101"/>
      <c r="BK245" s="110"/>
      <c r="BL245" s="21"/>
      <c r="BM245" s="22">
        <v>518</v>
      </c>
      <c r="BN245" s="23"/>
      <c r="BO245" s="47" t="s">
        <v>606</v>
      </c>
    </row>
    <row r="246" spans="1:67" x14ac:dyDescent="0.45">
      <c r="A246" s="46">
        <v>245</v>
      </c>
      <c r="B246" s="1" t="s">
        <v>1647</v>
      </c>
      <c r="C246" s="17" t="str">
        <f t="shared" si="27"/>
        <v>이행완료</v>
      </c>
      <c r="D246" s="17" t="str">
        <f t="shared" si="30"/>
        <v/>
      </c>
      <c r="E246" s="1" t="s">
        <v>1822</v>
      </c>
      <c r="F246" s="1" t="s">
        <v>607</v>
      </c>
      <c r="G246" s="11" t="s">
        <v>1823</v>
      </c>
      <c r="H246" s="18" t="s">
        <v>1056</v>
      </c>
      <c r="I246" s="19">
        <v>203</v>
      </c>
      <c r="J246" s="2"/>
      <c r="K246" s="20" t="s">
        <v>2465</v>
      </c>
      <c r="L246" s="20"/>
      <c r="M246" s="17" t="str">
        <f t="shared" si="28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MATCH($BO246, 입력!$Z$2:$Z$500, 0)) &amp; "", "")</f>
        <v/>
      </c>
      <c r="S246" s="64" t="str">
        <f>IFERROR(INDEX(입력!$K$2:$K$500, MATCH($BO246, 입력!$Z$2:$Z$500, 0)) &amp; "", "")</f>
        <v/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9"/>
        <v>4</v>
      </c>
      <c r="W246" s="1" t="str">
        <f t="shared" si="26"/>
        <v/>
      </c>
      <c r="X246" s="1">
        <v>10</v>
      </c>
      <c r="Y246" s="64" t="str">
        <f>IFERROR(INDEX(입력!$M$2:$M$500, MATCH($BO246, 입력!$Z$2:$Z$500, 0)) &amp; "", "")</f>
        <v/>
      </c>
      <c r="Z246" s="64" t="str">
        <f>IFERROR(INDEX(입력!$N$2:$N$500, MATCH($BO246, 입력!$Z$2:$Z$500, 0)) &amp; "", "")</f>
        <v/>
      </c>
      <c r="AA246" s="64">
        <f>MAX(0, 표1[[#This Row],[의무_시설]]-표1[[#This Row],[시설합]])</f>
        <v>0</v>
      </c>
      <c r="AB246" s="17" t="str">
        <f t="shared" si="31"/>
        <v>이행완료</v>
      </c>
      <c r="AC246" s="64" t="str">
        <f>IFERROR(INDEX(입력!$P$2:$P$500, MATCH($BO246, 입력!$Z$2:$Z$500, 0)) &amp; "", "")</f>
        <v/>
      </c>
      <c r="AD246" s="64" t="str">
        <f>IFERROR(INDEX(입력!$Q$2:$Q$500, MATCH($BO246, 입력!$Z$2:$Z$500, 0)) &amp; "", "")</f>
        <v/>
      </c>
      <c r="AE246" s="64" t="str">
        <f>IFERROR(INDEX(입력!$R$2:$R$500, MATCH($BO246, 입력!$Z$2:$Z$500, 0)) &amp; "", "")</f>
        <v/>
      </c>
      <c r="AF246" s="64" t="str">
        <f>IFERROR(INDEX(입력!$S$2:$S$500, MATCH($BO246, 입력!$Z$2:$Z$500, 0)) &amp; "", "")</f>
        <v/>
      </c>
      <c r="AG246" s="64" t="str">
        <f>IFERROR(INDEX(입력!$T$2:$T$500, MATCH($BO246, 입력!$Z$2:$Z$500, 0)) &amp; "", "")</f>
        <v/>
      </c>
      <c r="AH246" s="64" t="str">
        <f>IFERROR(INDEX(입력!$U$2:$U$500, MATCH($BO246, 입력!$Z$2:$Z$500, 0)) &amp; "", "")</f>
        <v/>
      </c>
      <c r="AI246" s="64" t="str">
        <f>IFERROR(INDEX(입력!$V$2:$V$500, MATCH($BO246, 입력!$Z$2:$Z$500, 0)) &amp; "", "")</f>
        <v/>
      </c>
      <c r="AJ246" s="44" t="str">
        <f>IFERROR(INDEX(입력!$W$2:$W$500, MATCH($BO246, 입력!$Z$2:$Z$500, 0)) &amp; "", "")</f>
        <v/>
      </c>
      <c r="AK246" s="44" t="str">
        <f>IFERROR(INDEX(입력!$X$2:$X$500, MATCH($BO246, 입력!$Z$2:$Z$500, 0)) &amp; "", "")</f>
        <v/>
      </c>
      <c r="AL246" s="2"/>
      <c r="AM246" s="17" t="s">
        <v>1650</v>
      </c>
      <c r="AN246" s="101">
        <v>2025</v>
      </c>
      <c r="AO246" s="17" t="s">
        <v>3275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3131</v>
      </c>
      <c r="AZ246" s="71" t="str">
        <f>IFERROR(IF(INDEX(입력!$C$2:$C$500, MATCH($BO246, 입력!$Z$2:$Z$500, 0))="", "", TEXT(INDEX(입력!$C$2:$C$500, MATCH($BO246, 입력!$Z$2:$Z$500, 0)), "yyyy-mm-dd")), "")</f>
        <v/>
      </c>
      <c r="BA246" s="44" t="str">
        <f>IFERROR(INDEX(입력!$B$2:$B$500, MATCH($BO246, 입력!$Z$2:$Z$500, 0)) &amp; "", "")</f>
        <v/>
      </c>
      <c r="BB246" s="83" t="str">
        <f>IFERROR(INDEX(입력!$Y$2:$Y$500, MATCH($BO246, 입력!$Z$2:$Z$500, 0)) &amp; "", "")</f>
        <v/>
      </c>
      <c r="BC246" s="83" t="s">
        <v>3112</v>
      </c>
      <c r="BD246" s="83"/>
      <c r="BE246" s="101"/>
      <c r="BF246" s="101"/>
      <c r="BG246" s="101"/>
      <c r="BH246" s="101"/>
      <c r="BI246" s="101"/>
      <c r="BJ246" s="101"/>
      <c r="BK246" s="110"/>
      <c r="BL246" s="21"/>
      <c r="BM246" s="22">
        <v>203</v>
      </c>
      <c r="BN246" s="23"/>
      <c r="BO246" s="47" t="s">
        <v>608</v>
      </c>
    </row>
    <row r="247" spans="1:67" s="97" customFormat="1" x14ac:dyDescent="0.45">
      <c r="A247" s="85">
        <v>246</v>
      </c>
      <c r="B247" s="88" t="s">
        <v>1647</v>
      </c>
      <c r="C247" s="87" t="s">
        <v>3109</v>
      </c>
      <c r="D247" s="87" t="str">
        <f t="shared" si="30"/>
        <v/>
      </c>
      <c r="E247" s="88" t="s">
        <v>3350</v>
      </c>
      <c r="F247" s="88" t="s">
        <v>609</v>
      </c>
      <c r="G247" s="130" t="s">
        <v>1824</v>
      </c>
      <c r="H247" s="87" t="s">
        <v>1266</v>
      </c>
      <c r="I247" s="85">
        <v>193</v>
      </c>
      <c r="J247" s="86"/>
      <c r="K247" s="89" t="s">
        <v>2466</v>
      </c>
      <c r="L247" s="89"/>
      <c r="M247" s="87" t="str">
        <f t="shared" si="28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MATCH($BO247, 입력!$Z$2:$Z$500, 0)) &amp; "", "")</f>
        <v/>
      </c>
      <c r="S247" s="91" t="str">
        <f>IFERROR(INDEX(입력!$K$2:$K$500, MATCH($BO247,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9"/>
        <v>4</v>
      </c>
      <c r="W247" s="88" t="str">
        <f t="shared" si="26"/>
        <v/>
      </c>
      <c r="X247" s="88">
        <v>5</v>
      </c>
      <c r="Y247" s="91" t="str">
        <f>IFERROR(INDEX(입력!$M$2:$M$500, MATCH($BO247, 입력!$Z$2:$Z$500, 0)) &amp; "", "")</f>
        <v/>
      </c>
      <c r="Z247" s="91" t="str">
        <f>IFERROR(INDEX(입력!$N$2:$N$500, MATCH($BO247, 입력!$Z$2:$Z$500, 0)) &amp; "", "")</f>
        <v/>
      </c>
      <c r="AA247" s="91">
        <f>MAX(0, 표1[[#This Row],[의무_시설]]-표1[[#This Row],[시설합]])</f>
        <v>0</v>
      </c>
      <c r="AB247" s="87" t="str">
        <f t="shared" si="31"/>
        <v>이행완료</v>
      </c>
      <c r="AC247" s="91" t="str">
        <f>IFERROR(INDEX(입력!$P$2:$P$500, MATCH($BO247, 입력!$Z$2:$Z$500, 0)) &amp; "", "")</f>
        <v/>
      </c>
      <c r="AD247" s="91" t="str">
        <f>IFERROR(INDEX(입력!$Q$2:$Q$500, MATCH($BO247, 입력!$Z$2:$Z$500, 0)) &amp; "", "")</f>
        <v/>
      </c>
      <c r="AE247" s="91" t="str">
        <f>IFERROR(INDEX(입력!$R$2:$R$500, MATCH($BO247, 입력!$Z$2:$Z$500, 0)) &amp; "", "")</f>
        <v/>
      </c>
      <c r="AF247" s="91" t="str">
        <f>IFERROR(INDEX(입력!$S$2:$S$500, MATCH($BO247, 입력!$Z$2:$Z$500, 0)) &amp; "", "")</f>
        <v/>
      </c>
      <c r="AG247" s="91" t="str">
        <f>IFERROR(INDEX(입력!$T$2:$T$500, MATCH($BO247, 입력!$Z$2:$Z$500, 0)) &amp; "", "")</f>
        <v/>
      </c>
      <c r="AH247" s="91" t="str">
        <f>IFERROR(INDEX(입력!$U$2:$U$500, MATCH($BO247, 입력!$Z$2:$Z$500, 0)) &amp; "", "")</f>
        <v/>
      </c>
      <c r="AI247" s="91" t="str">
        <f>IFERROR(INDEX(입력!$V$2:$V$500, MATCH($BO247, 입력!$Z$2:$Z$500, 0)) &amp; "", "")</f>
        <v/>
      </c>
      <c r="AJ247" s="92" t="str">
        <f>IFERROR(INDEX(입력!$W$2:$W$500, MATCH($BO247, 입력!$Z$2:$Z$500, 0)) &amp; "", "")</f>
        <v/>
      </c>
      <c r="AK247" s="92" t="str">
        <f>IFERROR(INDEX(입력!$X$2:$X$500, MATCH($BO247, 입력!$Z$2:$Z$500, 0)) &amp; "", "")</f>
        <v/>
      </c>
      <c r="AL247" s="86"/>
      <c r="AM247" s="87" t="s">
        <v>1650</v>
      </c>
      <c r="AN247" s="100">
        <v>2025</v>
      </c>
      <c r="AO247" s="87" t="s">
        <v>3274</v>
      </c>
      <c r="AP247" s="100"/>
      <c r="AQ247" s="111"/>
      <c r="AR247" s="131"/>
      <c r="AS247" s="112" t="s">
        <v>3288</v>
      </c>
      <c r="AT247" s="132">
        <v>46034</v>
      </c>
      <c r="AU247" s="100" t="s">
        <v>3126</v>
      </c>
      <c r="AV247" s="100"/>
      <c r="AW247" s="100" t="s">
        <v>3150</v>
      </c>
      <c r="AX247" s="100"/>
      <c r="AY247" s="93" t="s">
        <v>3137</v>
      </c>
      <c r="AZ247" s="71" t="str">
        <f>IFERROR(IF(INDEX(입력!$C$2:$C$500, MATCH($BO247, 입력!$Z$2:$Z$500, 0))="", "", TEXT(INDEX(입력!$C$2:$C$500, MATCH($BO247, 입력!$Z$2:$Z$500, 0)), "yyyy-mm-dd")), "")</f>
        <v/>
      </c>
      <c r="BA247" s="44" t="str">
        <f>IFERROR(INDEX(입력!$B$2:$B$500, MATCH($BO247, 입력!$Z$2:$Z$500, 0)) &amp; "", "")</f>
        <v/>
      </c>
      <c r="BB247" s="93" t="str">
        <f>IFERROR(INDEX(입력!$Y$2:$Y$500, MATCH($BO247, 입력!$Z$2:$Z$500, 0)) &amp; "", "")</f>
        <v/>
      </c>
      <c r="BC247" s="93" t="s">
        <v>3284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3365</v>
      </c>
      <c r="BI247" s="100"/>
      <c r="BJ247" s="100" t="s">
        <v>3366</v>
      </c>
      <c r="BK247" s="112"/>
      <c r="BL247" s="90"/>
      <c r="BM247" s="94">
        <v>193</v>
      </c>
      <c r="BN247" s="95"/>
      <c r="BO247" s="96" t="s">
        <v>610</v>
      </c>
    </row>
    <row r="248" spans="1:67" x14ac:dyDescent="0.45">
      <c r="A248" s="46">
        <v>247</v>
      </c>
      <c r="B248" s="1" t="s">
        <v>1647</v>
      </c>
      <c r="C248" s="17" t="str">
        <f t="shared" si="27"/>
        <v>이행완료</v>
      </c>
      <c r="D248" s="17" t="str">
        <f t="shared" si="30"/>
        <v/>
      </c>
      <c r="E248" s="2" t="s">
        <v>1825</v>
      </c>
      <c r="F248" s="1" t="s">
        <v>611</v>
      </c>
      <c r="G248" s="11" t="s">
        <v>1826</v>
      </c>
      <c r="H248" s="18" t="s">
        <v>1566</v>
      </c>
      <c r="I248" s="19">
        <v>723</v>
      </c>
      <c r="J248" s="2"/>
      <c r="K248" s="20" t="s">
        <v>2467</v>
      </c>
      <c r="L248" s="20"/>
      <c r="M248" s="17" t="str">
        <f t="shared" si="28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MATCH($BO248, 입력!$Z$2:$Z$500, 0)) &amp; "", "")</f>
        <v/>
      </c>
      <c r="S248" s="64" t="str">
        <f>IFERROR(INDEX(입력!$K$2:$K$500, MATCH($BO248,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9"/>
        <v>14</v>
      </c>
      <c r="W248" s="1" t="str">
        <f t="shared" si="26"/>
        <v/>
      </c>
      <c r="X248" s="1">
        <v>15</v>
      </c>
      <c r="Y248" s="64" t="str">
        <f>IFERROR(INDEX(입력!$M$2:$M$500, MATCH($BO248, 입력!$Z$2:$Z$500, 0)) &amp; "", "")</f>
        <v/>
      </c>
      <c r="Z248" s="64" t="str">
        <f>IFERROR(INDEX(입력!$N$2:$N$500, MATCH($BO248, 입력!$Z$2:$Z$500, 0)) &amp; "", "")</f>
        <v/>
      </c>
      <c r="AA248" s="64">
        <f>MAX(0, 표1[[#This Row],[의무_시설]]-표1[[#This Row],[시설합]])</f>
        <v>0</v>
      </c>
      <c r="AB248" s="17" t="str">
        <f t="shared" si="31"/>
        <v>이행완료</v>
      </c>
      <c r="AC248" s="64" t="str">
        <f>IFERROR(INDEX(입력!$P$2:$P$500, MATCH($BO248, 입력!$Z$2:$Z$500, 0)) &amp; "", "")</f>
        <v/>
      </c>
      <c r="AD248" s="64" t="str">
        <f>IFERROR(INDEX(입력!$Q$2:$Q$500, MATCH($BO248, 입력!$Z$2:$Z$500, 0)) &amp; "", "")</f>
        <v/>
      </c>
      <c r="AE248" s="64" t="str">
        <f>IFERROR(INDEX(입력!$R$2:$R$500, MATCH($BO248, 입력!$Z$2:$Z$500, 0)) &amp; "", "")</f>
        <v/>
      </c>
      <c r="AF248" s="64" t="str">
        <f>IFERROR(INDEX(입력!$S$2:$S$500, MATCH($BO248, 입력!$Z$2:$Z$500, 0)) &amp; "", "")</f>
        <v/>
      </c>
      <c r="AG248" s="64" t="str">
        <f>IFERROR(INDEX(입력!$T$2:$T$500, MATCH($BO248, 입력!$Z$2:$Z$500, 0)) &amp; "", "")</f>
        <v/>
      </c>
      <c r="AH248" s="64" t="str">
        <f>IFERROR(INDEX(입력!$U$2:$U$500, MATCH($BO248, 입력!$Z$2:$Z$500, 0)) &amp; "", "")</f>
        <v/>
      </c>
      <c r="AI248" s="64" t="str">
        <f>IFERROR(INDEX(입력!$V$2:$V$500, MATCH($BO248, 입력!$Z$2:$Z$500, 0)) &amp; "", "")</f>
        <v/>
      </c>
      <c r="AJ248" s="44" t="str">
        <f>IFERROR(INDEX(입력!$W$2:$W$500, MATCH($BO248, 입력!$Z$2:$Z$500, 0)) &amp; "", "")</f>
        <v/>
      </c>
      <c r="AK248" s="44" t="str">
        <f>IFERROR(INDEX(입력!$X$2:$X$500, MATCH($BO248, 입력!$Z$2:$Z$500, 0)) &amp; "", "")</f>
        <v/>
      </c>
      <c r="AL248" s="2"/>
      <c r="AM248" s="17" t="s">
        <v>1650</v>
      </c>
      <c r="AN248" s="101">
        <v>2025</v>
      </c>
      <c r="AO248" s="17" t="s">
        <v>3277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3132</v>
      </c>
      <c r="AZ248" s="71" t="str">
        <f>IFERROR(IF(INDEX(입력!$C$2:$C$500, MATCH($BO248, 입력!$Z$2:$Z$500, 0))="", "", TEXT(INDEX(입력!$C$2:$C$500, MATCH($BO248, 입력!$Z$2:$Z$500, 0)), "yyyy-mm-dd")), "")</f>
        <v/>
      </c>
      <c r="BA248" s="44" t="str">
        <f>IFERROR(INDEX(입력!$B$2:$B$500, MATCH($BO248, 입력!$Z$2:$Z$500, 0)) &amp; "", "")</f>
        <v/>
      </c>
      <c r="BB248" s="83" t="str">
        <f>IFERROR(INDEX(입력!$Y$2:$Y$500, MATCH($BO248, 입력!$Z$2:$Z$500, 0)) &amp; "", "")</f>
        <v/>
      </c>
      <c r="BC248" s="83" t="s">
        <v>3112</v>
      </c>
      <c r="BD248" s="83"/>
      <c r="BE248" s="101"/>
      <c r="BF248" s="101"/>
      <c r="BG248" s="101"/>
      <c r="BH248" s="101"/>
      <c r="BI248" s="101"/>
      <c r="BJ248" s="101"/>
      <c r="BK248" s="110"/>
      <c r="BL248" s="21"/>
      <c r="BM248" s="22">
        <v>723</v>
      </c>
      <c r="BN248" s="23"/>
      <c r="BO248" s="47" t="s">
        <v>612</v>
      </c>
    </row>
    <row r="249" spans="1:67" x14ac:dyDescent="0.45">
      <c r="A249" s="19">
        <v>248</v>
      </c>
      <c r="B249" s="1" t="s">
        <v>1647</v>
      </c>
      <c r="C249" s="17" t="str">
        <f t="shared" si="27"/>
        <v>이행완료</v>
      </c>
      <c r="D249" s="17" t="str">
        <f t="shared" si="30"/>
        <v/>
      </c>
      <c r="E249" s="2" t="s">
        <v>1827</v>
      </c>
      <c r="F249" s="1" t="s">
        <v>613</v>
      </c>
      <c r="G249" s="11" t="s">
        <v>1828</v>
      </c>
      <c r="H249" s="18" t="s">
        <v>1097</v>
      </c>
      <c r="I249" s="19">
        <v>318</v>
      </c>
      <c r="J249" s="2"/>
      <c r="K249" s="20" t="s">
        <v>2468</v>
      </c>
      <c r="L249" s="20"/>
      <c r="M249" s="17" t="str">
        <f t="shared" si="28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MATCH($BO249, 입력!$Z$2:$Z$500, 0)) &amp; "", "")</f>
        <v/>
      </c>
      <c r="S249" s="64" t="str">
        <f>IFERROR(INDEX(입력!$K$2:$K$500, MATCH($BO249,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9"/>
        <v>6</v>
      </c>
      <c r="W249" s="1" t="str">
        <f t="shared" si="26"/>
        <v/>
      </c>
      <c r="X249" s="1">
        <v>7</v>
      </c>
      <c r="Y249" s="64" t="str">
        <f>IFERROR(INDEX(입력!$M$2:$M$500, MATCH($BO249, 입력!$Z$2:$Z$500, 0)) &amp; "", "")</f>
        <v/>
      </c>
      <c r="Z249" s="64" t="str">
        <f>IFERROR(INDEX(입력!$N$2:$N$500, MATCH($BO249, 입력!$Z$2:$Z$500, 0)) &amp; "", "")</f>
        <v/>
      </c>
      <c r="AA249" s="64">
        <f>MAX(0, 표1[[#This Row],[의무_시설]]-표1[[#This Row],[시설합]])</f>
        <v>0</v>
      </c>
      <c r="AB249" s="17" t="str">
        <f t="shared" si="31"/>
        <v>이행완료</v>
      </c>
      <c r="AC249" s="64" t="str">
        <f>IFERROR(INDEX(입력!$P$2:$P$500, MATCH($BO249, 입력!$Z$2:$Z$500, 0)) &amp; "", "")</f>
        <v/>
      </c>
      <c r="AD249" s="64" t="str">
        <f>IFERROR(INDEX(입력!$Q$2:$Q$500, MATCH($BO249, 입력!$Z$2:$Z$500, 0)) &amp; "", "")</f>
        <v/>
      </c>
      <c r="AE249" s="64" t="str">
        <f>IFERROR(INDEX(입력!$R$2:$R$500, MATCH($BO249, 입력!$Z$2:$Z$500, 0)) &amp; "", "")</f>
        <v/>
      </c>
      <c r="AF249" s="64" t="str">
        <f>IFERROR(INDEX(입력!$S$2:$S$500, MATCH($BO249, 입력!$Z$2:$Z$500, 0)) &amp; "", "")</f>
        <v/>
      </c>
      <c r="AG249" s="64" t="str">
        <f>IFERROR(INDEX(입력!$T$2:$T$500, MATCH($BO249, 입력!$Z$2:$Z$500, 0)) &amp; "", "")</f>
        <v/>
      </c>
      <c r="AH249" s="64" t="str">
        <f>IFERROR(INDEX(입력!$U$2:$U$500, MATCH($BO249, 입력!$Z$2:$Z$500, 0)) &amp; "", "")</f>
        <v/>
      </c>
      <c r="AI249" s="64" t="str">
        <f>IFERROR(INDEX(입력!$V$2:$V$500, MATCH($BO249, 입력!$Z$2:$Z$500, 0)) &amp; "", "")</f>
        <v/>
      </c>
      <c r="AJ249" s="44" t="str">
        <f>IFERROR(INDEX(입력!$W$2:$W$500, MATCH($BO249, 입력!$Z$2:$Z$500, 0)) &amp; "", "")</f>
        <v/>
      </c>
      <c r="AK249" s="44" t="str">
        <f>IFERROR(INDEX(입력!$X$2:$X$500, MATCH($BO249, 입력!$Z$2:$Z$500, 0)) &amp; "", "")</f>
        <v/>
      </c>
      <c r="AL249" s="2"/>
      <c r="AM249" s="17" t="s">
        <v>1650</v>
      </c>
      <c r="AN249" s="101">
        <v>2025</v>
      </c>
      <c r="AO249" s="17" t="s">
        <v>3275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3131</v>
      </c>
      <c r="AZ249" s="71" t="str">
        <f>IFERROR(IF(INDEX(입력!$C$2:$C$500, MATCH($BO249, 입력!$Z$2:$Z$500, 0))="", "", TEXT(INDEX(입력!$C$2:$C$500, MATCH($BO249, 입력!$Z$2:$Z$500, 0)), "yyyy-mm-dd")), "")</f>
        <v/>
      </c>
      <c r="BA249" s="44" t="str">
        <f>IFERROR(INDEX(입력!$B$2:$B$500, MATCH($BO249, 입력!$Z$2:$Z$500, 0)) &amp; "", "")</f>
        <v/>
      </c>
      <c r="BB249" s="83" t="str">
        <f>IFERROR(INDEX(입력!$Y$2:$Y$500, MATCH($BO249, 입력!$Z$2:$Z$500, 0)) &amp; "", "")</f>
        <v/>
      </c>
      <c r="BC249" s="83" t="s">
        <v>3112</v>
      </c>
      <c r="BD249" s="83"/>
      <c r="BE249" s="101"/>
      <c r="BF249" s="101"/>
      <c r="BG249" s="101"/>
      <c r="BH249" s="101"/>
      <c r="BI249" s="101"/>
      <c r="BJ249" s="101"/>
      <c r="BK249" s="110"/>
      <c r="BL249" s="21"/>
      <c r="BM249" s="22">
        <v>318</v>
      </c>
      <c r="BN249" s="23"/>
      <c r="BO249" s="47" t="s">
        <v>614</v>
      </c>
    </row>
    <row r="250" spans="1:67" x14ac:dyDescent="0.45">
      <c r="A250" s="46">
        <v>249</v>
      </c>
      <c r="B250" s="1" t="s">
        <v>1647</v>
      </c>
      <c r="C250" s="17" t="str">
        <f t="shared" si="27"/>
        <v>이행완료</v>
      </c>
      <c r="D250" s="17" t="str">
        <f t="shared" si="30"/>
        <v/>
      </c>
      <c r="E250" s="2" t="s">
        <v>1829</v>
      </c>
      <c r="F250" s="1" t="s">
        <v>615</v>
      </c>
      <c r="G250" s="11" t="s">
        <v>1830</v>
      </c>
      <c r="H250" s="18" t="s">
        <v>1097</v>
      </c>
      <c r="I250" s="19">
        <v>139</v>
      </c>
      <c r="J250" s="2"/>
      <c r="K250" s="20" t="s">
        <v>2469</v>
      </c>
      <c r="L250" s="20"/>
      <c r="M250" s="17" t="str">
        <f t="shared" si="28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MATCH($BO250, 입력!$Z$2:$Z$500, 0)) &amp; "", "")</f>
        <v/>
      </c>
      <c r="S250" s="64" t="str">
        <f>IFERROR(INDEX(입력!$K$2:$K$500, MATCH($BO250,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9"/>
        <v>3</v>
      </c>
      <c r="W250" s="1" t="str">
        <f t="shared" si="26"/>
        <v/>
      </c>
      <c r="X250" s="1">
        <v>7</v>
      </c>
      <c r="Y250" s="64" t="str">
        <f>IFERROR(INDEX(입력!$M$2:$M$500, MATCH($BO250, 입력!$Z$2:$Z$500, 0)) &amp; "", "")</f>
        <v/>
      </c>
      <c r="Z250" s="64" t="str">
        <f>IFERROR(INDEX(입력!$N$2:$N$500, MATCH($BO250, 입력!$Z$2:$Z$500, 0)) &amp; "", "")</f>
        <v/>
      </c>
      <c r="AA250" s="64">
        <f>MAX(0, 표1[[#This Row],[의무_시설]]-표1[[#This Row],[시설합]])</f>
        <v>0</v>
      </c>
      <c r="AB250" s="17" t="str">
        <f t="shared" si="31"/>
        <v>이행완료</v>
      </c>
      <c r="AC250" s="64" t="str">
        <f>IFERROR(INDEX(입력!$P$2:$P$500, MATCH($BO250, 입력!$Z$2:$Z$500, 0)) &amp; "", "")</f>
        <v/>
      </c>
      <c r="AD250" s="64" t="str">
        <f>IFERROR(INDEX(입력!$Q$2:$Q$500, MATCH($BO250, 입력!$Z$2:$Z$500, 0)) &amp; "", "")</f>
        <v/>
      </c>
      <c r="AE250" s="64" t="str">
        <f>IFERROR(INDEX(입력!$R$2:$R$500, MATCH($BO250, 입력!$Z$2:$Z$500, 0)) &amp; "", "")</f>
        <v/>
      </c>
      <c r="AF250" s="64" t="str">
        <f>IFERROR(INDEX(입력!$S$2:$S$500, MATCH($BO250, 입력!$Z$2:$Z$500, 0)) &amp; "", "")</f>
        <v/>
      </c>
      <c r="AG250" s="64" t="str">
        <f>IFERROR(INDEX(입력!$T$2:$T$500, MATCH($BO250, 입력!$Z$2:$Z$500, 0)) &amp; "", "")</f>
        <v/>
      </c>
      <c r="AH250" s="64" t="str">
        <f>IFERROR(INDEX(입력!$U$2:$U$500, MATCH($BO250, 입력!$Z$2:$Z$500, 0)) &amp; "", "")</f>
        <v/>
      </c>
      <c r="AI250" s="64" t="str">
        <f>IFERROR(INDEX(입력!$V$2:$V$500, MATCH($BO250, 입력!$Z$2:$Z$500, 0)) &amp; "", "")</f>
        <v/>
      </c>
      <c r="AJ250" s="44" t="str">
        <f>IFERROR(INDEX(입력!$W$2:$W$500, MATCH($BO250, 입력!$Z$2:$Z$500, 0)) &amp; "", "")</f>
        <v/>
      </c>
      <c r="AK250" s="44" t="str">
        <f>IFERROR(INDEX(입력!$X$2:$X$500, MATCH($BO250, 입력!$Z$2:$Z$500, 0)) &amp; "", "")</f>
        <v/>
      </c>
      <c r="AL250" s="2"/>
      <c r="AM250" s="17" t="s">
        <v>1650</v>
      </c>
      <c r="AN250" s="101">
        <v>2025</v>
      </c>
      <c r="AO250" s="17" t="s">
        <v>3274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3137</v>
      </c>
      <c r="AZ250" s="71" t="str">
        <f>IFERROR(IF(INDEX(입력!$C$2:$C$500, MATCH($BO250, 입력!$Z$2:$Z$500, 0))="", "", TEXT(INDEX(입력!$C$2:$C$500, MATCH($BO250, 입력!$Z$2:$Z$500, 0)), "yyyy-mm-dd")), "")</f>
        <v/>
      </c>
      <c r="BA250" s="44" t="str">
        <f>IFERROR(INDEX(입력!$B$2:$B$500, MATCH($BO250, 입력!$Z$2:$Z$500, 0)) &amp; "", "")</f>
        <v/>
      </c>
      <c r="BB250" s="83" t="str">
        <f>IFERROR(INDEX(입력!$Y$2:$Y$500, MATCH($BO250, 입력!$Z$2:$Z$500, 0)) &amp; "", "")</f>
        <v/>
      </c>
      <c r="BC250" s="83" t="s">
        <v>3112</v>
      </c>
      <c r="BD250" s="83"/>
      <c r="BE250" s="101"/>
      <c r="BF250" s="101"/>
      <c r="BG250" s="101"/>
      <c r="BH250" s="101"/>
      <c r="BI250" s="101"/>
      <c r="BJ250" s="101"/>
      <c r="BK250" s="110"/>
      <c r="BL250" s="21"/>
      <c r="BM250" s="22">
        <v>139</v>
      </c>
      <c r="BN250" s="23"/>
      <c r="BO250" s="47" t="s">
        <v>616</v>
      </c>
    </row>
    <row r="251" spans="1:67" x14ac:dyDescent="0.45">
      <c r="A251" s="19">
        <v>250</v>
      </c>
      <c r="B251" s="1" t="s">
        <v>1647</v>
      </c>
      <c r="C251" s="17" t="str">
        <f t="shared" si="27"/>
        <v>이행완료</v>
      </c>
      <c r="D251" s="17" t="str">
        <f t="shared" si="30"/>
        <v>조사완료</v>
      </c>
      <c r="E251" s="2" t="s">
        <v>1831</v>
      </c>
      <c r="F251" s="1" t="s">
        <v>617</v>
      </c>
      <c r="G251" s="11" t="s">
        <v>1832</v>
      </c>
      <c r="H251" s="18" t="s">
        <v>1105</v>
      </c>
      <c r="I251" s="19">
        <v>992</v>
      </c>
      <c r="J251" s="2"/>
      <c r="K251" s="20" t="s">
        <v>2340</v>
      </c>
      <c r="L251" s="20"/>
      <c r="M251" s="17" t="str">
        <f t="shared" si="28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MATCH($BO251, 입력!$Z$2:$Z$500, 0)) &amp; "", "")</f>
        <v>20</v>
      </c>
      <c r="S251" s="64" t="str">
        <f>IFERROR(INDEX(입력!$K$2:$K$500, MATCH($BO251,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9"/>
        <v>20</v>
      </c>
      <c r="W251" s="1" t="str">
        <f t="shared" si="26"/>
        <v/>
      </c>
      <c r="X251" s="1">
        <v>20</v>
      </c>
      <c r="Y251" s="64" t="str">
        <f>IFERROR(INDEX(입력!$M$2:$M$500, MATCH($BO251, 입력!$Z$2:$Z$500, 0)) &amp; "", "")</f>
        <v/>
      </c>
      <c r="Z251" s="64" t="str">
        <f>IFERROR(INDEX(입력!$N$2:$N$500, MATCH($BO251,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1"/>
        <v>이행완료</v>
      </c>
      <c r="AC251" s="64" t="str">
        <f>IFERROR(INDEX(입력!$P$2:$P$500, MATCH($BO251, 입력!$Z$2:$Z$500, 0)) &amp; "", "")</f>
        <v>764</v>
      </c>
      <c r="AD251" s="64" t="str">
        <f>IFERROR(INDEX(입력!$Q$2:$Q$500, MATCH($BO251, 입력!$Z$2:$Z$500, 0)) &amp; "", "")</f>
        <v>53</v>
      </c>
      <c r="AE251" s="64" t="str">
        <f>IFERROR(INDEX(입력!$R$2:$R$500, MATCH($BO251, 입력!$Z$2:$Z$500, 0)) &amp; "", "")</f>
        <v>여</v>
      </c>
      <c r="AF251" s="64" t="str">
        <f>IFERROR(INDEX(입력!$S$2:$S$500, MATCH($BO251, 입력!$Z$2:$Z$500, 0)) &amp; "", "")</f>
        <v>부</v>
      </c>
      <c r="AG251" s="64" t="str">
        <f>IFERROR(INDEX(입력!$T$2:$T$500, MATCH($BO251, 입력!$Z$2:$Z$500, 0)) &amp; "", "")</f>
        <v>부</v>
      </c>
      <c r="AH251" s="64" t="str">
        <f>IFERROR(INDEX(입력!$U$2:$U$500, MATCH($BO251, 입력!$Z$2:$Z$500, 0)) &amp; "", "")</f>
        <v/>
      </c>
      <c r="AI251" s="64" t="str">
        <f>IFERROR(INDEX(입력!$V$2:$V$500, MATCH($BO251, 입력!$Z$2:$Z$500, 0)) &amp; "", "")</f>
        <v>여</v>
      </c>
      <c r="AJ251" s="44" t="str">
        <f>IFERROR(INDEX(입력!$W$2:$W$500, MATCH($BO251, 입력!$Z$2:$Z$500, 0)) &amp; "", "")</f>
        <v>임한성</v>
      </c>
      <c r="AK251" s="44" t="str">
        <f>IFERROR(INDEX(입력!$X$2:$X$500, MATCH($BO251, 입력!$Z$2:$Z$500, 0)) &amp; "", "")</f>
        <v>010-2823-7730</v>
      </c>
      <c r="AL251" s="2" t="s">
        <v>1833</v>
      </c>
      <c r="AM251" s="17" t="s">
        <v>1650</v>
      </c>
      <c r="AN251" s="101">
        <v>2025</v>
      </c>
      <c r="AO251" s="17" t="s">
        <v>3275</v>
      </c>
      <c r="AP251" s="118"/>
      <c r="AQ251" s="21"/>
      <c r="AR251" s="119"/>
      <c r="AS251" s="101" t="s">
        <v>3163</v>
      </c>
      <c r="AT251" s="109">
        <v>46034</v>
      </c>
      <c r="AU251" s="101" t="s">
        <v>3141</v>
      </c>
      <c r="AV251" s="21" t="s">
        <v>1715</v>
      </c>
      <c r="AW251" s="101"/>
      <c r="AX251" s="119" t="s">
        <v>1834</v>
      </c>
      <c r="AY251" s="83" t="s">
        <v>3131</v>
      </c>
      <c r="AZ251" s="71" t="str">
        <f>IFERROR(IF(INDEX(입력!$C$2:$C$500, MATCH($BO251, 입력!$Z$2:$Z$500, 0))="", "", TEXT(INDEX(입력!$C$2:$C$500, MATCH($BO251, 입력!$Z$2:$Z$500, 0)), "yyyy-mm-dd")), "")</f>
        <v>2026-04-10</v>
      </c>
      <c r="BA251" s="44" t="str">
        <f>IFERROR(INDEX(입력!$B$2:$B$500, MATCH($BO251, 입력!$Z$2:$Z$500, 0)) &amp; "", "")</f>
        <v>최하영</v>
      </c>
      <c r="BB251" s="83" t="str">
        <f>IFERROR(INDEX(입력!$Y$2:$Y$500, MATCH($BO251, 입력!$Z$2:$Z$500, 0)) &amp; "", "")</f>
        <v>충전시설보험 5월 가입예정</v>
      </c>
      <c r="BC251" s="83" t="s">
        <v>3088</v>
      </c>
      <c r="BD251" s="83"/>
      <c r="BE251" s="101"/>
      <c r="BF251" s="101"/>
      <c r="BG251" s="101"/>
      <c r="BH251" s="101"/>
      <c r="BI251" s="101"/>
      <c r="BJ251" s="101"/>
      <c r="BK251" s="110"/>
      <c r="BL251" s="21"/>
      <c r="BM251" s="22">
        <v>973</v>
      </c>
      <c r="BN251" s="23"/>
      <c r="BO251" s="47" t="s">
        <v>618</v>
      </c>
    </row>
    <row r="252" spans="1:67" x14ac:dyDescent="0.45">
      <c r="A252" s="46">
        <v>251</v>
      </c>
      <c r="B252" s="1" t="s">
        <v>1647</v>
      </c>
      <c r="C252" s="17" t="str">
        <f t="shared" si="27"/>
        <v>이행완료</v>
      </c>
      <c r="D252" s="17" t="str">
        <f t="shared" si="30"/>
        <v/>
      </c>
      <c r="E252" s="2" t="s">
        <v>1835</v>
      </c>
      <c r="F252" s="1" t="s">
        <v>619</v>
      </c>
      <c r="G252" s="11" t="s">
        <v>1836</v>
      </c>
      <c r="H252" s="18" t="s">
        <v>1202</v>
      </c>
      <c r="I252" s="19">
        <v>618</v>
      </c>
      <c r="J252" s="2"/>
      <c r="K252" s="20" t="s">
        <v>2470</v>
      </c>
      <c r="L252" s="20"/>
      <c r="M252" s="17" t="str">
        <f t="shared" si="28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MATCH($BO252, 입력!$Z$2:$Z$500, 0)) &amp; "", "")</f>
        <v/>
      </c>
      <c r="S252" s="64" t="str">
        <f>IFERROR(INDEX(입력!$K$2:$K$500, MATCH($BO252,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9"/>
        <v>12</v>
      </c>
      <c r="W252" s="1" t="str">
        <f t="shared" si="26"/>
        <v/>
      </c>
      <c r="X252" s="1">
        <v>12</v>
      </c>
      <c r="Y252" s="64" t="str">
        <f>IFERROR(INDEX(입력!$M$2:$M$500, MATCH($BO252, 입력!$Z$2:$Z$500, 0)) &amp; "", "")</f>
        <v/>
      </c>
      <c r="Z252" s="64" t="str">
        <f>IFERROR(INDEX(입력!$N$2:$N$500, MATCH($BO252, 입력!$Z$2:$Z$500, 0)) &amp; "", "")</f>
        <v/>
      </c>
      <c r="AA252" s="64">
        <f>MAX(0, 표1[[#This Row],[의무_시설]]-표1[[#This Row],[시설합]])</f>
        <v>0</v>
      </c>
      <c r="AB252" s="17" t="str">
        <f t="shared" si="31"/>
        <v>이행완료</v>
      </c>
      <c r="AC252" s="64" t="str">
        <f>IFERROR(INDEX(입력!$P$2:$P$500, MATCH($BO252, 입력!$Z$2:$Z$500, 0)) &amp; "", "")</f>
        <v/>
      </c>
      <c r="AD252" s="64" t="str">
        <f>IFERROR(INDEX(입력!$Q$2:$Q$500, MATCH($BO252, 입력!$Z$2:$Z$500, 0)) &amp; "", "")</f>
        <v/>
      </c>
      <c r="AE252" s="64" t="str">
        <f>IFERROR(INDEX(입력!$R$2:$R$500, MATCH($BO252, 입력!$Z$2:$Z$500, 0)) &amp; "", "")</f>
        <v/>
      </c>
      <c r="AF252" s="64" t="str">
        <f>IFERROR(INDEX(입력!$S$2:$S$500, MATCH($BO252, 입력!$Z$2:$Z$500, 0)) &amp; "", "")</f>
        <v/>
      </c>
      <c r="AG252" s="64" t="str">
        <f>IFERROR(INDEX(입력!$T$2:$T$500, MATCH($BO252, 입력!$Z$2:$Z$500, 0)) &amp; "", "")</f>
        <v/>
      </c>
      <c r="AH252" s="64" t="str">
        <f>IFERROR(INDEX(입력!$U$2:$U$500, MATCH($BO252, 입력!$Z$2:$Z$500, 0)) &amp; "", "")</f>
        <v/>
      </c>
      <c r="AI252" s="64" t="str">
        <f>IFERROR(INDEX(입력!$V$2:$V$500, MATCH($BO252, 입력!$Z$2:$Z$500, 0)) &amp; "", "")</f>
        <v/>
      </c>
      <c r="AJ252" s="44" t="str">
        <f>IFERROR(INDEX(입력!$W$2:$W$500, MATCH($BO252, 입력!$Z$2:$Z$500, 0)) &amp; "", "")</f>
        <v/>
      </c>
      <c r="AK252" s="44" t="str">
        <f>IFERROR(INDEX(입력!$X$2:$X$500, MATCH($BO252, 입력!$Z$2:$Z$500, 0)) &amp; "", "")</f>
        <v/>
      </c>
      <c r="AL252" s="2"/>
      <c r="AM252" s="17" t="s">
        <v>1650</v>
      </c>
      <c r="AN252" s="101">
        <v>2025</v>
      </c>
      <c r="AO252" s="17" t="s">
        <v>3275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3132</v>
      </c>
      <c r="AZ252" s="71" t="str">
        <f>IFERROR(IF(INDEX(입력!$C$2:$C$500, MATCH($BO252, 입력!$Z$2:$Z$500, 0))="", "", TEXT(INDEX(입력!$C$2:$C$500, MATCH($BO252, 입력!$Z$2:$Z$500, 0)), "yyyy-mm-dd")), "")</f>
        <v/>
      </c>
      <c r="BA252" s="44" t="str">
        <f>IFERROR(INDEX(입력!$B$2:$B$500, MATCH($BO252, 입력!$Z$2:$Z$500, 0)) &amp; "", "")</f>
        <v/>
      </c>
      <c r="BB252" s="83" t="str">
        <f>IFERROR(INDEX(입력!$Y$2:$Y$500, MATCH($BO252, 입력!$Z$2:$Z$500, 0)) &amp; "", "")</f>
        <v/>
      </c>
      <c r="BC252" s="83" t="s">
        <v>3112</v>
      </c>
      <c r="BD252" s="83"/>
      <c r="BE252" s="101"/>
      <c r="BF252" s="101"/>
      <c r="BG252" s="101"/>
      <c r="BH252" s="101"/>
      <c r="BI252" s="101"/>
      <c r="BJ252" s="101"/>
      <c r="BK252" s="110"/>
      <c r="BL252" s="21"/>
      <c r="BM252" s="22">
        <v>597</v>
      </c>
      <c r="BN252" s="23"/>
      <c r="BO252" s="47" t="s">
        <v>620</v>
      </c>
    </row>
    <row r="253" spans="1:67" x14ac:dyDescent="0.45">
      <c r="A253" s="19">
        <v>252</v>
      </c>
      <c r="B253" s="1" t="s">
        <v>1647</v>
      </c>
      <c r="C253" s="17" t="str">
        <f t="shared" si="27"/>
        <v>이행완료</v>
      </c>
      <c r="D253" s="17" t="str">
        <f t="shared" si="30"/>
        <v/>
      </c>
      <c r="E253" s="2" t="s">
        <v>1837</v>
      </c>
      <c r="F253" s="1" t="s">
        <v>621</v>
      </c>
      <c r="G253" s="11" t="s">
        <v>1838</v>
      </c>
      <c r="H253" s="18" t="s">
        <v>1202</v>
      </c>
      <c r="I253" s="19">
        <v>218</v>
      </c>
      <c r="J253" s="2"/>
      <c r="K253" s="20" t="s">
        <v>2471</v>
      </c>
      <c r="L253" s="20"/>
      <c r="M253" s="17" t="str">
        <f t="shared" si="28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MATCH($BO253, 입력!$Z$2:$Z$500, 0)) &amp; "", "")</f>
        <v/>
      </c>
      <c r="S253" s="64" t="str">
        <f>IFERROR(INDEX(입력!$K$2:$K$500, MATCH($BO253,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9"/>
        <v>4</v>
      </c>
      <c r="W253" s="1" t="str">
        <f t="shared" si="26"/>
        <v/>
      </c>
      <c r="X253" s="1">
        <v>5</v>
      </c>
      <c r="Y253" s="64" t="str">
        <f>IFERROR(INDEX(입력!$M$2:$M$500, MATCH($BO253, 입력!$Z$2:$Z$500, 0)) &amp; "", "")</f>
        <v/>
      </c>
      <c r="Z253" s="64" t="str">
        <f>IFERROR(INDEX(입력!$N$2:$N$500, MATCH($BO253, 입력!$Z$2:$Z$500, 0)) &amp; "", "")</f>
        <v/>
      </c>
      <c r="AA253" s="64">
        <f>MAX(0, 표1[[#This Row],[의무_시설]]-표1[[#This Row],[시설합]])</f>
        <v>0</v>
      </c>
      <c r="AB253" s="17" t="str">
        <f t="shared" si="31"/>
        <v>이행완료</v>
      </c>
      <c r="AC253" s="64" t="str">
        <f>IFERROR(INDEX(입력!$P$2:$P$500, MATCH($BO253, 입력!$Z$2:$Z$500, 0)) &amp; "", "")</f>
        <v/>
      </c>
      <c r="AD253" s="64" t="str">
        <f>IFERROR(INDEX(입력!$Q$2:$Q$500, MATCH($BO253, 입력!$Z$2:$Z$500, 0)) &amp; "", "")</f>
        <v/>
      </c>
      <c r="AE253" s="64" t="str">
        <f>IFERROR(INDEX(입력!$R$2:$R$500, MATCH($BO253, 입력!$Z$2:$Z$500, 0)) &amp; "", "")</f>
        <v/>
      </c>
      <c r="AF253" s="64" t="str">
        <f>IFERROR(INDEX(입력!$S$2:$S$500, MATCH($BO253, 입력!$Z$2:$Z$500, 0)) &amp; "", "")</f>
        <v/>
      </c>
      <c r="AG253" s="64" t="str">
        <f>IFERROR(INDEX(입력!$T$2:$T$500, MATCH($BO253, 입력!$Z$2:$Z$500, 0)) &amp; "", "")</f>
        <v/>
      </c>
      <c r="AH253" s="64" t="str">
        <f>IFERROR(INDEX(입력!$U$2:$U$500, MATCH($BO253, 입력!$Z$2:$Z$500, 0)) &amp; "", "")</f>
        <v/>
      </c>
      <c r="AI253" s="64" t="str">
        <f>IFERROR(INDEX(입력!$V$2:$V$500, MATCH($BO253, 입력!$Z$2:$Z$500, 0)) &amp; "", "")</f>
        <v/>
      </c>
      <c r="AJ253" s="44" t="str">
        <f>IFERROR(INDEX(입력!$W$2:$W$500, MATCH($BO253, 입력!$Z$2:$Z$500, 0)) &amp; "", "")</f>
        <v/>
      </c>
      <c r="AK253" s="44" t="str">
        <f>IFERROR(INDEX(입력!$X$2:$X$500, MATCH($BO253, 입력!$Z$2:$Z$500, 0)) &amp; "", "")</f>
        <v/>
      </c>
      <c r="AL253" s="2"/>
      <c r="AM253" s="17" t="s">
        <v>1650</v>
      </c>
      <c r="AN253" s="101">
        <v>2025</v>
      </c>
      <c r="AO253" s="17" t="s">
        <v>3274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3137</v>
      </c>
      <c r="AZ253" s="71" t="str">
        <f>IFERROR(IF(INDEX(입력!$C$2:$C$500, MATCH($BO253, 입력!$Z$2:$Z$500, 0))="", "", TEXT(INDEX(입력!$C$2:$C$500, MATCH($BO253, 입력!$Z$2:$Z$500, 0)), "yyyy-mm-dd")), "")</f>
        <v/>
      </c>
      <c r="BA253" s="44" t="str">
        <f>IFERROR(INDEX(입력!$B$2:$B$500, MATCH($BO253, 입력!$Z$2:$Z$500, 0)) &amp; "", "")</f>
        <v/>
      </c>
      <c r="BB253" s="83" t="str">
        <f>IFERROR(INDEX(입력!$Y$2:$Y$500, MATCH($BO253, 입력!$Z$2:$Z$500, 0)) &amp; "", "")</f>
        <v/>
      </c>
      <c r="BC253" s="83" t="s">
        <v>3112</v>
      </c>
      <c r="BD253" s="83"/>
      <c r="BE253" s="101"/>
      <c r="BF253" s="101"/>
      <c r="BG253" s="101"/>
      <c r="BH253" s="101"/>
      <c r="BI253" s="101"/>
      <c r="BJ253" s="101"/>
      <c r="BK253" s="110"/>
      <c r="BL253" s="21"/>
      <c r="BM253" s="22">
        <v>218</v>
      </c>
      <c r="BN253" s="23"/>
      <c r="BO253" s="47" t="s">
        <v>622</v>
      </c>
    </row>
    <row r="254" spans="1:67" x14ac:dyDescent="0.45">
      <c r="A254" s="46">
        <v>253</v>
      </c>
      <c r="B254" s="1" t="s">
        <v>1647</v>
      </c>
      <c r="C254" s="17" t="str">
        <f t="shared" si="27"/>
        <v>이행완료</v>
      </c>
      <c r="D254" s="17" t="str">
        <f t="shared" si="30"/>
        <v/>
      </c>
      <c r="E254" s="2" t="s">
        <v>1839</v>
      </c>
      <c r="F254" s="1" t="s">
        <v>623</v>
      </c>
      <c r="G254" s="11" t="s">
        <v>1840</v>
      </c>
      <c r="H254" s="18" t="s">
        <v>1202</v>
      </c>
      <c r="I254" s="19">
        <v>267</v>
      </c>
      <c r="J254" s="2"/>
      <c r="K254" s="20" t="s">
        <v>2472</v>
      </c>
      <c r="L254" s="20"/>
      <c r="M254" s="17" t="str">
        <f t="shared" si="28"/>
        <v>기축</v>
      </c>
      <c r="N254" s="21"/>
      <c r="O254" s="21"/>
      <c r="P254" s="1">
        <f t="shared" si="24"/>
        <v>5</v>
      </c>
      <c r="Q254" s="1">
        <v>5</v>
      </c>
      <c r="R254" s="64" t="str">
        <f>IFERROR(INDEX(입력!$J$2:$J$500, MATCH($BO254, 입력!$Z$2:$Z$500, 0)) &amp; "", "")</f>
        <v/>
      </c>
      <c r="S254" s="64" t="str">
        <f>IFERROR(INDEX(입력!$K$2:$K$500, MATCH($BO254, 입력!$Z$2:$Z$500, 0)) &amp; "", "")</f>
        <v/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9"/>
        <v>5</v>
      </c>
      <c r="W254" s="1" t="str">
        <f t="shared" si="26"/>
        <v/>
      </c>
      <c r="X254" s="1">
        <v>5</v>
      </c>
      <c r="Y254" s="64" t="str">
        <f>IFERROR(INDEX(입력!$M$2:$M$500, MATCH($BO254, 입력!$Z$2:$Z$500, 0)) &amp; "", "")</f>
        <v/>
      </c>
      <c r="Z254" s="64" t="str">
        <f>IFERROR(INDEX(입력!$N$2:$N$500, MATCH($BO254, 입력!$Z$2:$Z$500, 0)) &amp; "", "")</f>
        <v/>
      </c>
      <c r="AA254" s="64">
        <f>MAX(0, 표1[[#This Row],[의무_시설]]-표1[[#This Row],[시설합]])</f>
        <v>0</v>
      </c>
      <c r="AB254" s="17" t="str">
        <f t="shared" si="31"/>
        <v>이행완료</v>
      </c>
      <c r="AC254" s="64" t="str">
        <f>IFERROR(INDEX(입력!$P$2:$P$500, MATCH($BO254, 입력!$Z$2:$Z$500, 0)) &amp; "", "")</f>
        <v/>
      </c>
      <c r="AD254" s="64" t="str">
        <f>IFERROR(INDEX(입력!$Q$2:$Q$500, MATCH($BO254, 입력!$Z$2:$Z$500, 0)) &amp; "", "")</f>
        <v/>
      </c>
      <c r="AE254" s="64" t="str">
        <f>IFERROR(INDEX(입력!$R$2:$R$500, MATCH($BO254, 입력!$Z$2:$Z$500, 0)) &amp; "", "")</f>
        <v/>
      </c>
      <c r="AF254" s="64" t="str">
        <f>IFERROR(INDEX(입력!$S$2:$S$500, MATCH($BO254, 입력!$Z$2:$Z$500, 0)) &amp; "", "")</f>
        <v/>
      </c>
      <c r="AG254" s="64" t="str">
        <f>IFERROR(INDEX(입력!$T$2:$T$500, MATCH($BO254, 입력!$Z$2:$Z$500, 0)) &amp; "", "")</f>
        <v/>
      </c>
      <c r="AH254" s="64" t="str">
        <f>IFERROR(INDEX(입력!$U$2:$U$500, MATCH($BO254, 입력!$Z$2:$Z$500, 0)) &amp; "", "")</f>
        <v/>
      </c>
      <c r="AI254" s="64" t="str">
        <f>IFERROR(INDEX(입력!$V$2:$V$500, MATCH($BO254, 입력!$Z$2:$Z$500, 0)) &amp; "", "")</f>
        <v/>
      </c>
      <c r="AJ254" s="44" t="str">
        <f>IFERROR(INDEX(입력!$W$2:$W$500, MATCH($BO254, 입력!$Z$2:$Z$500, 0)) &amp; "", "")</f>
        <v/>
      </c>
      <c r="AK254" s="44" t="str">
        <f>IFERROR(INDEX(입력!$X$2:$X$500, MATCH($BO254, 입력!$Z$2:$Z$500, 0)) &amp; "", "")</f>
        <v/>
      </c>
      <c r="AL254" s="2"/>
      <c r="AM254" s="17" t="s">
        <v>1650</v>
      </c>
      <c r="AN254" s="101">
        <v>2025</v>
      </c>
      <c r="AO254" s="17" t="s">
        <v>3274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3131</v>
      </c>
      <c r="AZ254" s="71" t="str">
        <f>IFERROR(IF(INDEX(입력!$C$2:$C$500, MATCH($BO254, 입력!$Z$2:$Z$500, 0))="", "", TEXT(INDEX(입력!$C$2:$C$500, MATCH($BO254, 입력!$Z$2:$Z$500, 0)), "yyyy-mm-dd")), "")</f>
        <v/>
      </c>
      <c r="BA254" s="44" t="str">
        <f>IFERROR(INDEX(입력!$B$2:$B$500, MATCH($BO254, 입력!$Z$2:$Z$500, 0)) &amp; "", "")</f>
        <v/>
      </c>
      <c r="BB254" s="83" t="str">
        <f>IFERROR(INDEX(입력!$Y$2:$Y$500, MATCH($BO254, 입력!$Z$2:$Z$500, 0)) &amp; "", "")</f>
        <v/>
      </c>
      <c r="BC254" s="83" t="s">
        <v>3112</v>
      </c>
      <c r="BD254" s="83"/>
      <c r="BE254" s="101"/>
      <c r="BF254" s="101"/>
      <c r="BG254" s="101"/>
      <c r="BH254" s="101"/>
      <c r="BI254" s="101"/>
      <c r="BJ254" s="101"/>
      <c r="BK254" s="110"/>
      <c r="BL254" s="21"/>
      <c r="BM254" s="22">
        <v>267</v>
      </c>
      <c r="BN254" s="23"/>
      <c r="BO254" s="47" t="s">
        <v>624</v>
      </c>
    </row>
    <row r="255" spans="1:67" x14ac:dyDescent="0.45">
      <c r="A255" s="19">
        <v>254</v>
      </c>
      <c r="B255" s="1" t="s">
        <v>1647</v>
      </c>
      <c r="C255" s="17" t="str">
        <f t="shared" si="27"/>
        <v>이행완료</v>
      </c>
      <c r="D255" s="17" t="str">
        <f t="shared" si="30"/>
        <v/>
      </c>
      <c r="E255" s="2" t="s">
        <v>1841</v>
      </c>
      <c r="F255" s="1" t="s">
        <v>625</v>
      </c>
      <c r="G255" s="11" t="s">
        <v>1842</v>
      </c>
      <c r="H255" s="18" t="s">
        <v>1202</v>
      </c>
      <c r="I255" s="19">
        <v>1077</v>
      </c>
      <c r="J255" s="2"/>
      <c r="K255" s="20" t="s">
        <v>2473</v>
      </c>
      <c r="L255" s="20"/>
      <c r="M255" s="17" t="str">
        <f t="shared" si="28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MATCH($BO255, 입력!$Z$2:$Z$500, 0)) &amp; "", "")</f>
        <v/>
      </c>
      <c r="S255" s="64" t="str">
        <f>IFERROR(INDEX(입력!$K$2:$K$500, MATCH($BO255, 입력!$Z$2:$Z$500, 0)) &amp; "", "")</f>
        <v/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9"/>
        <v>22</v>
      </c>
      <c r="W255" s="1" t="str">
        <f t="shared" si="26"/>
        <v/>
      </c>
      <c r="X255" s="1">
        <v>30</v>
      </c>
      <c r="Y255" s="64" t="str">
        <f>IFERROR(INDEX(입력!$M$2:$M$500, MATCH($BO255, 입력!$Z$2:$Z$500, 0)) &amp; "", "")</f>
        <v/>
      </c>
      <c r="Z255" s="64" t="str">
        <f>IFERROR(INDEX(입력!$N$2:$N$500, MATCH($BO255, 입력!$Z$2:$Z$500, 0)) &amp; "", "")</f>
        <v/>
      </c>
      <c r="AA255" s="64">
        <f>MAX(0, 표1[[#This Row],[의무_시설]]-표1[[#This Row],[시설합]])</f>
        <v>0</v>
      </c>
      <c r="AB255" s="17" t="str">
        <f t="shared" si="31"/>
        <v>이행완료</v>
      </c>
      <c r="AC255" s="64" t="str">
        <f>IFERROR(INDEX(입력!$P$2:$P$500, MATCH($BO255, 입력!$Z$2:$Z$500, 0)) &amp; "", "")</f>
        <v/>
      </c>
      <c r="AD255" s="64" t="str">
        <f>IFERROR(INDEX(입력!$Q$2:$Q$500, MATCH($BO255, 입력!$Z$2:$Z$500, 0)) &amp; "", "")</f>
        <v/>
      </c>
      <c r="AE255" s="64" t="str">
        <f>IFERROR(INDEX(입력!$R$2:$R$500, MATCH($BO255, 입력!$Z$2:$Z$500, 0)) &amp; "", "")</f>
        <v/>
      </c>
      <c r="AF255" s="64" t="str">
        <f>IFERROR(INDEX(입력!$S$2:$S$500, MATCH($BO255, 입력!$Z$2:$Z$500, 0)) &amp; "", "")</f>
        <v/>
      </c>
      <c r="AG255" s="64" t="str">
        <f>IFERROR(INDEX(입력!$T$2:$T$500, MATCH($BO255, 입력!$Z$2:$Z$500, 0)) &amp; "", "")</f>
        <v/>
      </c>
      <c r="AH255" s="64" t="str">
        <f>IFERROR(INDEX(입력!$U$2:$U$500, MATCH($BO255, 입력!$Z$2:$Z$500, 0)) &amp; "", "")</f>
        <v/>
      </c>
      <c r="AI255" s="64" t="str">
        <f>IFERROR(INDEX(입력!$V$2:$V$500, MATCH($BO255, 입력!$Z$2:$Z$500, 0)) &amp; "", "")</f>
        <v/>
      </c>
      <c r="AJ255" s="44" t="str">
        <f>IFERROR(INDEX(입력!$W$2:$W$500, MATCH($BO255, 입력!$Z$2:$Z$500, 0)) &amp; "", "")</f>
        <v/>
      </c>
      <c r="AK255" s="44" t="str">
        <f>IFERROR(INDEX(입력!$X$2:$X$500, MATCH($BO255, 입력!$Z$2:$Z$500, 0)) &amp; "", "")</f>
        <v/>
      </c>
      <c r="AL255" s="2"/>
      <c r="AM255" s="17" t="s">
        <v>1650</v>
      </c>
      <c r="AN255" s="101">
        <v>2025</v>
      </c>
      <c r="AO255" s="17" t="s">
        <v>3277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3131</v>
      </c>
      <c r="AZ255" s="71" t="str">
        <f>IFERROR(IF(INDEX(입력!$C$2:$C$500, MATCH($BO255, 입력!$Z$2:$Z$500, 0))="", "", TEXT(INDEX(입력!$C$2:$C$500, MATCH($BO255, 입력!$Z$2:$Z$500, 0)), "yyyy-mm-dd")), "")</f>
        <v/>
      </c>
      <c r="BA255" s="44" t="str">
        <f>IFERROR(INDEX(입력!$B$2:$B$500, MATCH($BO255, 입력!$Z$2:$Z$500, 0)) &amp; "", "")</f>
        <v/>
      </c>
      <c r="BB255" s="83" t="str">
        <f>IFERROR(INDEX(입력!$Y$2:$Y$500, MATCH($BO255, 입력!$Z$2:$Z$500, 0)) &amp; "", "")</f>
        <v/>
      </c>
      <c r="BC255" s="83" t="s">
        <v>3112</v>
      </c>
      <c r="BD255" s="83"/>
      <c r="BE255" s="101"/>
      <c r="BF255" s="101"/>
      <c r="BG255" s="101"/>
      <c r="BH255" s="101"/>
      <c r="BI255" s="101"/>
      <c r="BJ255" s="101"/>
      <c r="BK255" s="110"/>
      <c r="BL255" s="21"/>
      <c r="BM255" s="22">
        <v>1077</v>
      </c>
      <c r="BN255" s="23"/>
      <c r="BO255" s="47" t="s">
        <v>626</v>
      </c>
    </row>
    <row r="256" spans="1:67" x14ac:dyDescent="0.45">
      <c r="A256" s="46">
        <v>255</v>
      </c>
      <c r="B256" s="1" t="s">
        <v>1647</v>
      </c>
      <c r="C256" s="17" t="str">
        <f t="shared" si="27"/>
        <v>이행완료</v>
      </c>
      <c r="D256" s="17" t="str">
        <f t="shared" si="30"/>
        <v/>
      </c>
      <c r="E256" s="2" t="s">
        <v>1843</v>
      </c>
      <c r="F256" s="1" t="s">
        <v>627</v>
      </c>
      <c r="G256" s="11" t="s">
        <v>1844</v>
      </c>
      <c r="H256" s="18" t="s">
        <v>1056</v>
      </c>
      <c r="I256" s="19">
        <v>476</v>
      </c>
      <c r="J256" s="2"/>
      <c r="K256" s="20" t="s">
        <v>2474</v>
      </c>
      <c r="L256" s="20"/>
      <c r="M256" s="17" t="str">
        <f t="shared" si="28"/>
        <v>기축</v>
      </c>
      <c r="N256" s="21"/>
      <c r="O256" s="21"/>
      <c r="P256" s="1">
        <f t="shared" ref="P256:P319" si="32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MATCH($BO256, 입력!$Z$2:$Z$500, 0)) &amp; "", "")</f>
        <v/>
      </c>
      <c r="S256" s="64" t="str">
        <f>IFERROR(INDEX(입력!$K$2:$K$500, MATCH($BO256,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3">IF(OR(P256="", Q256="", P256=0), "미이행", IF(Q256 &gt;= P256, "이행완료", "미이행"))</f>
        <v>이행완료</v>
      </c>
      <c r="V256" s="1">
        <f t="shared" si="29"/>
        <v>10</v>
      </c>
      <c r="W256" s="1" t="str">
        <f t="shared" ref="W256:W319" si="34">IF(OR(M256="", V256&lt;5), "", IF(OR(M256="신축", B256&lt;&gt;"공동주택"), 1, ""))</f>
        <v/>
      </c>
      <c r="X256" s="1">
        <v>10</v>
      </c>
      <c r="Y256" s="64" t="str">
        <f>IFERROR(INDEX(입력!$M$2:$M$500, MATCH($BO256, 입력!$Z$2:$Z$500, 0)) &amp; "", "")</f>
        <v/>
      </c>
      <c r="Z256" s="64" t="str">
        <f>IFERROR(INDEX(입력!$N$2:$N$500, MATCH($BO256, 입력!$Z$2:$Z$500, 0)) &amp; "", "")</f>
        <v/>
      </c>
      <c r="AA256" s="64">
        <f>MAX(0, 표1[[#This Row],[의무_시설]]-표1[[#This Row],[시설합]])</f>
        <v>0</v>
      </c>
      <c r="AB256" s="17" t="str">
        <f t="shared" si="31"/>
        <v>이행완료</v>
      </c>
      <c r="AC256" s="64" t="str">
        <f>IFERROR(INDEX(입력!$P$2:$P$500, MATCH($BO256, 입력!$Z$2:$Z$500, 0)) &amp; "", "")</f>
        <v/>
      </c>
      <c r="AD256" s="64" t="str">
        <f>IFERROR(INDEX(입력!$Q$2:$Q$500, MATCH($BO256, 입력!$Z$2:$Z$500, 0)) &amp; "", "")</f>
        <v/>
      </c>
      <c r="AE256" s="64" t="str">
        <f>IFERROR(INDEX(입력!$R$2:$R$500, MATCH($BO256, 입력!$Z$2:$Z$500, 0)) &amp; "", "")</f>
        <v/>
      </c>
      <c r="AF256" s="64" t="str">
        <f>IFERROR(INDEX(입력!$S$2:$S$500, MATCH($BO256, 입력!$Z$2:$Z$500, 0)) &amp; "", "")</f>
        <v/>
      </c>
      <c r="AG256" s="64" t="str">
        <f>IFERROR(INDEX(입력!$T$2:$T$500, MATCH($BO256, 입력!$Z$2:$Z$500, 0)) &amp; "", "")</f>
        <v/>
      </c>
      <c r="AH256" s="64" t="str">
        <f>IFERROR(INDEX(입력!$U$2:$U$500, MATCH($BO256, 입력!$Z$2:$Z$500, 0)) &amp; "", "")</f>
        <v/>
      </c>
      <c r="AI256" s="64" t="str">
        <f>IFERROR(INDEX(입력!$V$2:$V$500, MATCH($BO256, 입력!$Z$2:$Z$500, 0)) &amp; "", "")</f>
        <v/>
      </c>
      <c r="AJ256" s="44" t="str">
        <f>IFERROR(INDEX(입력!$W$2:$W$500, MATCH($BO256, 입력!$Z$2:$Z$500, 0)) &amp; "", "")</f>
        <v/>
      </c>
      <c r="AK256" s="44" t="str">
        <f>IFERROR(INDEX(입력!$X$2:$X$500, MATCH($BO256, 입력!$Z$2:$Z$500, 0)) &amp; "", "")</f>
        <v/>
      </c>
      <c r="AL256" s="2"/>
      <c r="AM256" s="17" t="s">
        <v>1650</v>
      </c>
      <c r="AN256" s="101">
        <v>2025</v>
      </c>
      <c r="AO256" s="17" t="s">
        <v>3275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3132</v>
      </c>
      <c r="AZ256" s="71" t="str">
        <f>IFERROR(IF(INDEX(입력!$C$2:$C$500, MATCH($BO256, 입력!$Z$2:$Z$500, 0))="", "", TEXT(INDEX(입력!$C$2:$C$500, MATCH($BO256, 입력!$Z$2:$Z$500, 0)), "yyyy-mm-dd")), "")</f>
        <v/>
      </c>
      <c r="BA256" s="44" t="str">
        <f>IFERROR(INDEX(입력!$B$2:$B$500, MATCH($BO256, 입력!$Z$2:$Z$500, 0)) &amp; "", "")</f>
        <v/>
      </c>
      <c r="BB256" s="83" t="str">
        <f>IFERROR(INDEX(입력!$Y$2:$Y$500, MATCH($BO256, 입력!$Z$2:$Z$500, 0)) &amp; "", "")</f>
        <v/>
      </c>
      <c r="BC256" s="83" t="s">
        <v>3112</v>
      </c>
      <c r="BD256" s="83"/>
      <c r="BE256" s="101"/>
      <c r="BF256" s="101"/>
      <c r="BG256" s="101"/>
      <c r="BH256" s="101"/>
      <c r="BI256" s="101"/>
      <c r="BJ256" s="101"/>
      <c r="BK256" s="110"/>
      <c r="BL256" s="21"/>
      <c r="BM256" s="22">
        <v>176</v>
      </c>
      <c r="BN256" s="23"/>
      <c r="BO256" s="47" t="s">
        <v>628</v>
      </c>
    </row>
    <row r="257" spans="1:67" x14ac:dyDescent="0.45">
      <c r="A257" s="19">
        <v>256</v>
      </c>
      <c r="B257" s="1" t="s">
        <v>1647</v>
      </c>
      <c r="C257" s="17" t="str">
        <f t="shared" ref="C257:C320" si="35">IF(OR(U257="", AB257=""), "", IF(AND(U257="이행완료", AB257="이행완료"), "이행완료", "미이행"))</f>
        <v>미이행</v>
      </c>
      <c r="D257" s="17" t="str">
        <f t="shared" si="30"/>
        <v>조사완료</v>
      </c>
      <c r="E257" s="1" t="s">
        <v>121</v>
      </c>
      <c r="F257" s="1" t="s">
        <v>629</v>
      </c>
      <c r="G257" s="11" t="s">
        <v>1845</v>
      </c>
      <c r="H257" s="18" t="s">
        <v>1097</v>
      </c>
      <c r="I257" s="19">
        <v>405</v>
      </c>
      <c r="J257" s="2"/>
      <c r="K257" s="20" t="s">
        <v>2341</v>
      </c>
      <c r="L257" s="20"/>
      <c r="M257" s="17" t="str">
        <f t="shared" ref="M257:M320" si="36">IF(AND(K257="", L257=""), "", IF(IF(K257="", L257, K257)*1 &lt; DATE(2022, 1, 28), "기축", "신축"))</f>
        <v>기축</v>
      </c>
      <c r="N257" s="21" t="s">
        <v>2394</v>
      </c>
      <c r="O257" s="21"/>
      <c r="P257" s="1">
        <f t="shared" si="32"/>
        <v>20</v>
      </c>
      <c r="Q257" s="1">
        <v>17</v>
      </c>
      <c r="R257" s="64" t="str">
        <f>IFERROR(INDEX(입력!$J$2:$J$500, MATCH($BO257, 입력!$Z$2:$Z$500, 0)) &amp; "", "")</f>
        <v/>
      </c>
      <c r="S257" s="64" t="str">
        <f>IFERROR(INDEX(입력!$K$2:$K$500, MATCH($BO257, 입력!$Z$2:$Z$500, 0)) &amp; "", "")</f>
        <v>17</v>
      </c>
      <c r="T257" s="64">
        <f>MAX(0, 표1[[#This Row],[의무_면수]]-표1[[#This Row],[면수합]])</f>
        <v>3</v>
      </c>
      <c r="U257" s="44" t="str">
        <f t="shared" si="33"/>
        <v>미이행</v>
      </c>
      <c r="V257" s="1">
        <f t="shared" ref="V257:V320" si="37">IF(OR(IF(I257="", J257, I257)="", IF(I257="", J257, I257)=0), 0, IF(M257="신축", ROUND(IF(I257="", J257, I257)*0.05, 0), ROUND(IF(I257="", J257, I257)*0.02, 0)))</f>
        <v>8</v>
      </c>
      <c r="W257" s="1" t="str">
        <f t="shared" si="34"/>
        <v/>
      </c>
      <c r="X257" s="1">
        <v>17</v>
      </c>
      <c r="Y257" s="64" t="str">
        <f>IFERROR(INDEX(입력!$M$2:$M$500, MATCH($BO257, 입력!$Z$2:$Z$500, 0)) &amp; "", "")</f>
        <v>1</v>
      </c>
      <c r="Z257" s="64" t="str">
        <f>IFERROR(INDEX(입력!$N$2:$N$500, MATCH($BO257,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1"/>
        <v>이행완료</v>
      </c>
      <c r="AC257" s="64" t="str">
        <f>IFERROR(INDEX(입력!$P$2:$P$500, MATCH($BO257, 입력!$Z$2:$Z$500, 0)) &amp; "", "")</f>
        <v>606</v>
      </c>
      <c r="AD257" s="64" t="str">
        <f>IFERROR(INDEX(입력!$Q$2:$Q$500, MATCH($BO257, 입력!$Z$2:$Z$500, 0)) &amp; "", "")</f>
        <v>7</v>
      </c>
      <c r="AE257" s="64" t="str">
        <f>IFERROR(INDEX(입력!$R$2:$R$500, MATCH($BO257, 입력!$Z$2:$Z$500, 0)) &amp; "", "")</f>
        <v>여</v>
      </c>
      <c r="AF257" s="64" t="str">
        <f>IFERROR(INDEX(입력!$S$2:$S$500, MATCH($BO257, 입력!$Z$2:$Z$500, 0)) &amp; "", "")</f>
        <v>여</v>
      </c>
      <c r="AG257" s="64" t="str">
        <f>IFERROR(INDEX(입력!$T$2:$T$500, MATCH($BO257, 입력!$Z$2:$Z$500, 0)) &amp; "", "")</f>
        <v>여</v>
      </c>
      <c r="AH257" s="64" t="str">
        <f>IFERROR(INDEX(입력!$U$2:$U$500, MATCH($BO257, 입력!$Z$2:$Z$500, 0)) &amp; "", "")</f>
        <v>9</v>
      </c>
      <c r="AI257" s="64" t="str">
        <f>IFERROR(INDEX(입력!$V$2:$V$500, MATCH($BO257, 입력!$Z$2:$Z$500, 0)) &amp; "", "")</f>
        <v>여</v>
      </c>
      <c r="AJ257" s="44" t="str">
        <f>IFERROR(INDEX(입력!$W$2:$W$500, MATCH($BO257, 입력!$Z$2:$Z$500, 0)) &amp; "", "")</f>
        <v>강병학</v>
      </c>
      <c r="AK257" s="44" t="str">
        <f>IFERROR(INDEX(입력!$X$2:$X$500, MATCH($BO257, 입력!$Z$2:$Z$500, 0)) &amp; "", "")</f>
        <v>945-2600</v>
      </c>
      <c r="AL257" s="2"/>
      <c r="AM257" s="17" t="s">
        <v>1650</v>
      </c>
      <c r="AN257" s="101">
        <v>2025</v>
      </c>
      <c r="AO257" s="17" t="s">
        <v>3274</v>
      </c>
      <c r="AP257" s="101"/>
      <c r="AQ257" s="108"/>
      <c r="AR257" s="119"/>
      <c r="AS257" s="114" t="s">
        <v>3289</v>
      </c>
      <c r="AT257" s="109">
        <v>46034</v>
      </c>
      <c r="AU257" s="101" t="s">
        <v>3126</v>
      </c>
      <c r="AV257" s="101"/>
      <c r="AW257" s="101" t="s">
        <v>3150</v>
      </c>
      <c r="AX257" s="101" t="s">
        <v>3290</v>
      </c>
      <c r="AY257" s="83" t="s">
        <v>3132</v>
      </c>
      <c r="AZ257" s="71" t="str">
        <f>IFERROR(IF(INDEX(입력!$C$2:$C$500, MATCH($BO257, 입력!$Z$2:$Z$500, 0))="", "", TEXT(INDEX(입력!$C$2:$C$500, MATCH($BO257, 입력!$Z$2:$Z$500, 0)), "yyyy-mm-dd")), "")</f>
        <v>2026-04-10</v>
      </c>
      <c r="BA257" s="44" t="str">
        <f>IFERROR(INDEX(입력!$B$2:$B$500, MATCH($BO257, 입력!$Z$2:$Z$500, 0)) &amp; "", "")</f>
        <v>이승수</v>
      </c>
      <c r="BB257" s="83" t="str">
        <f>IFERROR(INDEX(입력!$Y$2:$Y$500, MATCH($BO257, 입력!$Z$2:$Z$500, 0)) &amp; "", "")</f>
        <v/>
      </c>
      <c r="BC257" s="83" t="s">
        <v>3149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3997</v>
      </c>
      <c r="BI257" s="101"/>
      <c r="BJ257" s="101"/>
      <c r="BK257" s="110"/>
      <c r="BL257" s="21" t="s">
        <v>2410</v>
      </c>
      <c r="BM257" s="22">
        <v>405</v>
      </c>
      <c r="BN257" s="23"/>
      <c r="BO257" s="47" t="s">
        <v>630</v>
      </c>
    </row>
    <row r="258" spans="1:67" x14ac:dyDescent="0.45">
      <c r="A258" s="46">
        <v>257</v>
      </c>
      <c r="B258" s="1" t="s">
        <v>1647</v>
      </c>
      <c r="C258" s="17" t="str">
        <f t="shared" si="35"/>
        <v>이행완료</v>
      </c>
      <c r="D258" s="17" t="str">
        <f t="shared" ref="D258:D321" si="38">IF(AZ258&lt;&gt;"", "조사완료", "")</f>
        <v/>
      </c>
      <c r="E258" s="2" t="s">
        <v>1846</v>
      </c>
      <c r="F258" s="1" t="s">
        <v>631</v>
      </c>
      <c r="G258" s="11" t="s">
        <v>1847</v>
      </c>
      <c r="H258" s="18" t="s">
        <v>1202</v>
      </c>
      <c r="I258" s="19">
        <v>1242</v>
      </c>
      <c r="J258" s="2"/>
      <c r="K258" s="20" t="s">
        <v>2475</v>
      </c>
      <c r="L258" s="20"/>
      <c r="M258" s="17" t="str">
        <f t="shared" si="36"/>
        <v>기축</v>
      </c>
      <c r="N258" s="21"/>
      <c r="O258" s="21"/>
      <c r="P258" s="1">
        <f t="shared" si="32"/>
        <v>25</v>
      </c>
      <c r="Q258" s="1">
        <v>25</v>
      </c>
      <c r="R258" s="64" t="str">
        <f>IFERROR(INDEX(입력!$J$2:$J$500, MATCH($BO258, 입력!$Z$2:$Z$500, 0)) &amp; "", "")</f>
        <v/>
      </c>
      <c r="S258" s="64" t="str">
        <f>IFERROR(INDEX(입력!$K$2:$K$500, MATCH($BO258, 입력!$Z$2:$Z$500, 0)) &amp; "", "")</f>
        <v/>
      </c>
      <c r="T258" s="64">
        <f>MAX(0, 표1[[#This Row],[의무_면수]]-표1[[#This Row],[면수합]])</f>
        <v>0</v>
      </c>
      <c r="U258" s="44" t="str">
        <f t="shared" si="33"/>
        <v>이행완료</v>
      </c>
      <c r="V258" s="1">
        <f t="shared" si="37"/>
        <v>25</v>
      </c>
      <c r="W258" s="1" t="str">
        <f t="shared" si="34"/>
        <v/>
      </c>
      <c r="X258" s="1">
        <v>25</v>
      </c>
      <c r="Y258" s="64" t="str">
        <f>IFERROR(INDEX(입력!$M$2:$M$500, MATCH($BO258, 입력!$Z$2:$Z$500, 0)) &amp; "", "")</f>
        <v/>
      </c>
      <c r="Z258" s="64" t="str">
        <f>IFERROR(INDEX(입력!$N$2:$N$500, MATCH($BO258, 입력!$Z$2:$Z$500, 0)) &amp; "", "")</f>
        <v/>
      </c>
      <c r="AA258" s="64">
        <f>MAX(0, 표1[[#This Row],[의무_시설]]-표1[[#This Row],[시설합]])</f>
        <v>0</v>
      </c>
      <c r="AB258" s="17" t="str">
        <f t="shared" ref="AB258:AB321" si="39">IF(OR(V258="", X258=""), "", IF(X258 &gt;= V258, "이행완료", "미이행"))</f>
        <v>이행완료</v>
      </c>
      <c r="AC258" s="64" t="str">
        <f>IFERROR(INDEX(입력!$P$2:$P$500, MATCH($BO258, 입력!$Z$2:$Z$500, 0)) &amp; "", "")</f>
        <v/>
      </c>
      <c r="AD258" s="64" t="str">
        <f>IFERROR(INDEX(입력!$Q$2:$Q$500, MATCH($BO258, 입력!$Z$2:$Z$500, 0)) &amp; "", "")</f>
        <v/>
      </c>
      <c r="AE258" s="64" t="str">
        <f>IFERROR(INDEX(입력!$R$2:$R$500, MATCH($BO258, 입력!$Z$2:$Z$500, 0)) &amp; "", "")</f>
        <v/>
      </c>
      <c r="AF258" s="64" t="str">
        <f>IFERROR(INDEX(입력!$S$2:$S$500, MATCH($BO258, 입력!$Z$2:$Z$500, 0)) &amp; "", "")</f>
        <v/>
      </c>
      <c r="AG258" s="64" t="str">
        <f>IFERROR(INDEX(입력!$T$2:$T$500, MATCH($BO258, 입력!$Z$2:$Z$500, 0)) &amp; "", "")</f>
        <v/>
      </c>
      <c r="AH258" s="64" t="str">
        <f>IFERROR(INDEX(입력!$U$2:$U$500, MATCH($BO258, 입력!$Z$2:$Z$500, 0)) &amp; "", "")</f>
        <v/>
      </c>
      <c r="AI258" s="64" t="str">
        <f>IFERROR(INDEX(입력!$V$2:$V$500, MATCH($BO258, 입력!$Z$2:$Z$500, 0)) &amp; "", "")</f>
        <v/>
      </c>
      <c r="AJ258" s="44" t="str">
        <f>IFERROR(INDEX(입력!$W$2:$W$500, MATCH($BO258, 입력!$Z$2:$Z$500, 0)) &amp; "", "")</f>
        <v/>
      </c>
      <c r="AK258" s="44" t="str">
        <f>IFERROR(INDEX(입력!$X$2:$X$500, MATCH($BO258, 입력!$Z$2:$Z$500, 0)) &amp; "", "")</f>
        <v/>
      </c>
      <c r="AL258" s="2"/>
      <c r="AM258" s="17" t="s">
        <v>1650</v>
      </c>
      <c r="AN258" s="101">
        <v>2025</v>
      </c>
      <c r="AO258" s="17" t="s">
        <v>3275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3137</v>
      </c>
      <c r="AZ258" s="71" t="str">
        <f>IFERROR(IF(INDEX(입력!$C$2:$C$500, MATCH($BO258, 입력!$Z$2:$Z$500, 0))="", "", TEXT(INDEX(입력!$C$2:$C$500, MATCH($BO258, 입력!$Z$2:$Z$500, 0)), "yyyy-mm-dd")), "")</f>
        <v/>
      </c>
      <c r="BA258" s="44" t="str">
        <f>IFERROR(INDEX(입력!$B$2:$B$500, MATCH($BO258, 입력!$Z$2:$Z$500, 0)) &amp; "", "")</f>
        <v/>
      </c>
      <c r="BB258" s="83" t="str">
        <f>IFERROR(INDEX(입력!$Y$2:$Y$500, MATCH($BO258, 입력!$Z$2:$Z$500, 0)) &amp; "", "")</f>
        <v/>
      </c>
      <c r="BC258" s="83" t="s">
        <v>3112</v>
      </c>
      <c r="BD258" s="83"/>
      <c r="BE258" s="101"/>
      <c r="BF258" s="101"/>
      <c r="BG258" s="101"/>
      <c r="BH258" s="101"/>
      <c r="BI258" s="101"/>
      <c r="BJ258" s="101"/>
      <c r="BK258" s="110"/>
      <c r="BL258" s="21"/>
      <c r="BM258" s="22">
        <v>1234</v>
      </c>
      <c r="BN258" s="23"/>
      <c r="BO258" s="47" t="s">
        <v>632</v>
      </c>
    </row>
    <row r="259" spans="1:67" x14ac:dyDescent="0.45">
      <c r="A259" s="19">
        <v>258</v>
      </c>
      <c r="B259" s="1" t="s">
        <v>1647</v>
      </c>
      <c r="C259" s="17" t="str">
        <f t="shared" si="35"/>
        <v>이행완료</v>
      </c>
      <c r="D259" s="17" t="str">
        <f t="shared" si="38"/>
        <v/>
      </c>
      <c r="E259" s="2" t="s">
        <v>1848</v>
      </c>
      <c r="F259" s="1" t="s">
        <v>633</v>
      </c>
      <c r="G259" s="11" t="s">
        <v>1849</v>
      </c>
      <c r="H259" s="18" t="s">
        <v>1202</v>
      </c>
      <c r="I259" s="19">
        <v>522</v>
      </c>
      <c r="J259" s="2"/>
      <c r="K259" s="20" t="s">
        <v>2471</v>
      </c>
      <c r="L259" s="20"/>
      <c r="M259" s="17" t="str">
        <f t="shared" si="36"/>
        <v>기축</v>
      </c>
      <c r="N259" s="21"/>
      <c r="O259" s="21"/>
      <c r="P259" s="1">
        <f t="shared" si="32"/>
        <v>10</v>
      </c>
      <c r="Q259" s="1">
        <v>21</v>
      </c>
      <c r="R259" s="64" t="str">
        <f>IFERROR(INDEX(입력!$J$2:$J$500, MATCH($BO259, 입력!$Z$2:$Z$500, 0)) &amp; "", "")</f>
        <v/>
      </c>
      <c r="S259" s="64" t="str">
        <f>IFERROR(INDEX(입력!$K$2:$K$500, MATCH($BO259, 입력!$Z$2:$Z$500, 0)) &amp; "", "")</f>
        <v/>
      </c>
      <c r="T259" s="64">
        <f>MAX(0, 표1[[#This Row],[의무_면수]]-표1[[#This Row],[면수합]])</f>
        <v>0</v>
      </c>
      <c r="U259" s="44" t="str">
        <f t="shared" si="33"/>
        <v>이행완료</v>
      </c>
      <c r="V259" s="1">
        <f t="shared" si="37"/>
        <v>10</v>
      </c>
      <c r="W259" s="1" t="str">
        <f t="shared" si="34"/>
        <v/>
      </c>
      <c r="X259" s="1">
        <v>21</v>
      </c>
      <c r="Y259" s="64" t="str">
        <f>IFERROR(INDEX(입력!$M$2:$M$500, MATCH($BO259, 입력!$Z$2:$Z$500, 0)) &amp; "", "")</f>
        <v/>
      </c>
      <c r="Z259" s="64" t="str">
        <f>IFERROR(INDEX(입력!$N$2:$N$500, MATCH($BO259, 입력!$Z$2:$Z$500, 0)) &amp; "", "")</f>
        <v/>
      </c>
      <c r="AA259" s="64">
        <f>MAX(0, 표1[[#This Row],[의무_시설]]-표1[[#This Row],[시설합]])</f>
        <v>0</v>
      </c>
      <c r="AB259" s="17" t="str">
        <f t="shared" si="39"/>
        <v>이행완료</v>
      </c>
      <c r="AC259" s="64" t="str">
        <f>IFERROR(INDEX(입력!$P$2:$P$500, MATCH($BO259, 입력!$Z$2:$Z$500, 0)) &amp; "", "")</f>
        <v/>
      </c>
      <c r="AD259" s="64" t="str">
        <f>IFERROR(INDEX(입력!$Q$2:$Q$500, MATCH($BO259, 입력!$Z$2:$Z$500, 0)) &amp; "", "")</f>
        <v/>
      </c>
      <c r="AE259" s="64" t="str">
        <f>IFERROR(INDEX(입력!$R$2:$R$500, MATCH($BO259, 입력!$Z$2:$Z$500, 0)) &amp; "", "")</f>
        <v/>
      </c>
      <c r="AF259" s="64" t="str">
        <f>IFERROR(INDEX(입력!$S$2:$S$500, MATCH($BO259, 입력!$Z$2:$Z$500, 0)) &amp; "", "")</f>
        <v/>
      </c>
      <c r="AG259" s="64" t="str">
        <f>IFERROR(INDEX(입력!$T$2:$T$500, MATCH($BO259, 입력!$Z$2:$Z$500, 0)) &amp; "", "")</f>
        <v/>
      </c>
      <c r="AH259" s="64" t="str">
        <f>IFERROR(INDEX(입력!$U$2:$U$500, MATCH($BO259, 입력!$Z$2:$Z$500, 0)) &amp; "", "")</f>
        <v/>
      </c>
      <c r="AI259" s="64" t="str">
        <f>IFERROR(INDEX(입력!$V$2:$V$500, MATCH($BO259, 입력!$Z$2:$Z$500, 0)) &amp; "", "")</f>
        <v/>
      </c>
      <c r="AJ259" s="44" t="str">
        <f>IFERROR(INDEX(입력!$W$2:$W$500, MATCH($BO259, 입력!$Z$2:$Z$500, 0)) &amp; "", "")</f>
        <v/>
      </c>
      <c r="AK259" s="44" t="str">
        <f>IFERROR(INDEX(입력!$X$2:$X$500, MATCH($BO259, 입력!$Z$2:$Z$500, 0)) &amp; "", "")</f>
        <v/>
      </c>
      <c r="AL259" s="2"/>
      <c r="AM259" s="17" t="s">
        <v>1650</v>
      </c>
      <c r="AN259" s="101">
        <v>2025</v>
      </c>
      <c r="AO259" s="17" t="s">
        <v>3277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3137</v>
      </c>
      <c r="AZ259" s="71" t="str">
        <f>IFERROR(IF(INDEX(입력!$C$2:$C$500, MATCH($BO259, 입력!$Z$2:$Z$500, 0))="", "", TEXT(INDEX(입력!$C$2:$C$500, MATCH($BO259, 입력!$Z$2:$Z$500, 0)), "yyyy-mm-dd")), "")</f>
        <v/>
      </c>
      <c r="BA259" s="44" t="str">
        <f>IFERROR(INDEX(입력!$B$2:$B$500, MATCH($BO259, 입력!$Z$2:$Z$500, 0)) &amp; "", "")</f>
        <v/>
      </c>
      <c r="BB259" s="83" t="str">
        <f>IFERROR(INDEX(입력!$Y$2:$Y$500, MATCH($BO259, 입력!$Z$2:$Z$500, 0)) &amp; "", "")</f>
        <v/>
      </c>
      <c r="BC259" s="83" t="s">
        <v>3112</v>
      </c>
      <c r="BD259" s="83"/>
      <c r="BE259" s="101"/>
      <c r="BF259" s="101"/>
      <c r="BG259" s="101"/>
      <c r="BH259" s="101"/>
      <c r="BI259" s="101"/>
      <c r="BJ259" s="101"/>
      <c r="BK259" s="110"/>
      <c r="BL259" s="21"/>
      <c r="BM259" s="22">
        <v>522</v>
      </c>
      <c r="BN259" s="23"/>
      <c r="BO259" s="47" t="s">
        <v>634</v>
      </c>
    </row>
    <row r="260" spans="1:67" s="97" customFormat="1" x14ac:dyDescent="0.45">
      <c r="A260" s="98">
        <v>259</v>
      </c>
      <c r="B260" s="88" t="s">
        <v>1647</v>
      </c>
      <c r="C260" s="87" t="s">
        <v>4005</v>
      </c>
      <c r="D260" s="87" t="str">
        <f t="shared" si="38"/>
        <v/>
      </c>
      <c r="E260" s="86" t="s">
        <v>1850</v>
      </c>
      <c r="F260" s="88" t="s">
        <v>481</v>
      </c>
      <c r="G260" s="130" t="s">
        <v>1661</v>
      </c>
      <c r="H260" s="87" t="s">
        <v>1097</v>
      </c>
      <c r="I260" s="85">
        <v>278</v>
      </c>
      <c r="J260" s="86"/>
      <c r="K260" s="89" t="s">
        <v>2433</v>
      </c>
      <c r="L260" s="89"/>
      <c r="M260" s="87" t="str">
        <f t="shared" si="36"/>
        <v>기축</v>
      </c>
      <c r="N260" s="90"/>
      <c r="O260" s="90"/>
      <c r="P260" s="88">
        <f t="shared" si="32"/>
        <v>6</v>
      </c>
      <c r="Q260" s="88">
        <v>6</v>
      </c>
      <c r="R260" s="91" t="str">
        <f>IFERROR(INDEX(입력!$J$2:$J$500, MATCH($BO260, 입력!$Z$2:$Z$500, 0)) &amp; "", "")</f>
        <v/>
      </c>
      <c r="S260" s="91" t="str">
        <f>IFERROR(INDEX(입력!$K$2:$K$500, MATCH($BO260, 입력!$Z$2:$Z$500, 0)) &amp; "", "")</f>
        <v/>
      </c>
      <c r="T260" s="91">
        <f>MAX(0, 표1[[#This Row],[의무_면수]]-표1[[#This Row],[면수합]])</f>
        <v>0</v>
      </c>
      <c r="U260" s="92" t="str">
        <f t="shared" si="33"/>
        <v>이행완료</v>
      </c>
      <c r="V260" s="88">
        <f t="shared" si="37"/>
        <v>6</v>
      </c>
      <c r="W260" s="88" t="str">
        <f t="shared" si="34"/>
        <v/>
      </c>
      <c r="X260" s="88">
        <v>6</v>
      </c>
      <c r="Y260" s="91" t="str">
        <f>IFERROR(INDEX(입력!$M$2:$M$500, MATCH($BO260, 입력!$Z$2:$Z$500, 0)) &amp; "", "")</f>
        <v/>
      </c>
      <c r="Z260" s="91" t="str">
        <f>IFERROR(INDEX(입력!$N$2:$N$500, MATCH($BO260, 입력!$Z$2:$Z$500, 0)) &amp; "", "")</f>
        <v/>
      </c>
      <c r="AA260" s="91">
        <f>MAX(0, 표1[[#This Row],[의무_시설]]-표1[[#This Row],[시설합]])</f>
        <v>0</v>
      </c>
      <c r="AB260" s="87" t="str">
        <f t="shared" si="39"/>
        <v>이행완료</v>
      </c>
      <c r="AC260" s="91" t="str">
        <f>IFERROR(INDEX(입력!$P$2:$P$500, MATCH($BO260, 입력!$Z$2:$Z$500, 0)) &amp; "", "")</f>
        <v/>
      </c>
      <c r="AD260" s="91" t="str">
        <f>IFERROR(INDEX(입력!$Q$2:$Q$500, MATCH($BO260, 입력!$Z$2:$Z$500, 0)) &amp; "", "")</f>
        <v/>
      </c>
      <c r="AE260" s="91" t="str">
        <f>IFERROR(INDEX(입력!$R$2:$R$500, MATCH($BO260, 입력!$Z$2:$Z$500, 0)) &amp; "", "")</f>
        <v/>
      </c>
      <c r="AF260" s="91" t="str">
        <f>IFERROR(INDEX(입력!$S$2:$S$500, MATCH($BO260, 입력!$Z$2:$Z$500, 0)) &amp; "", "")</f>
        <v/>
      </c>
      <c r="AG260" s="91" t="str">
        <f>IFERROR(INDEX(입력!$T$2:$T$500, MATCH($BO260, 입력!$Z$2:$Z$500, 0)) &amp; "", "")</f>
        <v/>
      </c>
      <c r="AH260" s="91" t="str">
        <f>IFERROR(INDEX(입력!$U$2:$U$500, MATCH($BO260, 입력!$Z$2:$Z$500, 0)) &amp; "", "")</f>
        <v/>
      </c>
      <c r="AI260" s="91" t="str">
        <f>IFERROR(INDEX(입력!$V$2:$V$500, MATCH($BO260, 입력!$Z$2:$Z$500, 0)) &amp; "", "")</f>
        <v/>
      </c>
      <c r="AJ260" s="92" t="str">
        <f>IFERROR(INDEX(입력!$W$2:$W$500, MATCH($BO260, 입력!$Z$2:$Z$500, 0)) &amp; "", "")</f>
        <v/>
      </c>
      <c r="AK260" s="92" t="str">
        <f>IFERROR(INDEX(입력!$X$2:$X$500, MATCH($BO260, 입력!$Z$2:$Z$500, 0)) &amp; "", "")</f>
        <v/>
      </c>
      <c r="AL260" s="86"/>
      <c r="AM260" s="87" t="s">
        <v>1650</v>
      </c>
      <c r="AN260" s="100">
        <v>2025</v>
      </c>
      <c r="AO260" s="87" t="s">
        <v>3275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3132</v>
      </c>
      <c r="AZ260" s="148" t="str">
        <f>IFERROR(IF(INDEX(입력!$C$2:$C$500, MATCH($BO260, 입력!$Z$2:$Z$500, 0))="", "", TEXT(INDEX(입력!$C$2:$C$500, MATCH($BO260, 입력!$Z$2:$Z$500, 0)), "yyyy-mm-dd")), "")</f>
        <v/>
      </c>
      <c r="BA260" s="92" t="str">
        <f>IFERROR(INDEX(입력!$B$2:$B$500, MATCH($BO260, 입력!$Z$2:$Z$500, 0)) &amp; "", "")</f>
        <v/>
      </c>
      <c r="BB260" s="93" t="str">
        <f>IFERROR(INDEX(입력!$Y$2:$Y$500, MATCH($BO260, 입력!$Z$2:$Z$500, 0)) &amp; "", "")</f>
        <v/>
      </c>
      <c r="BC260" s="93" t="s">
        <v>3112</v>
      </c>
      <c r="BD260" s="93"/>
      <c r="BE260" s="100"/>
      <c r="BF260" s="100"/>
      <c r="BG260" s="100"/>
      <c r="BH260" s="100"/>
      <c r="BI260" s="100"/>
      <c r="BJ260" s="100"/>
      <c r="BK260" s="112"/>
      <c r="BL260" s="90"/>
      <c r="BM260" s="94">
        <v>278</v>
      </c>
      <c r="BN260" s="95"/>
      <c r="BO260" s="96" t="s">
        <v>635</v>
      </c>
    </row>
    <row r="261" spans="1:67" x14ac:dyDescent="0.45">
      <c r="A261" s="19">
        <v>260</v>
      </c>
      <c r="B261" s="1" t="s">
        <v>1647</v>
      </c>
      <c r="C261" s="17" t="str">
        <f t="shared" si="35"/>
        <v>이행완료</v>
      </c>
      <c r="D261" s="17" t="str">
        <f t="shared" si="38"/>
        <v/>
      </c>
      <c r="E261" s="2" t="s">
        <v>1851</v>
      </c>
      <c r="F261" s="1" t="s">
        <v>239</v>
      </c>
      <c r="G261" s="11" t="s">
        <v>1280</v>
      </c>
      <c r="H261" s="18" t="s">
        <v>1152</v>
      </c>
      <c r="I261" s="19">
        <v>78</v>
      </c>
      <c r="J261" s="2"/>
      <c r="K261" s="20" t="s">
        <v>2476</v>
      </c>
      <c r="L261" s="20"/>
      <c r="M261" s="17" t="str">
        <f t="shared" si="36"/>
        <v>기축</v>
      </c>
      <c r="N261" s="21"/>
      <c r="O261" s="21"/>
      <c r="P261" s="1">
        <f t="shared" si="32"/>
        <v>2</v>
      </c>
      <c r="Q261" s="1">
        <v>3</v>
      </c>
      <c r="R261" s="64" t="str">
        <f>IFERROR(INDEX(입력!$J$2:$J$500, MATCH($BO261, 입력!$Z$2:$Z$500, 0)) &amp; "", "")</f>
        <v/>
      </c>
      <c r="S261" s="64" t="str">
        <f>IFERROR(INDEX(입력!$K$2:$K$500, MATCH($BO261, 입력!$Z$2:$Z$500, 0)) &amp; "", "")</f>
        <v/>
      </c>
      <c r="T261" s="64">
        <f>MAX(0, 표1[[#This Row],[의무_면수]]-표1[[#This Row],[면수합]])</f>
        <v>0</v>
      </c>
      <c r="U261" s="44" t="str">
        <f t="shared" si="33"/>
        <v>이행완료</v>
      </c>
      <c r="V261" s="1">
        <f t="shared" si="37"/>
        <v>2</v>
      </c>
      <c r="W261" s="1" t="str">
        <f t="shared" si="34"/>
        <v/>
      </c>
      <c r="X261" s="1">
        <v>3</v>
      </c>
      <c r="Y261" s="64" t="str">
        <f>IFERROR(INDEX(입력!$M$2:$M$500, MATCH($BO261, 입력!$Z$2:$Z$500, 0)) &amp; "", "")</f>
        <v/>
      </c>
      <c r="Z261" s="64" t="str">
        <f>IFERROR(INDEX(입력!$N$2:$N$500, MATCH($BO261, 입력!$Z$2:$Z$500, 0)) &amp; "", "")</f>
        <v/>
      </c>
      <c r="AA261" s="64">
        <f>MAX(0, 표1[[#This Row],[의무_시설]]-표1[[#This Row],[시설합]])</f>
        <v>0</v>
      </c>
      <c r="AB261" s="17" t="str">
        <f t="shared" si="39"/>
        <v>이행완료</v>
      </c>
      <c r="AC261" s="64" t="str">
        <f>IFERROR(INDEX(입력!$P$2:$P$500, MATCH($BO261, 입력!$Z$2:$Z$500, 0)) &amp; "", "")</f>
        <v/>
      </c>
      <c r="AD261" s="64" t="str">
        <f>IFERROR(INDEX(입력!$Q$2:$Q$500, MATCH($BO261, 입력!$Z$2:$Z$500, 0)) &amp; "", "")</f>
        <v/>
      </c>
      <c r="AE261" s="64" t="str">
        <f>IFERROR(INDEX(입력!$R$2:$R$500, MATCH($BO261, 입력!$Z$2:$Z$500, 0)) &amp; "", "")</f>
        <v/>
      </c>
      <c r="AF261" s="64" t="str">
        <f>IFERROR(INDEX(입력!$S$2:$S$500, MATCH($BO261, 입력!$Z$2:$Z$500, 0)) &amp; "", "")</f>
        <v/>
      </c>
      <c r="AG261" s="64" t="str">
        <f>IFERROR(INDEX(입력!$T$2:$T$500, MATCH($BO261, 입력!$Z$2:$Z$500, 0)) &amp; "", "")</f>
        <v/>
      </c>
      <c r="AH261" s="64" t="str">
        <f>IFERROR(INDEX(입력!$U$2:$U$500, MATCH($BO261, 입력!$Z$2:$Z$500, 0)) &amp; "", "")</f>
        <v/>
      </c>
      <c r="AI261" s="64" t="str">
        <f>IFERROR(INDEX(입력!$V$2:$V$500, MATCH($BO261, 입력!$Z$2:$Z$500, 0)) &amp; "", "")</f>
        <v/>
      </c>
      <c r="AJ261" s="44" t="str">
        <f>IFERROR(INDEX(입력!$W$2:$W$500, MATCH($BO261, 입력!$Z$2:$Z$500, 0)) &amp; "", "")</f>
        <v/>
      </c>
      <c r="AK261" s="44" t="str">
        <f>IFERROR(INDEX(입력!$X$2:$X$500, MATCH($BO261, 입력!$Z$2:$Z$500, 0)) &amp; "", "")</f>
        <v/>
      </c>
      <c r="AL261" s="2"/>
      <c r="AM261" s="17" t="s">
        <v>1650</v>
      </c>
      <c r="AN261" s="101">
        <v>2025</v>
      </c>
      <c r="AO261" s="17" t="s">
        <v>3274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3137</v>
      </c>
      <c r="AZ261" s="71" t="str">
        <f>IFERROR(IF(INDEX(입력!$C$2:$C$500, MATCH($BO261, 입력!$Z$2:$Z$500, 0))="", "", TEXT(INDEX(입력!$C$2:$C$500, MATCH($BO261, 입력!$Z$2:$Z$500, 0)), "yyyy-mm-dd")), "")</f>
        <v/>
      </c>
      <c r="BA261" s="44" t="str">
        <f>IFERROR(INDEX(입력!$B$2:$B$500, MATCH($BO261, 입력!$Z$2:$Z$500, 0)) &amp; "", "")</f>
        <v/>
      </c>
      <c r="BB261" s="83" t="str">
        <f>IFERROR(INDEX(입력!$Y$2:$Y$500, MATCH($BO261, 입력!$Z$2:$Z$500, 0)) &amp; "", "")</f>
        <v/>
      </c>
      <c r="BC261" s="83" t="s">
        <v>3112</v>
      </c>
      <c r="BD261" s="83"/>
      <c r="BE261" s="101"/>
      <c r="BF261" s="101"/>
      <c r="BG261" s="101"/>
      <c r="BH261" s="101"/>
      <c r="BI261" s="101"/>
      <c r="BJ261" s="101"/>
      <c r="BK261" s="110"/>
      <c r="BL261" s="21"/>
      <c r="BM261" s="22">
        <v>150</v>
      </c>
      <c r="BN261" s="23"/>
      <c r="BO261" s="47" t="s">
        <v>636</v>
      </c>
    </row>
    <row r="262" spans="1:67" x14ac:dyDescent="0.45">
      <c r="A262" s="46">
        <v>261</v>
      </c>
      <c r="B262" s="1" t="s">
        <v>1647</v>
      </c>
      <c r="C262" s="17" t="str">
        <f t="shared" si="35"/>
        <v>이행완료</v>
      </c>
      <c r="D262" s="17" t="str">
        <f t="shared" si="38"/>
        <v/>
      </c>
      <c r="E262" s="2" t="s">
        <v>1852</v>
      </c>
      <c r="F262" s="1" t="s">
        <v>637</v>
      </c>
      <c r="G262" s="11" t="s">
        <v>1853</v>
      </c>
      <c r="H262" s="18" t="s">
        <v>1056</v>
      </c>
      <c r="I262" s="19">
        <v>600</v>
      </c>
      <c r="J262" s="2"/>
      <c r="K262" s="20" t="s">
        <v>2477</v>
      </c>
      <c r="L262" s="20"/>
      <c r="M262" s="17" t="str">
        <f t="shared" si="36"/>
        <v>기축</v>
      </c>
      <c r="N262" s="21"/>
      <c r="O262" s="21"/>
      <c r="P262" s="1">
        <f t="shared" si="32"/>
        <v>12</v>
      </c>
      <c r="Q262" s="1">
        <v>12</v>
      </c>
      <c r="R262" s="64" t="str">
        <f>IFERROR(INDEX(입력!$J$2:$J$500, MATCH($BO262, 입력!$Z$2:$Z$500, 0)) &amp; "", "")</f>
        <v/>
      </c>
      <c r="S262" s="64" t="str">
        <f>IFERROR(INDEX(입력!$K$2:$K$500, MATCH($BO262, 입력!$Z$2:$Z$500, 0)) &amp; "", "")</f>
        <v/>
      </c>
      <c r="T262" s="64">
        <f>MAX(0, 표1[[#This Row],[의무_면수]]-표1[[#This Row],[면수합]])</f>
        <v>0</v>
      </c>
      <c r="U262" s="44" t="str">
        <f t="shared" si="33"/>
        <v>이행완료</v>
      </c>
      <c r="V262" s="1">
        <f t="shared" si="37"/>
        <v>12</v>
      </c>
      <c r="W262" s="1" t="str">
        <f t="shared" si="34"/>
        <v/>
      </c>
      <c r="X262" s="1">
        <v>12</v>
      </c>
      <c r="Y262" s="64" t="str">
        <f>IFERROR(INDEX(입력!$M$2:$M$500, MATCH($BO262, 입력!$Z$2:$Z$500, 0)) &amp; "", "")</f>
        <v/>
      </c>
      <c r="Z262" s="64" t="str">
        <f>IFERROR(INDEX(입력!$N$2:$N$500, MATCH($BO262, 입력!$Z$2:$Z$500, 0)) &amp; "", "")</f>
        <v/>
      </c>
      <c r="AA262" s="64">
        <f>MAX(0, 표1[[#This Row],[의무_시설]]-표1[[#This Row],[시설합]])</f>
        <v>0</v>
      </c>
      <c r="AB262" s="17" t="str">
        <f t="shared" si="39"/>
        <v>이행완료</v>
      </c>
      <c r="AC262" s="64" t="str">
        <f>IFERROR(INDEX(입력!$P$2:$P$500, MATCH($BO262, 입력!$Z$2:$Z$500, 0)) &amp; "", "")</f>
        <v/>
      </c>
      <c r="AD262" s="64" t="str">
        <f>IFERROR(INDEX(입력!$Q$2:$Q$500, MATCH($BO262, 입력!$Z$2:$Z$500, 0)) &amp; "", "")</f>
        <v/>
      </c>
      <c r="AE262" s="64" t="str">
        <f>IFERROR(INDEX(입력!$R$2:$R$500, MATCH($BO262, 입력!$Z$2:$Z$500, 0)) &amp; "", "")</f>
        <v/>
      </c>
      <c r="AF262" s="64" t="str">
        <f>IFERROR(INDEX(입력!$S$2:$S$500, MATCH($BO262, 입력!$Z$2:$Z$500, 0)) &amp; "", "")</f>
        <v/>
      </c>
      <c r="AG262" s="64" t="str">
        <f>IFERROR(INDEX(입력!$T$2:$T$500, MATCH($BO262, 입력!$Z$2:$Z$500, 0)) &amp; "", "")</f>
        <v/>
      </c>
      <c r="AH262" s="64" t="str">
        <f>IFERROR(INDEX(입력!$U$2:$U$500, MATCH($BO262, 입력!$Z$2:$Z$500, 0)) &amp; "", "")</f>
        <v/>
      </c>
      <c r="AI262" s="64" t="str">
        <f>IFERROR(INDEX(입력!$V$2:$V$500, MATCH($BO262, 입력!$Z$2:$Z$500, 0)) &amp; "", "")</f>
        <v/>
      </c>
      <c r="AJ262" s="44" t="str">
        <f>IFERROR(INDEX(입력!$W$2:$W$500, MATCH($BO262, 입력!$Z$2:$Z$500, 0)) &amp; "", "")</f>
        <v/>
      </c>
      <c r="AK262" s="44" t="str">
        <f>IFERROR(INDEX(입력!$X$2:$X$500, MATCH($BO262, 입력!$Z$2:$Z$500, 0)) &amp; "", "")</f>
        <v/>
      </c>
      <c r="AL262" s="2"/>
      <c r="AM262" s="17" t="s">
        <v>1650</v>
      </c>
      <c r="AN262" s="101">
        <v>2025</v>
      </c>
      <c r="AO262" s="17" t="s">
        <v>3274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3131</v>
      </c>
      <c r="AZ262" s="71" t="str">
        <f>IFERROR(IF(INDEX(입력!$C$2:$C$500, MATCH($BO262, 입력!$Z$2:$Z$500, 0))="", "", TEXT(INDEX(입력!$C$2:$C$500, MATCH($BO262, 입력!$Z$2:$Z$500, 0)), "yyyy-mm-dd")), "")</f>
        <v/>
      </c>
      <c r="BA262" s="44" t="str">
        <f>IFERROR(INDEX(입력!$B$2:$B$500, MATCH($BO262, 입력!$Z$2:$Z$500, 0)) &amp; "", "")</f>
        <v/>
      </c>
      <c r="BB262" s="83" t="str">
        <f>IFERROR(INDEX(입력!$Y$2:$Y$500, MATCH($BO262, 입력!$Z$2:$Z$500, 0)) &amp; "", "")</f>
        <v/>
      </c>
      <c r="BC262" s="83" t="s">
        <v>3112</v>
      </c>
      <c r="BD262" s="83"/>
      <c r="BE262" s="101"/>
      <c r="BF262" s="101"/>
      <c r="BG262" s="101"/>
      <c r="BH262" s="101"/>
      <c r="BI262" s="101"/>
      <c r="BJ262" s="101"/>
      <c r="BK262" s="110"/>
      <c r="BL262" s="21"/>
      <c r="BM262" s="22">
        <v>597</v>
      </c>
      <c r="BN262" s="23"/>
      <c r="BO262" s="47" t="s">
        <v>638</v>
      </c>
    </row>
    <row r="263" spans="1:67" x14ac:dyDescent="0.45">
      <c r="A263" s="19">
        <v>262</v>
      </c>
      <c r="B263" s="1" t="s">
        <v>1647</v>
      </c>
      <c r="C263" s="17" t="str">
        <f t="shared" si="35"/>
        <v>이행완료</v>
      </c>
      <c r="D263" s="17" t="str">
        <f t="shared" si="38"/>
        <v/>
      </c>
      <c r="E263" s="2" t="s">
        <v>1854</v>
      </c>
      <c r="F263" s="1" t="s">
        <v>639</v>
      </c>
      <c r="G263" s="11" t="s">
        <v>1855</v>
      </c>
      <c r="H263" s="18" t="s">
        <v>1109</v>
      </c>
      <c r="I263" s="19">
        <v>264</v>
      </c>
      <c r="J263" s="2"/>
      <c r="K263" s="20" t="s">
        <v>2478</v>
      </c>
      <c r="L263" s="20"/>
      <c r="M263" s="17" t="str">
        <f t="shared" si="36"/>
        <v>기축</v>
      </c>
      <c r="N263" s="21" t="s">
        <v>2401</v>
      </c>
      <c r="O263" s="21"/>
      <c r="P263" s="1">
        <f t="shared" si="32"/>
        <v>5</v>
      </c>
      <c r="Q263" s="1">
        <v>14</v>
      </c>
      <c r="R263" s="64" t="str">
        <f>IFERROR(INDEX(입력!$J$2:$J$500, MATCH($BO263, 입력!$Z$2:$Z$500, 0)) &amp; "", "")</f>
        <v/>
      </c>
      <c r="S263" s="64" t="str">
        <f>IFERROR(INDEX(입력!$K$2:$K$500, MATCH($BO263, 입력!$Z$2:$Z$500, 0)) &amp; "", "")</f>
        <v/>
      </c>
      <c r="T263" s="64">
        <f>MAX(0, 표1[[#This Row],[의무_면수]]-표1[[#This Row],[면수합]])</f>
        <v>0</v>
      </c>
      <c r="U263" s="44" t="str">
        <f t="shared" si="33"/>
        <v>이행완료</v>
      </c>
      <c r="V263" s="1">
        <f t="shared" si="37"/>
        <v>5</v>
      </c>
      <c r="W263" s="1" t="str">
        <f t="shared" si="34"/>
        <v/>
      </c>
      <c r="X263" s="1">
        <v>14</v>
      </c>
      <c r="Y263" s="64" t="str">
        <f>IFERROR(INDEX(입력!$M$2:$M$500, MATCH($BO263, 입력!$Z$2:$Z$500, 0)) &amp; "", "")</f>
        <v/>
      </c>
      <c r="Z263" s="64" t="str">
        <f>IFERROR(INDEX(입력!$N$2:$N$500, MATCH($BO263, 입력!$Z$2:$Z$500, 0)) &amp; "", "")</f>
        <v/>
      </c>
      <c r="AA263" s="64">
        <f>MAX(0, 표1[[#This Row],[의무_시설]]-표1[[#This Row],[시설합]])</f>
        <v>0</v>
      </c>
      <c r="AB263" s="17" t="str">
        <f t="shared" si="39"/>
        <v>이행완료</v>
      </c>
      <c r="AC263" s="64" t="str">
        <f>IFERROR(INDEX(입력!$P$2:$P$500, MATCH($BO263, 입력!$Z$2:$Z$500, 0)) &amp; "", "")</f>
        <v/>
      </c>
      <c r="AD263" s="64" t="str">
        <f>IFERROR(INDEX(입력!$Q$2:$Q$500, MATCH($BO263, 입력!$Z$2:$Z$500, 0)) &amp; "", "")</f>
        <v/>
      </c>
      <c r="AE263" s="64" t="str">
        <f>IFERROR(INDEX(입력!$R$2:$R$500, MATCH($BO263, 입력!$Z$2:$Z$500, 0)) &amp; "", "")</f>
        <v/>
      </c>
      <c r="AF263" s="64" t="str">
        <f>IFERROR(INDEX(입력!$S$2:$S$500, MATCH($BO263, 입력!$Z$2:$Z$500, 0)) &amp; "", "")</f>
        <v/>
      </c>
      <c r="AG263" s="64" t="str">
        <f>IFERROR(INDEX(입력!$T$2:$T$500, MATCH($BO263, 입력!$Z$2:$Z$500, 0)) &amp; "", "")</f>
        <v/>
      </c>
      <c r="AH263" s="64" t="str">
        <f>IFERROR(INDEX(입력!$U$2:$U$500, MATCH($BO263, 입력!$Z$2:$Z$500, 0)) &amp; "", "")</f>
        <v/>
      </c>
      <c r="AI263" s="64" t="str">
        <f>IFERROR(INDEX(입력!$V$2:$V$500, MATCH($BO263, 입력!$Z$2:$Z$500, 0)) &amp; "", "")</f>
        <v/>
      </c>
      <c r="AJ263" s="44" t="str">
        <f>IFERROR(INDEX(입력!$W$2:$W$500, MATCH($BO263, 입력!$Z$2:$Z$500, 0)) &amp; "", "")</f>
        <v/>
      </c>
      <c r="AK263" s="44" t="str">
        <f>IFERROR(INDEX(입력!$X$2:$X$500, MATCH($BO263, 입력!$Z$2:$Z$500, 0)) &amp; "", "")</f>
        <v/>
      </c>
      <c r="AL263" s="2"/>
      <c r="AM263" s="17" t="s">
        <v>1650</v>
      </c>
      <c r="AN263" s="101">
        <v>2025</v>
      </c>
      <c r="AO263" s="17" t="s">
        <v>3275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3132</v>
      </c>
      <c r="AZ263" s="71" t="str">
        <f>IFERROR(IF(INDEX(입력!$C$2:$C$500, MATCH($BO263, 입력!$Z$2:$Z$500, 0))="", "", TEXT(INDEX(입력!$C$2:$C$500, MATCH($BO263, 입력!$Z$2:$Z$500, 0)), "yyyy-mm-dd")), "")</f>
        <v/>
      </c>
      <c r="BA263" s="44" t="str">
        <f>IFERROR(INDEX(입력!$B$2:$B$500, MATCH($BO263, 입력!$Z$2:$Z$500, 0)) &amp; "", "")</f>
        <v/>
      </c>
      <c r="BB263" s="83" t="str">
        <f>IFERROR(INDEX(입력!$Y$2:$Y$500, MATCH($BO263, 입력!$Z$2:$Z$500, 0)) &amp; "", "")</f>
        <v/>
      </c>
      <c r="BC263" s="83" t="s">
        <v>3112</v>
      </c>
      <c r="BD263" s="83"/>
      <c r="BE263" s="101"/>
      <c r="BF263" s="101"/>
      <c r="BG263" s="101"/>
      <c r="BH263" s="101"/>
      <c r="BI263" s="101"/>
      <c r="BJ263" s="101"/>
      <c r="BK263" s="110"/>
      <c r="BL263" s="21"/>
      <c r="BM263" s="22">
        <v>264</v>
      </c>
      <c r="BN263" s="23"/>
      <c r="BO263" s="47" t="s">
        <v>640</v>
      </c>
    </row>
    <row r="264" spans="1:67" x14ac:dyDescent="0.45">
      <c r="A264" s="46">
        <v>263</v>
      </c>
      <c r="B264" s="1" t="s">
        <v>1647</v>
      </c>
      <c r="C264" s="17" t="str">
        <f t="shared" si="35"/>
        <v>이행완료</v>
      </c>
      <c r="D264" s="17" t="str">
        <f t="shared" si="38"/>
        <v/>
      </c>
      <c r="E264" s="2" t="s">
        <v>1856</v>
      </c>
      <c r="F264" s="1" t="s">
        <v>255</v>
      </c>
      <c r="G264" s="11" t="s">
        <v>1304</v>
      </c>
      <c r="H264" s="18" t="s">
        <v>1133</v>
      </c>
      <c r="I264" s="19">
        <v>426</v>
      </c>
      <c r="J264" s="2"/>
      <c r="K264" s="20">
        <v>42913</v>
      </c>
      <c r="L264" s="20"/>
      <c r="M264" s="17" t="str">
        <f t="shared" si="36"/>
        <v>기축</v>
      </c>
      <c r="N264" s="21" t="s">
        <v>2397</v>
      </c>
      <c r="O264" s="21"/>
      <c r="P264" s="1">
        <f t="shared" si="32"/>
        <v>9</v>
      </c>
      <c r="Q264" s="1">
        <v>9</v>
      </c>
      <c r="R264" s="64" t="str">
        <f>IFERROR(INDEX(입력!$J$2:$J$500, MATCH($BO264, 입력!$Z$2:$Z$500, 0)) &amp; "", "")</f>
        <v/>
      </c>
      <c r="S264" s="64" t="str">
        <f>IFERROR(INDEX(입력!$K$2:$K$500, MATCH($BO264, 입력!$Z$2:$Z$500, 0)) &amp; "", "")</f>
        <v/>
      </c>
      <c r="T264" s="64">
        <f>MAX(0, 표1[[#This Row],[의무_면수]]-표1[[#This Row],[면수합]])</f>
        <v>0</v>
      </c>
      <c r="U264" s="44" t="str">
        <f t="shared" si="33"/>
        <v>이행완료</v>
      </c>
      <c r="V264" s="1">
        <f t="shared" si="37"/>
        <v>9</v>
      </c>
      <c r="W264" s="1" t="str">
        <f t="shared" si="34"/>
        <v/>
      </c>
      <c r="X264" s="1">
        <v>9</v>
      </c>
      <c r="Y264" s="64" t="str">
        <f>IFERROR(INDEX(입력!$M$2:$M$500, MATCH($BO264, 입력!$Z$2:$Z$500, 0)) &amp; "", "")</f>
        <v/>
      </c>
      <c r="Z264" s="64" t="str">
        <f>IFERROR(INDEX(입력!$N$2:$N$500, MATCH($BO264, 입력!$Z$2:$Z$500, 0)) &amp; "", "")</f>
        <v/>
      </c>
      <c r="AA264" s="64">
        <f>MAX(0, 표1[[#This Row],[의무_시설]]-표1[[#This Row],[시설합]])</f>
        <v>0</v>
      </c>
      <c r="AB264" s="17" t="str">
        <f t="shared" si="39"/>
        <v>이행완료</v>
      </c>
      <c r="AC264" s="64" t="str">
        <f>IFERROR(INDEX(입력!$P$2:$P$500, MATCH($BO264, 입력!$Z$2:$Z$500, 0)) &amp; "", "")</f>
        <v/>
      </c>
      <c r="AD264" s="64" t="str">
        <f>IFERROR(INDEX(입력!$Q$2:$Q$500, MATCH($BO264, 입력!$Z$2:$Z$500, 0)) &amp; "", "")</f>
        <v/>
      </c>
      <c r="AE264" s="64" t="str">
        <f>IFERROR(INDEX(입력!$R$2:$R$500, MATCH($BO264, 입력!$Z$2:$Z$500, 0)) &amp; "", "")</f>
        <v/>
      </c>
      <c r="AF264" s="64" t="str">
        <f>IFERROR(INDEX(입력!$S$2:$S$500, MATCH($BO264, 입력!$Z$2:$Z$500, 0)) &amp; "", "")</f>
        <v/>
      </c>
      <c r="AG264" s="64" t="str">
        <f>IFERROR(INDEX(입력!$T$2:$T$500, MATCH($BO264, 입력!$Z$2:$Z$500, 0)) &amp; "", "")</f>
        <v/>
      </c>
      <c r="AH264" s="64" t="str">
        <f>IFERROR(INDEX(입력!$U$2:$U$500, MATCH($BO264, 입력!$Z$2:$Z$500, 0)) &amp; "", "")</f>
        <v/>
      </c>
      <c r="AI264" s="64" t="str">
        <f>IFERROR(INDEX(입력!$V$2:$V$500, MATCH($BO264, 입력!$Z$2:$Z$500, 0)) &amp; "", "")</f>
        <v/>
      </c>
      <c r="AJ264" s="44" t="str">
        <f>IFERROR(INDEX(입력!$W$2:$W$500, MATCH($BO264, 입력!$Z$2:$Z$500, 0)) &amp; "", "")</f>
        <v/>
      </c>
      <c r="AK264" s="44" t="str">
        <f>IFERROR(INDEX(입력!$X$2:$X$500, MATCH($BO264, 입력!$Z$2:$Z$500, 0)) &amp; "", "")</f>
        <v/>
      </c>
      <c r="AL264" s="2"/>
      <c r="AM264" s="17" t="s">
        <v>1650</v>
      </c>
      <c r="AN264" s="101">
        <v>2025</v>
      </c>
      <c r="AO264" s="17" t="s">
        <v>3275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3137</v>
      </c>
      <c r="AZ264" s="71" t="str">
        <f>IFERROR(IF(INDEX(입력!$C$2:$C$500, MATCH($BO264, 입력!$Z$2:$Z$500, 0))="", "", TEXT(INDEX(입력!$C$2:$C$500, MATCH($BO264, 입력!$Z$2:$Z$500, 0)), "yyyy-mm-dd")), "")</f>
        <v/>
      </c>
      <c r="BA264" s="44" t="str">
        <f>IFERROR(INDEX(입력!$B$2:$B$500, MATCH($BO264, 입력!$Z$2:$Z$500, 0)) &amp; "", "")</f>
        <v/>
      </c>
      <c r="BB264" s="83" t="str">
        <f>IFERROR(INDEX(입력!$Y$2:$Y$500, MATCH($BO264, 입력!$Z$2:$Z$500, 0)) &amp; "", "")</f>
        <v/>
      </c>
      <c r="BC264" s="83" t="s">
        <v>3112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3855</v>
      </c>
      <c r="BI264" s="101"/>
      <c r="BJ264" s="101"/>
      <c r="BK264" s="110"/>
      <c r="BL264" s="21"/>
      <c r="BM264" s="22">
        <v>426</v>
      </c>
      <c r="BN264" s="23"/>
      <c r="BO264" s="47" t="s">
        <v>641</v>
      </c>
    </row>
    <row r="265" spans="1:67" x14ac:dyDescent="0.45">
      <c r="A265" s="19">
        <v>264</v>
      </c>
      <c r="B265" s="1" t="s">
        <v>1647</v>
      </c>
      <c r="C265" s="17" t="str">
        <f t="shared" si="35"/>
        <v>이행완료</v>
      </c>
      <c r="D265" s="17" t="str">
        <f t="shared" si="38"/>
        <v/>
      </c>
      <c r="E265" s="2" t="s">
        <v>1857</v>
      </c>
      <c r="F265" s="1" t="s">
        <v>642</v>
      </c>
      <c r="G265" s="11" t="s">
        <v>1858</v>
      </c>
      <c r="H265" s="18" t="s">
        <v>1133</v>
      </c>
      <c r="I265" s="19">
        <v>218</v>
      </c>
      <c r="J265" s="2"/>
      <c r="K265" s="20" t="s">
        <v>2495</v>
      </c>
      <c r="L265" s="20"/>
      <c r="M265" s="17" t="str">
        <f t="shared" si="36"/>
        <v>기축</v>
      </c>
      <c r="N265" s="21"/>
      <c r="O265" s="21"/>
      <c r="P265" s="1">
        <f t="shared" si="32"/>
        <v>4</v>
      </c>
      <c r="Q265" s="1">
        <v>5</v>
      </c>
      <c r="R265" s="64" t="str">
        <f>IFERROR(INDEX(입력!$J$2:$J$500, MATCH($BO265, 입력!$Z$2:$Z$500, 0)) &amp; "", "")</f>
        <v/>
      </c>
      <c r="S265" s="64" t="str">
        <f>IFERROR(INDEX(입력!$K$2:$K$500, MATCH($BO265, 입력!$Z$2:$Z$500, 0)) &amp; "", "")</f>
        <v/>
      </c>
      <c r="T265" s="64">
        <f>MAX(0, 표1[[#This Row],[의무_면수]]-표1[[#This Row],[면수합]])</f>
        <v>0</v>
      </c>
      <c r="U265" s="44" t="str">
        <f t="shared" si="33"/>
        <v>이행완료</v>
      </c>
      <c r="V265" s="1">
        <f t="shared" si="37"/>
        <v>4</v>
      </c>
      <c r="W265" s="1" t="str">
        <f t="shared" si="34"/>
        <v/>
      </c>
      <c r="X265" s="1">
        <v>5</v>
      </c>
      <c r="Y265" s="64" t="str">
        <f>IFERROR(INDEX(입력!$M$2:$M$500, MATCH($BO265, 입력!$Z$2:$Z$500, 0)) &amp; "", "")</f>
        <v/>
      </c>
      <c r="Z265" s="64" t="str">
        <f>IFERROR(INDEX(입력!$N$2:$N$500, MATCH($BO265, 입력!$Z$2:$Z$500, 0)) &amp; "", "")</f>
        <v/>
      </c>
      <c r="AA265" s="64">
        <f>MAX(0, 표1[[#This Row],[의무_시설]]-표1[[#This Row],[시설합]])</f>
        <v>0</v>
      </c>
      <c r="AB265" s="17" t="str">
        <f t="shared" si="39"/>
        <v>이행완료</v>
      </c>
      <c r="AC265" s="64" t="str">
        <f>IFERROR(INDEX(입력!$P$2:$P$500, MATCH($BO265, 입력!$Z$2:$Z$500, 0)) &amp; "", "")</f>
        <v/>
      </c>
      <c r="AD265" s="64" t="str">
        <f>IFERROR(INDEX(입력!$Q$2:$Q$500, MATCH($BO265, 입력!$Z$2:$Z$500, 0)) &amp; "", "")</f>
        <v/>
      </c>
      <c r="AE265" s="64" t="str">
        <f>IFERROR(INDEX(입력!$R$2:$R$500, MATCH($BO265, 입력!$Z$2:$Z$500, 0)) &amp; "", "")</f>
        <v/>
      </c>
      <c r="AF265" s="64" t="str">
        <f>IFERROR(INDEX(입력!$S$2:$S$500, MATCH($BO265, 입력!$Z$2:$Z$500, 0)) &amp; "", "")</f>
        <v/>
      </c>
      <c r="AG265" s="64" t="str">
        <f>IFERROR(INDEX(입력!$T$2:$T$500, MATCH($BO265, 입력!$Z$2:$Z$500, 0)) &amp; "", "")</f>
        <v/>
      </c>
      <c r="AH265" s="64" t="str">
        <f>IFERROR(INDEX(입력!$U$2:$U$500, MATCH($BO265, 입력!$Z$2:$Z$500, 0)) &amp; "", "")</f>
        <v/>
      </c>
      <c r="AI265" s="64" t="str">
        <f>IFERROR(INDEX(입력!$V$2:$V$500, MATCH($BO265, 입력!$Z$2:$Z$500, 0)) &amp; "", "")</f>
        <v/>
      </c>
      <c r="AJ265" s="44" t="str">
        <f>IFERROR(INDEX(입력!$W$2:$W$500, MATCH($BO265, 입력!$Z$2:$Z$500, 0)) &amp; "", "")</f>
        <v/>
      </c>
      <c r="AK265" s="44" t="str">
        <f>IFERROR(INDEX(입력!$X$2:$X$500, MATCH($BO265, 입력!$Z$2:$Z$500, 0)) &amp; "", "")</f>
        <v/>
      </c>
      <c r="AL265" s="2"/>
      <c r="AM265" s="17" t="s">
        <v>1650</v>
      </c>
      <c r="AN265" s="101">
        <v>2025</v>
      </c>
      <c r="AO265" s="17" t="s">
        <v>3275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3137</v>
      </c>
      <c r="AZ265" s="71" t="str">
        <f>IFERROR(IF(INDEX(입력!$C$2:$C$500, MATCH($BO265, 입력!$Z$2:$Z$500, 0))="", "", TEXT(INDEX(입력!$C$2:$C$500, MATCH($BO265, 입력!$Z$2:$Z$500, 0)), "yyyy-mm-dd")), "")</f>
        <v/>
      </c>
      <c r="BA265" s="44" t="str">
        <f>IFERROR(INDEX(입력!$B$2:$B$500, MATCH($BO265, 입력!$Z$2:$Z$500, 0)) &amp; "", "")</f>
        <v/>
      </c>
      <c r="BB265" s="83" t="str">
        <f>IFERROR(INDEX(입력!$Y$2:$Y$500, MATCH($BO265, 입력!$Z$2:$Z$500, 0)) &amp; "", "")</f>
        <v/>
      </c>
      <c r="BC265" s="83" t="s">
        <v>3112</v>
      </c>
      <c r="BD265" s="83"/>
      <c r="BE265" s="101"/>
      <c r="BF265" s="101"/>
      <c r="BG265" s="101"/>
      <c r="BH265" s="101"/>
      <c r="BI265" s="101"/>
      <c r="BJ265" s="101"/>
      <c r="BK265" s="110"/>
      <c r="BL265" s="21"/>
      <c r="BM265" s="22">
        <v>218</v>
      </c>
      <c r="BN265" s="23"/>
      <c r="BO265" s="47" t="s">
        <v>643</v>
      </c>
    </row>
    <row r="266" spans="1:67" x14ac:dyDescent="0.45">
      <c r="A266" s="46">
        <v>265</v>
      </c>
      <c r="B266" s="1" t="s">
        <v>1647</v>
      </c>
      <c r="C266" s="17" t="str">
        <f t="shared" si="35"/>
        <v>이행완료</v>
      </c>
      <c r="D266" s="17" t="str">
        <f t="shared" si="38"/>
        <v/>
      </c>
      <c r="E266" s="2" t="s">
        <v>1859</v>
      </c>
      <c r="F266" s="1" t="s">
        <v>644</v>
      </c>
      <c r="G266" s="11" t="s">
        <v>1860</v>
      </c>
      <c r="H266" s="18" t="s">
        <v>1133</v>
      </c>
      <c r="I266" s="19">
        <v>60</v>
      </c>
      <c r="J266" s="2"/>
      <c r="K266" s="20" t="s">
        <v>2479</v>
      </c>
      <c r="L266" s="20"/>
      <c r="M266" s="17" t="str">
        <f t="shared" si="36"/>
        <v>기축</v>
      </c>
      <c r="N266" s="21"/>
      <c r="O266" s="21"/>
      <c r="P266" s="1">
        <f t="shared" si="32"/>
        <v>1</v>
      </c>
      <c r="Q266" s="1">
        <v>1</v>
      </c>
      <c r="R266" s="64" t="str">
        <f>IFERROR(INDEX(입력!$J$2:$J$500, MATCH($BO266, 입력!$Z$2:$Z$500, 0)) &amp; "", "")</f>
        <v/>
      </c>
      <c r="S266" s="64" t="str">
        <f>IFERROR(INDEX(입력!$K$2:$K$500, MATCH($BO266, 입력!$Z$2:$Z$500, 0)) &amp; "", "")</f>
        <v/>
      </c>
      <c r="T266" s="64">
        <f>MAX(0, 표1[[#This Row],[의무_면수]]-표1[[#This Row],[면수합]])</f>
        <v>0</v>
      </c>
      <c r="U266" s="44" t="str">
        <f t="shared" si="33"/>
        <v>이행완료</v>
      </c>
      <c r="V266" s="1">
        <f t="shared" si="37"/>
        <v>1</v>
      </c>
      <c r="W266" s="1" t="str">
        <f t="shared" si="34"/>
        <v/>
      </c>
      <c r="X266" s="1">
        <v>4</v>
      </c>
      <c r="Y266" s="64" t="str">
        <f>IFERROR(INDEX(입력!$M$2:$M$500, MATCH($BO266, 입력!$Z$2:$Z$500, 0)) &amp; "", "")</f>
        <v/>
      </c>
      <c r="Z266" s="64" t="str">
        <f>IFERROR(INDEX(입력!$N$2:$N$500, MATCH($BO266, 입력!$Z$2:$Z$500, 0)) &amp; "", "")</f>
        <v/>
      </c>
      <c r="AA266" s="64">
        <f>MAX(0, 표1[[#This Row],[의무_시설]]-표1[[#This Row],[시설합]])</f>
        <v>0</v>
      </c>
      <c r="AB266" s="17" t="str">
        <f t="shared" si="39"/>
        <v>이행완료</v>
      </c>
      <c r="AC266" s="64" t="str">
        <f>IFERROR(INDEX(입력!$P$2:$P$500, MATCH($BO266, 입력!$Z$2:$Z$500, 0)) &amp; "", "")</f>
        <v/>
      </c>
      <c r="AD266" s="64" t="str">
        <f>IFERROR(INDEX(입력!$Q$2:$Q$500, MATCH($BO266, 입력!$Z$2:$Z$500, 0)) &amp; "", "")</f>
        <v/>
      </c>
      <c r="AE266" s="64" t="str">
        <f>IFERROR(INDEX(입력!$R$2:$R$500, MATCH($BO266, 입력!$Z$2:$Z$500, 0)) &amp; "", "")</f>
        <v/>
      </c>
      <c r="AF266" s="64" t="str">
        <f>IFERROR(INDEX(입력!$S$2:$S$500, MATCH($BO266, 입력!$Z$2:$Z$500, 0)) &amp; "", "")</f>
        <v/>
      </c>
      <c r="AG266" s="64" t="str">
        <f>IFERROR(INDEX(입력!$T$2:$T$500, MATCH($BO266, 입력!$Z$2:$Z$500, 0)) &amp; "", "")</f>
        <v/>
      </c>
      <c r="AH266" s="64" t="str">
        <f>IFERROR(INDEX(입력!$U$2:$U$500, MATCH($BO266, 입력!$Z$2:$Z$500, 0)) &amp; "", "")</f>
        <v/>
      </c>
      <c r="AI266" s="64" t="str">
        <f>IFERROR(INDEX(입력!$V$2:$V$500, MATCH($BO266, 입력!$Z$2:$Z$500, 0)) &amp; "", "")</f>
        <v/>
      </c>
      <c r="AJ266" s="44" t="str">
        <f>IFERROR(INDEX(입력!$W$2:$W$500, MATCH($BO266, 입력!$Z$2:$Z$500, 0)) &amp; "", "")</f>
        <v/>
      </c>
      <c r="AK266" s="44" t="str">
        <f>IFERROR(INDEX(입력!$X$2:$X$500, MATCH($BO266, 입력!$Z$2:$Z$500, 0)) &amp; "", "")</f>
        <v/>
      </c>
      <c r="AL266" s="2"/>
      <c r="AM266" s="17" t="s">
        <v>1650</v>
      </c>
      <c r="AN266" s="101">
        <v>2025</v>
      </c>
      <c r="AO266" s="17" t="s">
        <v>3274</v>
      </c>
      <c r="AP266" s="118"/>
      <c r="AQ266" s="21"/>
      <c r="AR266" s="119" t="s">
        <v>1861</v>
      </c>
      <c r="AS266" s="101"/>
      <c r="AT266" s="101"/>
      <c r="AU266" s="101"/>
      <c r="AV266" s="101"/>
      <c r="AW266" s="101"/>
      <c r="AX266" s="101"/>
      <c r="AY266" s="83" t="s">
        <v>3132</v>
      </c>
      <c r="AZ266" s="71" t="str">
        <f>IFERROR(IF(INDEX(입력!$C$2:$C$500, MATCH($BO266, 입력!$Z$2:$Z$500, 0))="", "", TEXT(INDEX(입력!$C$2:$C$500, MATCH($BO266, 입력!$Z$2:$Z$500, 0)), "yyyy-mm-dd")), "")</f>
        <v/>
      </c>
      <c r="BA266" s="44" t="str">
        <f>IFERROR(INDEX(입력!$B$2:$B$500, MATCH($BO266, 입력!$Z$2:$Z$500, 0)) &amp; "", "")</f>
        <v/>
      </c>
      <c r="BB266" s="83" t="str">
        <f>IFERROR(INDEX(입력!$Y$2:$Y$500, MATCH($BO266, 입력!$Z$2:$Z$500, 0)) &amp; "", "")</f>
        <v/>
      </c>
      <c r="BC266" s="83" t="s">
        <v>3112</v>
      </c>
      <c r="BD266" s="83"/>
      <c r="BE266" s="101"/>
      <c r="BF266" s="101"/>
      <c r="BG266" s="101"/>
      <c r="BH266" s="101"/>
      <c r="BI266" s="101"/>
      <c r="BJ266" s="101"/>
      <c r="BK266" s="110"/>
      <c r="BL266" s="21"/>
      <c r="BM266" s="22">
        <v>60</v>
      </c>
      <c r="BN266" s="23"/>
      <c r="BO266" s="47" t="s">
        <v>645</v>
      </c>
    </row>
    <row r="267" spans="1:67" x14ac:dyDescent="0.45">
      <c r="A267" s="19">
        <v>266</v>
      </c>
      <c r="B267" s="1" t="s">
        <v>1647</v>
      </c>
      <c r="C267" s="17" t="str">
        <f t="shared" si="35"/>
        <v>이행완료</v>
      </c>
      <c r="D267" s="17" t="str">
        <f t="shared" si="38"/>
        <v/>
      </c>
      <c r="E267" s="2" t="s">
        <v>1862</v>
      </c>
      <c r="F267" s="1" t="s">
        <v>646</v>
      </c>
      <c r="G267" s="11" t="s">
        <v>1863</v>
      </c>
      <c r="H267" s="18" t="s">
        <v>1172</v>
      </c>
      <c r="I267" s="19">
        <v>694</v>
      </c>
      <c r="J267" s="2"/>
      <c r="K267" s="20" t="s">
        <v>2597</v>
      </c>
      <c r="L267" s="20"/>
      <c r="M267" s="17" t="str">
        <f t="shared" si="36"/>
        <v>기축</v>
      </c>
      <c r="N267" s="21"/>
      <c r="O267" s="21"/>
      <c r="P267" s="1">
        <f t="shared" si="32"/>
        <v>14</v>
      </c>
      <c r="Q267" s="1">
        <v>15</v>
      </c>
      <c r="R267" s="64" t="str">
        <f>IFERROR(INDEX(입력!$J$2:$J$500, MATCH($BO267, 입력!$Z$2:$Z$500, 0)) &amp; "", "")</f>
        <v/>
      </c>
      <c r="S267" s="64" t="str">
        <f>IFERROR(INDEX(입력!$K$2:$K$500, MATCH($BO267, 입력!$Z$2:$Z$500, 0)) &amp; "", "")</f>
        <v/>
      </c>
      <c r="T267" s="64">
        <f>MAX(0, 표1[[#This Row],[의무_면수]]-표1[[#This Row],[면수합]])</f>
        <v>0</v>
      </c>
      <c r="U267" s="44" t="str">
        <f t="shared" si="33"/>
        <v>이행완료</v>
      </c>
      <c r="V267" s="1">
        <f t="shared" si="37"/>
        <v>14</v>
      </c>
      <c r="W267" s="1" t="str">
        <f t="shared" si="34"/>
        <v/>
      </c>
      <c r="X267" s="1">
        <v>15</v>
      </c>
      <c r="Y267" s="64" t="str">
        <f>IFERROR(INDEX(입력!$M$2:$M$500, MATCH($BO267, 입력!$Z$2:$Z$500, 0)) &amp; "", "")</f>
        <v/>
      </c>
      <c r="Z267" s="64" t="str">
        <f>IFERROR(INDEX(입력!$N$2:$N$500, MATCH($BO267, 입력!$Z$2:$Z$500, 0)) &amp; "", "")</f>
        <v/>
      </c>
      <c r="AA267" s="64">
        <f>MAX(0, 표1[[#This Row],[의무_시설]]-표1[[#This Row],[시설합]])</f>
        <v>0</v>
      </c>
      <c r="AB267" s="17" t="str">
        <f t="shared" si="39"/>
        <v>이행완료</v>
      </c>
      <c r="AC267" s="64" t="str">
        <f>IFERROR(INDEX(입력!$P$2:$P$500, MATCH($BO267, 입력!$Z$2:$Z$500, 0)) &amp; "", "")</f>
        <v/>
      </c>
      <c r="AD267" s="64" t="str">
        <f>IFERROR(INDEX(입력!$Q$2:$Q$500, MATCH($BO267, 입력!$Z$2:$Z$500, 0)) &amp; "", "")</f>
        <v/>
      </c>
      <c r="AE267" s="64" t="str">
        <f>IFERROR(INDEX(입력!$R$2:$R$500, MATCH($BO267, 입력!$Z$2:$Z$500, 0)) &amp; "", "")</f>
        <v/>
      </c>
      <c r="AF267" s="64" t="str">
        <f>IFERROR(INDEX(입력!$S$2:$S$500, MATCH($BO267, 입력!$Z$2:$Z$500, 0)) &amp; "", "")</f>
        <v/>
      </c>
      <c r="AG267" s="64" t="str">
        <f>IFERROR(INDEX(입력!$T$2:$T$500, MATCH($BO267, 입력!$Z$2:$Z$500, 0)) &amp; "", "")</f>
        <v/>
      </c>
      <c r="AH267" s="64" t="str">
        <f>IFERROR(INDEX(입력!$U$2:$U$500, MATCH($BO267, 입력!$Z$2:$Z$500, 0)) &amp; "", "")</f>
        <v/>
      </c>
      <c r="AI267" s="64" t="str">
        <f>IFERROR(INDEX(입력!$V$2:$V$500, MATCH($BO267, 입력!$Z$2:$Z$500, 0)) &amp; "", "")</f>
        <v/>
      </c>
      <c r="AJ267" s="44" t="str">
        <f>IFERROR(INDEX(입력!$W$2:$W$500, MATCH($BO267, 입력!$Z$2:$Z$500, 0)) &amp; "", "")</f>
        <v/>
      </c>
      <c r="AK267" s="44" t="str">
        <f>IFERROR(INDEX(입력!$X$2:$X$500, MATCH($BO267, 입력!$Z$2:$Z$500, 0)) &amp; "", "")</f>
        <v/>
      </c>
      <c r="AL267" s="2"/>
      <c r="AM267" s="17" t="s">
        <v>1650</v>
      </c>
      <c r="AN267" s="101">
        <v>2025</v>
      </c>
      <c r="AO267" s="17" t="s">
        <v>3274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3132</v>
      </c>
      <c r="AZ267" s="71" t="str">
        <f>IFERROR(IF(INDEX(입력!$C$2:$C$500, MATCH($BO267, 입력!$Z$2:$Z$500, 0))="", "", TEXT(INDEX(입력!$C$2:$C$500, MATCH($BO267, 입력!$Z$2:$Z$500, 0)), "yyyy-mm-dd")), "")</f>
        <v/>
      </c>
      <c r="BA267" s="44" t="str">
        <f>IFERROR(INDEX(입력!$B$2:$B$500, MATCH($BO267, 입력!$Z$2:$Z$500, 0)) &amp; "", "")</f>
        <v/>
      </c>
      <c r="BB267" s="83" t="str">
        <f>IFERROR(INDEX(입력!$Y$2:$Y$500, MATCH($BO267, 입력!$Z$2:$Z$500, 0)) &amp; "", "")</f>
        <v/>
      </c>
      <c r="BC267" s="83" t="s">
        <v>3112</v>
      </c>
      <c r="BD267" s="83"/>
      <c r="BE267" s="101"/>
      <c r="BF267" s="101"/>
      <c r="BG267" s="101"/>
      <c r="BH267" s="101"/>
      <c r="BI267" s="101"/>
      <c r="BJ267" s="101"/>
      <c r="BK267" s="110"/>
      <c r="BL267" s="21"/>
      <c r="BM267" s="22">
        <v>773</v>
      </c>
      <c r="BN267" s="23"/>
      <c r="BO267" s="47" t="s">
        <v>647</v>
      </c>
    </row>
    <row r="268" spans="1:67" x14ac:dyDescent="0.45">
      <c r="A268" s="46">
        <v>267</v>
      </c>
      <c r="B268" s="1" t="s">
        <v>1647</v>
      </c>
      <c r="C268" s="17" t="str">
        <f t="shared" si="35"/>
        <v>이행완료</v>
      </c>
      <c r="D268" s="17" t="str">
        <f t="shared" si="38"/>
        <v/>
      </c>
      <c r="E268" s="2" t="s">
        <v>1864</v>
      </c>
      <c r="F268" s="1" t="s">
        <v>648</v>
      </c>
      <c r="G268" s="11" t="s">
        <v>1865</v>
      </c>
      <c r="H268" s="18" t="s">
        <v>1133</v>
      </c>
      <c r="I268" s="19">
        <v>366</v>
      </c>
      <c r="J268" s="2"/>
      <c r="K268" s="20" t="s">
        <v>2480</v>
      </c>
      <c r="L268" s="20"/>
      <c r="M268" s="17" t="str">
        <f t="shared" si="36"/>
        <v>기축</v>
      </c>
      <c r="N268" s="21" t="s">
        <v>2397</v>
      </c>
      <c r="O268" s="21"/>
      <c r="P268" s="1">
        <f t="shared" si="32"/>
        <v>7</v>
      </c>
      <c r="Q268" s="1">
        <v>15</v>
      </c>
      <c r="R268" s="64" t="str">
        <f>IFERROR(INDEX(입력!$J$2:$J$500, MATCH($BO268, 입력!$Z$2:$Z$500, 0)) &amp; "", "")</f>
        <v/>
      </c>
      <c r="S268" s="64" t="str">
        <f>IFERROR(INDEX(입력!$K$2:$K$500, MATCH($BO268, 입력!$Z$2:$Z$500, 0)) &amp; "", "")</f>
        <v/>
      </c>
      <c r="T268" s="64">
        <f>MAX(0, 표1[[#This Row],[의무_면수]]-표1[[#This Row],[면수합]])</f>
        <v>0</v>
      </c>
      <c r="U268" s="44" t="str">
        <f t="shared" si="33"/>
        <v>이행완료</v>
      </c>
      <c r="V268" s="1">
        <f t="shared" si="37"/>
        <v>7</v>
      </c>
      <c r="W268" s="1" t="str">
        <f t="shared" si="34"/>
        <v/>
      </c>
      <c r="X268" s="1">
        <v>15</v>
      </c>
      <c r="Y268" s="64" t="str">
        <f>IFERROR(INDEX(입력!$M$2:$M$500, MATCH($BO268, 입력!$Z$2:$Z$500, 0)) &amp; "", "")</f>
        <v/>
      </c>
      <c r="Z268" s="64" t="str">
        <f>IFERROR(INDEX(입력!$N$2:$N$500, MATCH($BO268, 입력!$Z$2:$Z$500, 0)) &amp; "", "")</f>
        <v/>
      </c>
      <c r="AA268" s="64">
        <f>MAX(0, 표1[[#This Row],[의무_시설]]-표1[[#This Row],[시설합]])</f>
        <v>0</v>
      </c>
      <c r="AB268" s="17" t="str">
        <f t="shared" si="39"/>
        <v>이행완료</v>
      </c>
      <c r="AC268" s="64" t="str">
        <f>IFERROR(INDEX(입력!$P$2:$P$500, MATCH($BO268, 입력!$Z$2:$Z$500, 0)) &amp; "", "")</f>
        <v/>
      </c>
      <c r="AD268" s="64" t="str">
        <f>IFERROR(INDEX(입력!$Q$2:$Q$500, MATCH($BO268, 입력!$Z$2:$Z$500, 0)) &amp; "", "")</f>
        <v/>
      </c>
      <c r="AE268" s="64" t="str">
        <f>IFERROR(INDEX(입력!$R$2:$R$500, MATCH($BO268, 입력!$Z$2:$Z$500, 0)) &amp; "", "")</f>
        <v/>
      </c>
      <c r="AF268" s="64" t="str">
        <f>IFERROR(INDEX(입력!$S$2:$S$500, MATCH($BO268, 입력!$Z$2:$Z$500, 0)) &amp; "", "")</f>
        <v/>
      </c>
      <c r="AG268" s="64" t="str">
        <f>IFERROR(INDEX(입력!$T$2:$T$500, MATCH($BO268, 입력!$Z$2:$Z$500, 0)) &amp; "", "")</f>
        <v/>
      </c>
      <c r="AH268" s="64" t="str">
        <f>IFERROR(INDEX(입력!$U$2:$U$500, MATCH($BO268, 입력!$Z$2:$Z$500, 0)) &amp; "", "")</f>
        <v/>
      </c>
      <c r="AI268" s="64" t="str">
        <f>IFERROR(INDEX(입력!$V$2:$V$500, MATCH($BO268, 입력!$Z$2:$Z$500, 0)) &amp; "", "")</f>
        <v/>
      </c>
      <c r="AJ268" s="44" t="str">
        <f>IFERROR(INDEX(입력!$W$2:$W$500, MATCH($BO268, 입력!$Z$2:$Z$500, 0)) &amp; "", "")</f>
        <v/>
      </c>
      <c r="AK268" s="44" t="str">
        <f>IFERROR(INDEX(입력!$X$2:$X$500, MATCH($BO268, 입력!$Z$2:$Z$500, 0)) &amp; "", "")</f>
        <v/>
      </c>
      <c r="AL268" s="2"/>
      <c r="AM268" s="17" t="s">
        <v>1650</v>
      </c>
      <c r="AN268" s="101">
        <v>2025</v>
      </c>
      <c r="AO268" s="17" t="s">
        <v>3275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3131</v>
      </c>
      <c r="AZ268" s="71" t="str">
        <f>IFERROR(IF(INDEX(입력!$C$2:$C$500, MATCH($BO268, 입력!$Z$2:$Z$500, 0))="", "", TEXT(INDEX(입력!$C$2:$C$500, MATCH($BO268, 입력!$Z$2:$Z$500, 0)), "yyyy-mm-dd")), "")</f>
        <v/>
      </c>
      <c r="BA268" s="44" t="str">
        <f>IFERROR(INDEX(입력!$B$2:$B$500, MATCH($BO268, 입력!$Z$2:$Z$500, 0)) &amp; "", "")</f>
        <v/>
      </c>
      <c r="BB268" s="83" t="str">
        <f>IFERROR(INDEX(입력!$Y$2:$Y$500, MATCH($BO268, 입력!$Z$2:$Z$500, 0)) &amp; "", "")</f>
        <v/>
      </c>
      <c r="BC268" s="83" t="s">
        <v>3112</v>
      </c>
      <c r="BD268" s="83"/>
      <c r="BE268" s="101"/>
      <c r="BF268" s="101"/>
      <c r="BG268" s="101"/>
      <c r="BH268" s="101"/>
      <c r="BI268" s="101"/>
      <c r="BJ268" s="101"/>
      <c r="BK268" s="110"/>
      <c r="BL268" s="21"/>
      <c r="BM268" s="22">
        <v>366</v>
      </c>
      <c r="BN268" s="23"/>
      <c r="BO268" s="47" t="s">
        <v>649</v>
      </c>
    </row>
    <row r="269" spans="1:67" x14ac:dyDescent="0.45">
      <c r="A269" s="19">
        <v>268</v>
      </c>
      <c r="B269" s="1" t="s">
        <v>1647</v>
      </c>
      <c r="C269" s="17" t="str">
        <f t="shared" si="35"/>
        <v>이행완료</v>
      </c>
      <c r="D269" s="17" t="str">
        <f t="shared" si="38"/>
        <v/>
      </c>
      <c r="E269" s="2" t="s">
        <v>1866</v>
      </c>
      <c r="F269" s="1" t="s">
        <v>555</v>
      </c>
      <c r="G269" s="11" t="s">
        <v>1749</v>
      </c>
      <c r="H269" s="18" t="s">
        <v>1202</v>
      </c>
      <c r="I269" s="19">
        <v>1414</v>
      </c>
      <c r="J269" s="2"/>
      <c r="K269" s="20" t="s">
        <v>2452</v>
      </c>
      <c r="L269" s="20"/>
      <c r="M269" s="17" t="str">
        <f t="shared" si="36"/>
        <v>기축</v>
      </c>
      <c r="N269" s="21"/>
      <c r="O269" s="21"/>
      <c r="P269" s="1">
        <f t="shared" si="32"/>
        <v>28</v>
      </c>
      <c r="Q269" s="1">
        <v>42</v>
      </c>
      <c r="R269" s="64" t="str">
        <f>IFERROR(INDEX(입력!$J$2:$J$500, MATCH($BO269, 입력!$Z$2:$Z$500, 0)) &amp; "", "")</f>
        <v/>
      </c>
      <c r="S269" s="64" t="str">
        <f>IFERROR(INDEX(입력!$K$2:$K$500, MATCH($BO269, 입력!$Z$2:$Z$500, 0)) &amp; "", "")</f>
        <v/>
      </c>
      <c r="T269" s="64">
        <f>MAX(0, 표1[[#This Row],[의무_면수]]-표1[[#This Row],[면수합]])</f>
        <v>0</v>
      </c>
      <c r="U269" s="44" t="str">
        <f t="shared" si="33"/>
        <v>이행완료</v>
      </c>
      <c r="V269" s="1">
        <f t="shared" si="37"/>
        <v>28</v>
      </c>
      <c r="W269" s="1" t="str">
        <f t="shared" si="34"/>
        <v/>
      </c>
      <c r="X269" s="1">
        <v>42</v>
      </c>
      <c r="Y269" s="64" t="str">
        <f>IFERROR(INDEX(입력!$M$2:$M$500, MATCH($BO269, 입력!$Z$2:$Z$500, 0)) &amp; "", "")</f>
        <v/>
      </c>
      <c r="Z269" s="64" t="str">
        <f>IFERROR(INDEX(입력!$N$2:$N$500, MATCH($BO269, 입력!$Z$2:$Z$500, 0)) &amp; "", "")</f>
        <v/>
      </c>
      <c r="AA269" s="64">
        <f>MAX(0, 표1[[#This Row],[의무_시설]]-표1[[#This Row],[시설합]])</f>
        <v>0</v>
      </c>
      <c r="AB269" s="17" t="str">
        <f t="shared" si="39"/>
        <v>이행완료</v>
      </c>
      <c r="AC269" s="64" t="str">
        <f>IFERROR(INDEX(입력!$P$2:$P$500, MATCH($BO269, 입력!$Z$2:$Z$500, 0)) &amp; "", "")</f>
        <v/>
      </c>
      <c r="AD269" s="64" t="str">
        <f>IFERROR(INDEX(입력!$Q$2:$Q$500, MATCH($BO269, 입력!$Z$2:$Z$500, 0)) &amp; "", "")</f>
        <v/>
      </c>
      <c r="AE269" s="64" t="str">
        <f>IFERROR(INDEX(입력!$R$2:$R$500, MATCH($BO269, 입력!$Z$2:$Z$500, 0)) &amp; "", "")</f>
        <v/>
      </c>
      <c r="AF269" s="64" t="str">
        <f>IFERROR(INDEX(입력!$S$2:$S$500, MATCH($BO269, 입력!$Z$2:$Z$500, 0)) &amp; "", "")</f>
        <v/>
      </c>
      <c r="AG269" s="64" t="str">
        <f>IFERROR(INDEX(입력!$T$2:$T$500, MATCH($BO269, 입력!$Z$2:$Z$500, 0)) &amp; "", "")</f>
        <v/>
      </c>
      <c r="AH269" s="64" t="str">
        <f>IFERROR(INDEX(입력!$U$2:$U$500, MATCH($BO269, 입력!$Z$2:$Z$500, 0)) &amp; "", "")</f>
        <v/>
      </c>
      <c r="AI269" s="64" t="str">
        <f>IFERROR(INDEX(입력!$V$2:$V$500, MATCH($BO269, 입력!$Z$2:$Z$500, 0)) &amp; "", "")</f>
        <v/>
      </c>
      <c r="AJ269" s="44" t="str">
        <f>IFERROR(INDEX(입력!$W$2:$W$500, MATCH($BO269, 입력!$Z$2:$Z$500, 0)) &amp; "", "")</f>
        <v/>
      </c>
      <c r="AK269" s="44" t="str">
        <f>IFERROR(INDEX(입력!$X$2:$X$500, MATCH($BO269, 입력!$Z$2:$Z$500, 0)) &amp; "", "")</f>
        <v/>
      </c>
      <c r="AL269" s="2"/>
      <c r="AM269" s="17" t="s">
        <v>1650</v>
      </c>
      <c r="AN269" s="101">
        <v>2025</v>
      </c>
      <c r="AO269" s="17" t="s">
        <v>3274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3131</v>
      </c>
      <c r="AZ269" s="71" t="str">
        <f>IFERROR(IF(INDEX(입력!$C$2:$C$500, MATCH($BO269, 입력!$Z$2:$Z$500, 0))="", "", TEXT(INDEX(입력!$C$2:$C$500, MATCH($BO269, 입력!$Z$2:$Z$500, 0)), "yyyy-mm-dd")), "")</f>
        <v/>
      </c>
      <c r="BA269" s="44" t="str">
        <f>IFERROR(INDEX(입력!$B$2:$B$500, MATCH($BO269, 입력!$Z$2:$Z$500, 0)) &amp; "", "")</f>
        <v/>
      </c>
      <c r="BB269" s="83" t="str">
        <f>IFERROR(INDEX(입력!$Y$2:$Y$500, MATCH($BO269, 입력!$Z$2:$Z$500, 0)) &amp; "", "")</f>
        <v/>
      </c>
      <c r="BC269" s="83" t="s">
        <v>3112</v>
      </c>
      <c r="BD269" s="83"/>
      <c r="BE269" s="101"/>
      <c r="BF269" s="101"/>
      <c r="BG269" s="101"/>
      <c r="BH269" s="101"/>
      <c r="BI269" s="101"/>
      <c r="BJ269" s="101"/>
      <c r="BK269" s="110"/>
      <c r="BL269" s="21"/>
      <c r="BM269" s="22">
        <v>1342</v>
      </c>
      <c r="BN269" s="23"/>
      <c r="BO269" s="47" t="s">
        <v>650</v>
      </c>
    </row>
    <row r="270" spans="1:67" x14ac:dyDescent="0.45">
      <c r="A270" s="46">
        <v>269</v>
      </c>
      <c r="B270" s="1" t="s">
        <v>1647</v>
      </c>
      <c r="C270" s="17" t="str">
        <f t="shared" si="35"/>
        <v>이행완료</v>
      </c>
      <c r="D270" s="17" t="str">
        <f t="shared" si="38"/>
        <v/>
      </c>
      <c r="E270" s="2" t="s">
        <v>1867</v>
      </c>
      <c r="F270" s="1" t="s">
        <v>651</v>
      </c>
      <c r="G270" s="11" t="s">
        <v>1868</v>
      </c>
      <c r="H270" s="18" t="s">
        <v>1172</v>
      </c>
      <c r="I270" s="19">
        <v>537</v>
      </c>
      <c r="J270" s="2"/>
      <c r="K270" s="20" t="s">
        <v>2481</v>
      </c>
      <c r="L270" s="20"/>
      <c r="M270" s="17" t="str">
        <f t="shared" si="36"/>
        <v>기축</v>
      </c>
      <c r="N270" s="21"/>
      <c r="O270" s="21"/>
      <c r="P270" s="1">
        <f t="shared" si="32"/>
        <v>11</v>
      </c>
      <c r="Q270" s="1">
        <v>27</v>
      </c>
      <c r="R270" s="64" t="str">
        <f>IFERROR(INDEX(입력!$J$2:$J$500, MATCH($BO270, 입력!$Z$2:$Z$500, 0)) &amp; "", "")</f>
        <v/>
      </c>
      <c r="S270" s="64" t="str">
        <f>IFERROR(INDEX(입력!$K$2:$K$500, MATCH($BO270, 입력!$Z$2:$Z$500, 0)) &amp; "", "")</f>
        <v/>
      </c>
      <c r="T270" s="64">
        <f>MAX(0, 표1[[#This Row],[의무_면수]]-표1[[#This Row],[면수합]])</f>
        <v>0</v>
      </c>
      <c r="U270" s="44" t="str">
        <f t="shared" si="33"/>
        <v>이행완료</v>
      </c>
      <c r="V270" s="1">
        <f t="shared" si="37"/>
        <v>11</v>
      </c>
      <c r="W270" s="1" t="str">
        <f t="shared" si="34"/>
        <v/>
      </c>
      <c r="X270" s="1">
        <v>27</v>
      </c>
      <c r="Y270" s="64" t="str">
        <f>IFERROR(INDEX(입력!$M$2:$M$500, MATCH($BO270, 입력!$Z$2:$Z$500, 0)) &amp; "", "")</f>
        <v/>
      </c>
      <c r="Z270" s="64" t="str">
        <f>IFERROR(INDEX(입력!$N$2:$N$500, MATCH($BO270, 입력!$Z$2:$Z$500, 0)) &amp; "", "")</f>
        <v/>
      </c>
      <c r="AA270" s="64">
        <f>MAX(0, 표1[[#This Row],[의무_시설]]-표1[[#This Row],[시설합]])</f>
        <v>0</v>
      </c>
      <c r="AB270" s="17" t="str">
        <f t="shared" si="39"/>
        <v>이행완료</v>
      </c>
      <c r="AC270" s="64" t="str">
        <f>IFERROR(INDEX(입력!$P$2:$P$500, MATCH($BO270, 입력!$Z$2:$Z$500, 0)) &amp; "", "")</f>
        <v/>
      </c>
      <c r="AD270" s="64" t="str">
        <f>IFERROR(INDEX(입력!$Q$2:$Q$500, MATCH($BO270, 입력!$Z$2:$Z$500, 0)) &amp; "", "")</f>
        <v/>
      </c>
      <c r="AE270" s="64" t="str">
        <f>IFERROR(INDEX(입력!$R$2:$R$500, MATCH($BO270, 입력!$Z$2:$Z$500, 0)) &amp; "", "")</f>
        <v/>
      </c>
      <c r="AF270" s="64" t="str">
        <f>IFERROR(INDEX(입력!$S$2:$S$500, MATCH($BO270, 입력!$Z$2:$Z$500, 0)) &amp; "", "")</f>
        <v/>
      </c>
      <c r="AG270" s="64" t="str">
        <f>IFERROR(INDEX(입력!$T$2:$T$500, MATCH($BO270, 입력!$Z$2:$Z$500, 0)) &amp; "", "")</f>
        <v/>
      </c>
      <c r="AH270" s="64" t="str">
        <f>IFERROR(INDEX(입력!$U$2:$U$500, MATCH($BO270, 입력!$Z$2:$Z$500, 0)) &amp; "", "")</f>
        <v/>
      </c>
      <c r="AI270" s="64" t="str">
        <f>IFERROR(INDEX(입력!$V$2:$V$500, MATCH($BO270, 입력!$Z$2:$Z$500, 0)) &amp; "", "")</f>
        <v/>
      </c>
      <c r="AJ270" s="44" t="str">
        <f>IFERROR(INDEX(입력!$W$2:$W$500, MATCH($BO270, 입력!$Z$2:$Z$500, 0)) &amp; "", "")</f>
        <v/>
      </c>
      <c r="AK270" s="44" t="str">
        <f>IFERROR(INDEX(입력!$X$2:$X$500, MATCH($BO270, 입력!$Z$2:$Z$500, 0)) &amp; "", "")</f>
        <v/>
      </c>
      <c r="AL270" s="2"/>
      <c r="AM270" s="17" t="s">
        <v>1650</v>
      </c>
      <c r="AN270" s="101">
        <v>2025</v>
      </c>
      <c r="AO270" s="17" t="s">
        <v>3275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3131</v>
      </c>
      <c r="AZ270" s="71" t="str">
        <f>IFERROR(IF(INDEX(입력!$C$2:$C$500, MATCH($BO270, 입력!$Z$2:$Z$500, 0))="", "", TEXT(INDEX(입력!$C$2:$C$500, MATCH($BO270, 입력!$Z$2:$Z$500, 0)), "yyyy-mm-dd")), "")</f>
        <v/>
      </c>
      <c r="BA270" s="44" t="str">
        <f>IFERROR(INDEX(입력!$B$2:$B$500, MATCH($BO270, 입력!$Z$2:$Z$500, 0)) &amp; "", "")</f>
        <v/>
      </c>
      <c r="BB270" s="83" t="str">
        <f>IFERROR(INDEX(입력!$Y$2:$Y$500, MATCH($BO270, 입력!$Z$2:$Z$500, 0)) &amp; "", "")</f>
        <v/>
      </c>
      <c r="BC270" s="83" t="s">
        <v>3112</v>
      </c>
      <c r="BD270" s="83"/>
      <c r="BE270" s="101"/>
      <c r="BF270" s="101"/>
      <c r="BG270" s="101"/>
      <c r="BH270" s="101"/>
      <c r="BI270" s="101"/>
      <c r="BJ270" s="101"/>
      <c r="BK270" s="110"/>
      <c r="BL270" s="21"/>
      <c r="BM270" s="22">
        <v>534</v>
      </c>
      <c r="BN270" s="23"/>
      <c r="BO270" s="47" t="s">
        <v>652</v>
      </c>
    </row>
    <row r="271" spans="1:67" x14ac:dyDescent="0.45">
      <c r="A271" s="19">
        <v>270</v>
      </c>
      <c r="B271" s="1" t="s">
        <v>1647</v>
      </c>
      <c r="C271" s="17" t="str">
        <f t="shared" si="35"/>
        <v>이행완료</v>
      </c>
      <c r="D271" s="17" t="str">
        <f t="shared" si="38"/>
        <v>조사완료</v>
      </c>
      <c r="E271" s="2" t="s">
        <v>1869</v>
      </c>
      <c r="F271" s="1" t="s">
        <v>653</v>
      </c>
      <c r="G271" s="11" t="s">
        <v>1870</v>
      </c>
      <c r="H271" s="18" t="s">
        <v>1172</v>
      </c>
      <c r="I271" s="19">
        <v>696</v>
      </c>
      <c r="J271" s="2"/>
      <c r="K271" s="20" t="s">
        <v>2482</v>
      </c>
      <c r="L271" s="20"/>
      <c r="M271" s="17" t="str">
        <f t="shared" si="36"/>
        <v>기축</v>
      </c>
      <c r="N271" s="21"/>
      <c r="O271" s="21"/>
      <c r="P271" s="1">
        <f t="shared" si="32"/>
        <v>14</v>
      </c>
      <c r="Q271" s="1">
        <v>14</v>
      </c>
      <c r="R271" s="64" t="str">
        <f>IFERROR(INDEX(입력!$J$2:$J$500, MATCH($BO271, 입력!$Z$2:$Z$500, 0)) &amp; "", "")</f>
        <v>7</v>
      </c>
      <c r="S271" s="64" t="str">
        <f>IFERROR(INDEX(입력!$K$2:$K$500, MATCH($BO271, 입력!$Z$2:$Z$500, 0)) &amp; "", "")</f>
        <v>7</v>
      </c>
      <c r="T271" s="64">
        <f>MAX(0, 표1[[#This Row],[의무_면수]]-표1[[#This Row],[면수합]])</f>
        <v>0</v>
      </c>
      <c r="U271" s="44" t="str">
        <f t="shared" si="33"/>
        <v>이행완료</v>
      </c>
      <c r="V271" s="1">
        <f t="shared" si="37"/>
        <v>14</v>
      </c>
      <c r="W271" s="1" t="str">
        <f t="shared" si="34"/>
        <v/>
      </c>
      <c r="X271" s="1">
        <v>14</v>
      </c>
      <c r="Y271" s="64" t="str">
        <f>IFERROR(INDEX(입력!$M$2:$M$500, MATCH($BO271, 입력!$Z$2:$Z$500, 0)) &amp; "", "")</f>
        <v>1</v>
      </c>
      <c r="Z271" s="64" t="str">
        <f>IFERROR(INDEX(입력!$N$2:$N$500, MATCH($BO271,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9"/>
        <v>이행완료</v>
      </c>
      <c r="AC271" s="64" t="str">
        <f>IFERROR(INDEX(입력!$P$2:$P$500, MATCH($BO271, 입력!$Z$2:$Z$500, 0)) &amp; "", "")</f>
        <v>586</v>
      </c>
      <c r="AD271" s="64" t="str">
        <f>IFERROR(INDEX(입력!$Q$2:$Q$500, MATCH($BO271, 입력!$Z$2:$Z$500, 0)) &amp; "", "")</f>
        <v>18</v>
      </c>
      <c r="AE271" s="64" t="str">
        <f>IFERROR(INDEX(입력!$R$2:$R$500, MATCH($BO271, 입력!$Z$2:$Z$500, 0)) &amp; "", "")</f>
        <v>여</v>
      </c>
      <c r="AF271" s="64" t="str">
        <f>IFERROR(INDEX(입력!$S$2:$S$500, MATCH($BO271, 입력!$Z$2:$Z$500, 0)) &amp; "", "")</f>
        <v>여</v>
      </c>
      <c r="AG271" s="64" t="str">
        <f>IFERROR(INDEX(입력!$T$2:$T$500, MATCH($BO271, 입력!$Z$2:$Z$500, 0)) &amp; "", "")</f>
        <v>부</v>
      </c>
      <c r="AH271" s="64" t="str">
        <f>IFERROR(INDEX(입력!$U$2:$U$500, MATCH($BO271, 입력!$Z$2:$Z$500, 0)) &amp; "", "")</f>
        <v/>
      </c>
      <c r="AI271" s="64" t="str">
        <f>IFERROR(INDEX(입력!$V$2:$V$500, MATCH($BO271, 입력!$Z$2:$Z$500, 0)) &amp; "", "")</f>
        <v>여</v>
      </c>
      <c r="AJ271" s="44" t="str">
        <f>IFERROR(INDEX(입력!$W$2:$W$500, MATCH($BO271, 입력!$Z$2:$Z$500, 0)) &amp; "", "")</f>
        <v>최정애</v>
      </c>
      <c r="AK271" s="44" t="str">
        <f>IFERROR(INDEX(입력!$X$2:$X$500, MATCH($BO271, 입력!$Z$2:$Z$500, 0)) &amp; "", "")</f>
        <v>971-0335</v>
      </c>
      <c r="AL271" s="2" t="s">
        <v>1871</v>
      </c>
      <c r="AM271" s="17" t="s">
        <v>1650</v>
      </c>
      <c r="AN271" s="101">
        <v>2025</v>
      </c>
      <c r="AO271" s="17" t="s">
        <v>3274</v>
      </c>
      <c r="AP271" s="118"/>
      <c r="AQ271" s="21"/>
      <c r="AR271" s="119"/>
      <c r="AS271" s="101" t="s">
        <v>3163</v>
      </c>
      <c r="AT271" s="109">
        <v>46034</v>
      </c>
      <c r="AU271" s="101" t="s">
        <v>3126</v>
      </c>
      <c r="AV271" s="21" t="s">
        <v>1726</v>
      </c>
      <c r="AW271" s="101"/>
      <c r="AX271" s="101"/>
      <c r="AY271" s="83" t="s">
        <v>3137</v>
      </c>
      <c r="AZ271" s="71" t="str">
        <f>IFERROR(IF(INDEX(입력!$C$2:$C$500, MATCH($BO271, 입력!$Z$2:$Z$500, 0))="", "", TEXT(INDEX(입력!$C$2:$C$500, MATCH($BO271, 입력!$Z$2:$Z$500, 0)), "yyyy-mm-dd")), "")</f>
        <v>2026-04-16</v>
      </c>
      <c r="BA271" s="44" t="str">
        <f>IFERROR(INDEX(입력!$B$2:$B$500, MATCH($BO271, 입력!$Z$2:$Z$500, 0)) &amp; "", "")</f>
        <v>정은진</v>
      </c>
      <c r="BB271" s="83" t="str">
        <f>IFERROR(INDEX(입력!$Y$2:$Y$500, MATCH($BO271, 입력!$Z$2:$Z$500, 0)) &amp; "", "")</f>
        <v/>
      </c>
      <c r="BC271" s="83" t="s">
        <v>3112</v>
      </c>
      <c r="BD271" s="83"/>
      <c r="BE271" s="101"/>
      <c r="BF271" s="101"/>
      <c r="BG271" s="101"/>
      <c r="BH271" s="101"/>
      <c r="BI271" s="101"/>
      <c r="BJ271" s="101"/>
      <c r="BK271" s="110"/>
      <c r="BL271" s="21"/>
      <c r="BM271" s="22">
        <v>696</v>
      </c>
      <c r="BN271" s="23"/>
      <c r="BO271" s="47" t="s">
        <v>654</v>
      </c>
    </row>
    <row r="272" spans="1:67" x14ac:dyDescent="0.45">
      <c r="A272" s="46">
        <v>271</v>
      </c>
      <c r="B272" s="1" t="s">
        <v>1647</v>
      </c>
      <c r="C272" s="17" t="str">
        <f t="shared" si="35"/>
        <v>이행완료</v>
      </c>
      <c r="D272" s="17" t="str">
        <f t="shared" si="38"/>
        <v>조사완료</v>
      </c>
      <c r="E272" s="2" t="s">
        <v>1872</v>
      </c>
      <c r="F272" s="1" t="s">
        <v>2574</v>
      </c>
      <c r="G272" s="11" t="s">
        <v>1873</v>
      </c>
      <c r="H272" s="18" t="s">
        <v>1621</v>
      </c>
      <c r="I272" s="19"/>
      <c r="J272" s="2">
        <v>500</v>
      </c>
      <c r="K272" s="20">
        <v>36039</v>
      </c>
      <c r="L272" s="20"/>
      <c r="M272" s="17" t="str">
        <f t="shared" si="36"/>
        <v>기축</v>
      </c>
      <c r="N272" s="21"/>
      <c r="O272" s="21"/>
      <c r="P272" s="1">
        <f t="shared" si="32"/>
        <v>10</v>
      </c>
      <c r="Q272" s="1">
        <v>11</v>
      </c>
      <c r="R272" s="64" t="str">
        <f>IFERROR(INDEX(입력!$J$2:$J$500, MATCH($BO272, 입력!$Z$2:$Z$500, 0)) &amp; "", "")</f>
        <v>11</v>
      </c>
      <c r="S272" s="64" t="str">
        <f>IFERROR(INDEX(입력!$K$2:$K$500, MATCH($BO272, 입력!$Z$2:$Z$500, 0)) &amp; "", "")</f>
        <v/>
      </c>
      <c r="T272" s="64">
        <f>MAX(0, 표1[[#This Row],[의무_면수]]-표1[[#This Row],[면수합]])</f>
        <v>0</v>
      </c>
      <c r="U272" s="44" t="str">
        <f t="shared" si="33"/>
        <v>이행완료</v>
      </c>
      <c r="V272" s="1">
        <f t="shared" si="37"/>
        <v>10</v>
      </c>
      <c r="W272" s="1" t="str">
        <f t="shared" si="34"/>
        <v/>
      </c>
      <c r="X272" s="1">
        <v>11</v>
      </c>
      <c r="Y272" s="64" t="str">
        <f>IFERROR(INDEX(입력!$M$2:$M$500, MATCH($BO272, 입력!$Z$2:$Z$500, 0)) &amp; "", "")</f>
        <v/>
      </c>
      <c r="Z272" s="64" t="str">
        <f>IFERROR(INDEX(입력!$N$2:$N$500, MATCH($BO272,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9"/>
        <v>이행완료</v>
      </c>
      <c r="AC272" s="64" t="str">
        <f>IFERROR(INDEX(입력!$P$2:$P$500, MATCH($BO272, 입력!$Z$2:$Z$500, 0)) &amp; "", "")</f>
        <v>778</v>
      </c>
      <c r="AD272" s="64" t="str">
        <f>IFERROR(INDEX(입력!$Q$2:$Q$500, MATCH($BO272, 입력!$Z$2:$Z$500, 0)) &amp; "", "")</f>
        <v>18</v>
      </c>
      <c r="AE272" s="64" t="str">
        <f>IFERROR(INDEX(입력!$R$2:$R$500, MATCH($BO272, 입력!$Z$2:$Z$500, 0)) &amp; "", "")</f>
        <v/>
      </c>
      <c r="AF272" s="64" t="str">
        <f>IFERROR(INDEX(입력!$S$2:$S$500, MATCH($BO272, 입력!$Z$2:$Z$500, 0)) &amp; "", "")</f>
        <v/>
      </c>
      <c r="AG272" s="64" t="str">
        <f>IFERROR(INDEX(입력!$T$2:$T$500, MATCH($BO272, 입력!$Z$2:$Z$500, 0)) &amp; "", "")</f>
        <v>여</v>
      </c>
      <c r="AH272" s="64" t="str">
        <f>IFERROR(INDEX(입력!$U$2:$U$500, MATCH($BO272, 입력!$Z$2:$Z$500, 0)) &amp; "", "")</f>
        <v>1</v>
      </c>
      <c r="AI272" s="64" t="str">
        <f>IFERROR(INDEX(입력!$V$2:$V$500, MATCH($BO272, 입력!$Z$2:$Z$500, 0)) &amp; "", "")</f>
        <v>여</v>
      </c>
      <c r="AJ272" s="44" t="str">
        <f>IFERROR(INDEX(입력!$W$2:$W$500, MATCH($BO272, 입력!$Z$2:$Z$500, 0)) &amp; "", "")</f>
        <v>김화자</v>
      </c>
      <c r="AK272" s="44" t="str">
        <f>IFERROR(INDEX(입력!$X$2:$X$500, MATCH($BO272, 입력!$Z$2:$Z$500, 0)) &amp; "", "")</f>
        <v>010-9850-3483</v>
      </c>
      <c r="AL272" s="2" t="s">
        <v>69</v>
      </c>
      <c r="AM272" s="17" t="s">
        <v>1650</v>
      </c>
      <c r="AN272" s="101">
        <v>2025</v>
      </c>
      <c r="AO272" s="17" t="s">
        <v>3277</v>
      </c>
      <c r="AP272" s="118"/>
      <c r="AQ272" s="21"/>
      <c r="AR272" s="119"/>
      <c r="AS272" s="101" t="s">
        <v>3163</v>
      </c>
      <c r="AT272" s="109">
        <v>46034</v>
      </c>
      <c r="AU272" s="101" t="s">
        <v>3141</v>
      </c>
      <c r="AV272" s="21" t="s">
        <v>1726</v>
      </c>
      <c r="AW272" s="101"/>
      <c r="AX272" s="119" t="s">
        <v>1874</v>
      </c>
      <c r="AY272" s="83" t="s">
        <v>3131</v>
      </c>
      <c r="AZ272" s="71" t="str">
        <f>IFERROR(IF(INDEX(입력!$C$2:$C$500, MATCH($BO272, 입력!$Z$2:$Z$500, 0))="", "", TEXT(INDEX(입력!$C$2:$C$500, MATCH($BO272, 입력!$Z$2:$Z$500, 0)), "yyyy-mm-dd")), "")</f>
        <v>2026-04-06</v>
      </c>
      <c r="BA272" s="44" t="str">
        <f>IFERROR(INDEX(입력!$B$2:$B$500, MATCH($BO272, 입력!$Z$2:$Z$500, 0)) &amp; "", "")</f>
        <v>노기섭</v>
      </c>
      <c r="BB272" s="83" t="str">
        <f>IFERROR(INDEX(입력!$Y$2:$Y$500, MATCH($BO272, 입력!$Z$2:$Z$500, 0)) &amp; "", "")</f>
        <v/>
      </c>
      <c r="BC272" s="83" t="s">
        <v>3112</v>
      </c>
      <c r="BD272" s="83"/>
      <c r="BE272" s="101"/>
      <c r="BF272" s="101"/>
      <c r="BG272" s="101"/>
      <c r="BH272" s="101"/>
      <c r="BI272" s="101"/>
      <c r="BJ272" s="101"/>
      <c r="BK272" s="110"/>
      <c r="BL272" s="21"/>
      <c r="BM272" s="22">
        <v>513</v>
      </c>
      <c r="BN272" s="23"/>
      <c r="BO272" s="47" t="s">
        <v>655</v>
      </c>
    </row>
    <row r="273" spans="1:67" x14ac:dyDescent="0.45">
      <c r="A273" s="19">
        <v>272</v>
      </c>
      <c r="B273" s="1" t="s">
        <v>1647</v>
      </c>
      <c r="C273" s="17" t="str">
        <f t="shared" si="35"/>
        <v>이행완료</v>
      </c>
      <c r="D273" s="17" t="str">
        <f t="shared" si="38"/>
        <v/>
      </c>
      <c r="E273" s="2" t="s">
        <v>1875</v>
      </c>
      <c r="F273" s="1" t="s">
        <v>656</v>
      </c>
      <c r="G273" s="11" t="s">
        <v>1876</v>
      </c>
      <c r="H273" s="18" t="s">
        <v>1084</v>
      </c>
      <c r="I273" s="19">
        <v>683</v>
      </c>
      <c r="J273" s="2"/>
      <c r="K273" s="20" t="s">
        <v>2483</v>
      </c>
      <c r="L273" s="20"/>
      <c r="M273" s="17" t="str">
        <f t="shared" si="36"/>
        <v>기축</v>
      </c>
      <c r="N273" s="21"/>
      <c r="O273" s="21"/>
      <c r="P273" s="1">
        <f t="shared" si="32"/>
        <v>14</v>
      </c>
      <c r="Q273" s="1">
        <v>14</v>
      </c>
      <c r="R273" s="64" t="str">
        <f>IFERROR(INDEX(입력!$J$2:$J$500, MATCH($BO273, 입력!$Z$2:$Z$500, 0)) &amp; "", "")</f>
        <v/>
      </c>
      <c r="S273" s="64" t="str">
        <f>IFERROR(INDEX(입력!$K$2:$K$500, MATCH($BO273, 입력!$Z$2:$Z$500, 0)) &amp; "", "")</f>
        <v/>
      </c>
      <c r="T273" s="64">
        <f>MAX(0, 표1[[#This Row],[의무_면수]]-표1[[#This Row],[면수합]])</f>
        <v>0</v>
      </c>
      <c r="U273" s="44" t="str">
        <f t="shared" si="33"/>
        <v>이행완료</v>
      </c>
      <c r="V273" s="1">
        <f t="shared" si="37"/>
        <v>14</v>
      </c>
      <c r="W273" s="1" t="str">
        <f t="shared" si="34"/>
        <v/>
      </c>
      <c r="X273" s="1">
        <v>14</v>
      </c>
      <c r="Y273" s="64" t="str">
        <f>IFERROR(INDEX(입력!$M$2:$M$500, MATCH($BO273, 입력!$Z$2:$Z$500, 0)) &amp; "", "")</f>
        <v/>
      </c>
      <c r="Z273" s="64" t="str">
        <f>IFERROR(INDEX(입력!$N$2:$N$500, MATCH($BO273, 입력!$Z$2:$Z$500, 0)) &amp; "", "")</f>
        <v/>
      </c>
      <c r="AA273" s="64">
        <f>MAX(0, 표1[[#This Row],[의무_시설]]-표1[[#This Row],[시설합]])</f>
        <v>0</v>
      </c>
      <c r="AB273" s="17" t="str">
        <f t="shared" si="39"/>
        <v>이행완료</v>
      </c>
      <c r="AC273" s="64" t="str">
        <f>IFERROR(INDEX(입력!$P$2:$P$500, MATCH($BO273, 입력!$Z$2:$Z$500, 0)) &amp; "", "")</f>
        <v/>
      </c>
      <c r="AD273" s="64" t="str">
        <f>IFERROR(INDEX(입력!$Q$2:$Q$500, MATCH($BO273, 입력!$Z$2:$Z$500, 0)) &amp; "", "")</f>
        <v/>
      </c>
      <c r="AE273" s="64" t="str">
        <f>IFERROR(INDEX(입력!$R$2:$R$500, MATCH($BO273, 입력!$Z$2:$Z$500, 0)) &amp; "", "")</f>
        <v/>
      </c>
      <c r="AF273" s="64" t="str">
        <f>IFERROR(INDEX(입력!$S$2:$S$500, MATCH($BO273, 입력!$Z$2:$Z$500, 0)) &amp; "", "")</f>
        <v/>
      </c>
      <c r="AG273" s="64" t="str">
        <f>IFERROR(INDEX(입력!$T$2:$T$500, MATCH($BO273, 입력!$Z$2:$Z$500, 0)) &amp; "", "")</f>
        <v/>
      </c>
      <c r="AH273" s="64" t="str">
        <f>IFERROR(INDEX(입력!$U$2:$U$500, MATCH($BO273, 입력!$Z$2:$Z$500, 0)) &amp; "", "")</f>
        <v/>
      </c>
      <c r="AI273" s="64" t="str">
        <f>IFERROR(INDEX(입력!$V$2:$V$500, MATCH($BO273, 입력!$Z$2:$Z$500, 0)) &amp; "", "")</f>
        <v/>
      </c>
      <c r="AJ273" s="44" t="str">
        <f>IFERROR(INDEX(입력!$W$2:$W$500, MATCH($BO273, 입력!$Z$2:$Z$500, 0)) &amp; "", "")</f>
        <v/>
      </c>
      <c r="AK273" s="44" t="str">
        <f>IFERROR(INDEX(입력!$X$2:$X$500, MATCH($BO273, 입력!$Z$2:$Z$500, 0)) &amp; "", "")</f>
        <v/>
      </c>
      <c r="AL273" s="2"/>
      <c r="AM273" s="17" t="s">
        <v>1650</v>
      </c>
      <c r="AN273" s="101">
        <v>2025</v>
      </c>
      <c r="AO273" s="17" t="s">
        <v>3274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3132</v>
      </c>
      <c r="AZ273" s="71" t="str">
        <f>IFERROR(IF(INDEX(입력!$C$2:$C$500, MATCH($BO273, 입력!$Z$2:$Z$500, 0))="", "", TEXT(INDEX(입력!$C$2:$C$500, MATCH($BO273, 입력!$Z$2:$Z$500, 0)), "yyyy-mm-dd")), "")</f>
        <v/>
      </c>
      <c r="BA273" s="44" t="str">
        <f>IFERROR(INDEX(입력!$B$2:$B$500, MATCH($BO273, 입력!$Z$2:$Z$500, 0)) &amp; "", "")</f>
        <v/>
      </c>
      <c r="BB273" s="83" t="str">
        <f>IFERROR(INDEX(입력!$Y$2:$Y$500, MATCH($BO273, 입력!$Z$2:$Z$500, 0)) &amp; "", "")</f>
        <v/>
      </c>
      <c r="BC273" s="83" t="s">
        <v>3112</v>
      </c>
      <c r="BD273" s="83"/>
      <c r="BE273" s="101"/>
      <c r="BF273" s="101"/>
      <c r="BG273" s="101"/>
      <c r="BH273" s="101"/>
      <c r="BI273" s="101"/>
      <c r="BJ273" s="101"/>
      <c r="BK273" s="110"/>
      <c r="BL273" s="21"/>
      <c r="BM273" s="22">
        <v>683</v>
      </c>
      <c r="BN273" s="23"/>
      <c r="BO273" s="47" t="s">
        <v>657</v>
      </c>
    </row>
    <row r="274" spans="1:67" x14ac:dyDescent="0.45">
      <c r="A274" s="46">
        <v>273</v>
      </c>
      <c r="B274" s="1" t="s">
        <v>1647</v>
      </c>
      <c r="C274" s="17" t="str">
        <f t="shared" si="35"/>
        <v>이행완료</v>
      </c>
      <c r="D274" s="17" t="str">
        <f t="shared" si="38"/>
        <v>조사완료</v>
      </c>
      <c r="E274" s="2" t="s">
        <v>1877</v>
      </c>
      <c r="F274" s="1" t="s">
        <v>658</v>
      </c>
      <c r="G274" s="11" t="s">
        <v>1878</v>
      </c>
      <c r="H274" s="18" t="s">
        <v>1133</v>
      </c>
      <c r="I274" s="19">
        <v>81</v>
      </c>
      <c r="J274" s="2"/>
      <c r="K274" s="20" t="s">
        <v>2599</v>
      </c>
      <c r="L274" s="20"/>
      <c r="M274" s="17" t="str">
        <f t="shared" si="36"/>
        <v>기축</v>
      </c>
      <c r="N274" s="21"/>
      <c r="O274" s="21"/>
      <c r="P274" s="1">
        <f t="shared" si="32"/>
        <v>2</v>
      </c>
      <c r="Q274" s="1">
        <v>2</v>
      </c>
      <c r="R274" s="64" t="str">
        <f>IFERROR(INDEX(입력!$J$2:$J$500, MATCH($BO274, 입력!$Z$2:$Z$500, 0)) &amp; "", "")</f>
        <v>2</v>
      </c>
      <c r="S274" s="64" t="str">
        <f>IFERROR(INDEX(입력!$K$2:$K$500, MATCH($BO274, 입력!$Z$2:$Z$500, 0)) &amp; "", "")</f>
        <v/>
      </c>
      <c r="T274" s="64">
        <f>MAX(0, 표1[[#This Row],[의무_면수]]-표1[[#This Row],[면수합]])</f>
        <v>0</v>
      </c>
      <c r="U274" s="44" t="str">
        <f t="shared" si="33"/>
        <v>이행완료</v>
      </c>
      <c r="V274" s="1">
        <f t="shared" si="37"/>
        <v>2</v>
      </c>
      <c r="W274" s="1" t="str">
        <f t="shared" si="34"/>
        <v/>
      </c>
      <c r="X274" s="1">
        <v>2</v>
      </c>
      <c r="Y274" s="64" t="str">
        <f>IFERROR(INDEX(입력!$M$2:$M$500, MATCH($BO274, 입력!$Z$2:$Z$500, 0)) &amp; "", "")</f>
        <v/>
      </c>
      <c r="Z274" s="64" t="str">
        <f>IFERROR(INDEX(입력!$N$2:$N$500, MATCH($BO274, 입력!$Z$2:$Z$500, 0)) &amp; "", "")</f>
        <v>2</v>
      </c>
      <c r="AA274" s="64">
        <f>MAX(0, 표1[[#This Row],[의무_시설]]-표1[[#This Row],[시설합]])</f>
        <v>0</v>
      </c>
      <c r="AB274" s="17" t="str">
        <f t="shared" si="39"/>
        <v>이행완료</v>
      </c>
      <c r="AC274" s="64" t="str">
        <f>IFERROR(INDEX(입력!$P$2:$P$500, MATCH($BO274, 입력!$Z$2:$Z$500, 0)) &amp; "", "")</f>
        <v>366</v>
      </c>
      <c r="AD274" s="64" t="str">
        <f>IFERROR(INDEX(입력!$Q$2:$Q$500, MATCH($BO274, 입력!$Z$2:$Z$500, 0)) &amp; "", "")</f>
        <v/>
      </c>
      <c r="AE274" s="64" t="str">
        <f>IFERROR(INDEX(입력!$R$2:$R$500, MATCH($BO274, 입력!$Z$2:$Z$500, 0)) &amp; "", "")</f>
        <v>여</v>
      </c>
      <c r="AF274" s="64" t="str">
        <f>IFERROR(INDEX(입력!$S$2:$S$500, MATCH($BO274, 입력!$Z$2:$Z$500, 0)) &amp; "", "")</f>
        <v>여</v>
      </c>
      <c r="AG274" s="64" t="str">
        <f>IFERROR(INDEX(입력!$T$2:$T$500, MATCH($BO274, 입력!$Z$2:$Z$500, 0)) &amp; "", "")</f>
        <v>부</v>
      </c>
      <c r="AH274" s="64" t="str">
        <f>IFERROR(INDEX(입력!$U$2:$U$500, MATCH($BO274, 입력!$Z$2:$Z$500, 0)) &amp; "", "")</f>
        <v/>
      </c>
      <c r="AI274" s="64" t="str">
        <f>IFERROR(INDEX(입력!$V$2:$V$500, MATCH($BO274, 입력!$Z$2:$Z$500, 0)) &amp; "", "")</f>
        <v>여</v>
      </c>
      <c r="AJ274" s="44" t="str">
        <f>IFERROR(INDEX(입력!$W$2:$W$500, MATCH($BO274, 입력!$Z$2:$Z$500, 0)) &amp; "", "")</f>
        <v>이기금</v>
      </c>
      <c r="AK274" s="44" t="str">
        <f>IFERROR(INDEX(입력!$X$2:$X$500, MATCH($BO274, 입력!$Z$2:$Z$500, 0)) &amp; "", "")</f>
        <v>973-1099</v>
      </c>
      <c r="AL274" s="2" t="s">
        <v>1879</v>
      </c>
      <c r="AM274" s="17" t="s">
        <v>1650</v>
      </c>
      <c r="AN274" s="101">
        <v>2025</v>
      </c>
      <c r="AO274" s="17" t="s">
        <v>3275</v>
      </c>
      <c r="AP274" s="118"/>
      <c r="AQ274" s="21"/>
      <c r="AR274" s="119"/>
      <c r="AS274" s="101" t="s">
        <v>3286</v>
      </c>
      <c r="AT274" s="109">
        <v>46062</v>
      </c>
      <c r="AU274" s="101"/>
      <c r="AV274" s="101"/>
      <c r="AW274" s="101"/>
      <c r="AX274" s="119" t="s">
        <v>2412</v>
      </c>
      <c r="AY274" s="83" t="s">
        <v>3137</v>
      </c>
      <c r="AZ274" s="71" t="str">
        <f>IFERROR(IF(INDEX(입력!$C$2:$C$500, MATCH($BO274, 입력!$Z$2:$Z$500, 0))="", "", TEXT(INDEX(입력!$C$2:$C$500, MATCH($BO274, 입력!$Z$2:$Z$500, 0)), "yyyy-mm-dd")), "")</f>
        <v>2026-04-10</v>
      </c>
      <c r="BA274" s="44" t="str">
        <f>IFERROR(INDEX(입력!$B$2:$B$500, MATCH($BO274, 입력!$Z$2:$Z$500, 0)) &amp; "", "")</f>
        <v>정은진</v>
      </c>
      <c r="BB274" s="83" t="str">
        <f>IFERROR(INDEX(입력!$Y$2:$Y$500, MATCH($BO274, 입력!$Z$2:$Z$500, 0)) &amp; "", "")</f>
        <v/>
      </c>
      <c r="BC274" s="83" t="s">
        <v>3112</v>
      </c>
      <c r="BD274" s="83"/>
      <c r="BE274" s="101"/>
      <c r="BF274" s="101"/>
      <c r="BG274" s="101"/>
      <c r="BH274" s="101"/>
      <c r="BI274" s="101"/>
      <c r="BJ274" s="101"/>
      <c r="BK274" s="110"/>
      <c r="BL274" s="21"/>
      <c r="BM274" s="22">
        <v>81</v>
      </c>
      <c r="BN274" s="23"/>
      <c r="BO274" s="47" t="s">
        <v>659</v>
      </c>
    </row>
    <row r="275" spans="1:67" x14ac:dyDescent="0.45">
      <c r="A275" s="19">
        <v>274</v>
      </c>
      <c r="B275" s="1" t="s">
        <v>1647</v>
      </c>
      <c r="C275" s="17" t="str">
        <f t="shared" si="35"/>
        <v>이행완료</v>
      </c>
      <c r="D275" s="17" t="str">
        <f t="shared" si="38"/>
        <v/>
      </c>
      <c r="E275" s="2" t="s">
        <v>1880</v>
      </c>
      <c r="F275" s="1" t="s">
        <v>660</v>
      </c>
      <c r="G275" s="11" t="s">
        <v>1881</v>
      </c>
      <c r="H275" s="18" t="s">
        <v>1133</v>
      </c>
      <c r="I275" s="19">
        <v>383</v>
      </c>
      <c r="J275" s="2"/>
      <c r="K275" s="20" t="s">
        <v>2484</v>
      </c>
      <c r="L275" s="20"/>
      <c r="M275" s="17" t="str">
        <f t="shared" si="36"/>
        <v>기축</v>
      </c>
      <c r="N275" s="21"/>
      <c r="O275" s="21"/>
      <c r="P275" s="1">
        <f t="shared" si="32"/>
        <v>8</v>
      </c>
      <c r="Q275" s="1">
        <v>14</v>
      </c>
      <c r="R275" s="64" t="str">
        <f>IFERROR(INDEX(입력!$J$2:$J$500, MATCH($BO275, 입력!$Z$2:$Z$500, 0)) &amp; "", "")</f>
        <v/>
      </c>
      <c r="S275" s="64" t="str">
        <f>IFERROR(INDEX(입력!$K$2:$K$500, MATCH($BO275, 입력!$Z$2:$Z$500, 0)) &amp; "", "")</f>
        <v/>
      </c>
      <c r="T275" s="64">
        <f>MAX(0, 표1[[#This Row],[의무_면수]]-표1[[#This Row],[면수합]])</f>
        <v>0</v>
      </c>
      <c r="U275" s="44" t="str">
        <f t="shared" si="33"/>
        <v>이행완료</v>
      </c>
      <c r="V275" s="1">
        <f t="shared" si="37"/>
        <v>8</v>
      </c>
      <c r="W275" s="1" t="str">
        <f t="shared" si="34"/>
        <v/>
      </c>
      <c r="X275" s="1">
        <v>14</v>
      </c>
      <c r="Y275" s="64" t="str">
        <f>IFERROR(INDEX(입력!$M$2:$M$500, MATCH($BO275, 입력!$Z$2:$Z$500, 0)) &amp; "", "")</f>
        <v/>
      </c>
      <c r="Z275" s="64" t="str">
        <f>IFERROR(INDEX(입력!$N$2:$N$500, MATCH($BO275, 입력!$Z$2:$Z$500, 0)) &amp; "", "")</f>
        <v/>
      </c>
      <c r="AA275" s="64">
        <f>MAX(0, 표1[[#This Row],[의무_시설]]-표1[[#This Row],[시설합]])</f>
        <v>0</v>
      </c>
      <c r="AB275" s="17" t="str">
        <f t="shared" si="39"/>
        <v>이행완료</v>
      </c>
      <c r="AC275" s="64" t="str">
        <f>IFERROR(INDEX(입력!$P$2:$P$500, MATCH($BO275, 입력!$Z$2:$Z$500, 0)) &amp; "", "")</f>
        <v/>
      </c>
      <c r="AD275" s="64" t="str">
        <f>IFERROR(INDEX(입력!$Q$2:$Q$500, MATCH($BO275, 입력!$Z$2:$Z$500, 0)) &amp; "", "")</f>
        <v/>
      </c>
      <c r="AE275" s="64" t="str">
        <f>IFERROR(INDEX(입력!$R$2:$R$500, MATCH($BO275, 입력!$Z$2:$Z$500, 0)) &amp; "", "")</f>
        <v/>
      </c>
      <c r="AF275" s="64" t="str">
        <f>IFERROR(INDEX(입력!$S$2:$S$500, MATCH($BO275, 입력!$Z$2:$Z$500, 0)) &amp; "", "")</f>
        <v/>
      </c>
      <c r="AG275" s="64" t="str">
        <f>IFERROR(INDEX(입력!$T$2:$T$500, MATCH($BO275, 입력!$Z$2:$Z$500, 0)) &amp; "", "")</f>
        <v/>
      </c>
      <c r="AH275" s="64" t="str">
        <f>IFERROR(INDEX(입력!$U$2:$U$500, MATCH($BO275, 입력!$Z$2:$Z$500, 0)) &amp; "", "")</f>
        <v/>
      </c>
      <c r="AI275" s="64" t="str">
        <f>IFERROR(INDEX(입력!$V$2:$V$500, MATCH($BO275, 입력!$Z$2:$Z$500, 0)) &amp; "", "")</f>
        <v/>
      </c>
      <c r="AJ275" s="44" t="str">
        <f>IFERROR(INDEX(입력!$W$2:$W$500, MATCH($BO275, 입력!$Z$2:$Z$500, 0)) &amp; "", "")</f>
        <v/>
      </c>
      <c r="AK275" s="44" t="str">
        <f>IFERROR(INDEX(입력!$X$2:$X$500, MATCH($BO275, 입력!$Z$2:$Z$500, 0)) &amp; "", "")</f>
        <v/>
      </c>
      <c r="AL275" s="2"/>
      <c r="AM275" s="17" t="s">
        <v>1650</v>
      </c>
      <c r="AN275" s="101">
        <v>2025</v>
      </c>
      <c r="AO275" s="17" t="s">
        <v>3275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3131</v>
      </c>
      <c r="AZ275" s="71" t="str">
        <f>IFERROR(IF(INDEX(입력!$C$2:$C$500, MATCH($BO275, 입력!$Z$2:$Z$500, 0))="", "", TEXT(INDEX(입력!$C$2:$C$500, MATCH($BO275, 입력!$Z$2:$Z$500, 0)), "yyyy-mm-dd")), "")</f>
        <v/>
      </c>
      <c r="BA275" s="44" t="str">
        <f>IFERROR(INDEX(입력!$B$2:$B$500, MATCH($BO275, 입력!$Z$2:$Z$500, 0)) &amp; "", "")</f>
        <v/>
      </c>
      <c r="BB275" s="83" t="str">
        <f>IFERROR(INDEX(입력!$Y$2:$Y$500, MATCH($BO275, 입력!$Z$2:$Z$500, 0)) &amp; "", "")</f>
        <v/>
      </c>
      <c r="BC275" s="83" t="s">
        <v>3112</v>
      </c>
      <c r="BD275" s="83"/>
      <c r="BE275" s="101"/>
      <c r="BF275" s="101"/>
      <c r="BG275" s="101"/>
      <c r="BH275" s="101"/>
      <c r="BI275" s="101"/>
      <c r="BJ275" s="101"/>
      <c r="BK275" s="110"/>
      <c r="BL275" s="21"/>
      <c r="BM275" s="22">
        <v>441</v>
      </c>
      <c r="BN275" s="23"/>
      <c r="BO275" s="47" t="s">
        <v>661</v>
      </c>
    </row>
    <row r="276" spans="1:67" x14ac:dyDescent="0.45">
      <c r="A276" s="46">
        <v>275</v>
      </c>
      <c r="B276" s="1" t="s">
        <v>1647</v>
      </c>
      <c r="C276" s="17" t="str">
        <f t="shared" si="35"/>
        <v>이행완료</v>
      </c>
      <c r="D276" s="17" t="str">
        <f t="shared" si="38"/>
        <v/>
      </c>
      <c r="E276" s="2" t="s">
        <v>1882</v>
      </c>
      <c r="F276" s="1" t="s">
        <v>662</v>
      </c>
      <c r="G276" s="11" t="s">
        <v>1883</v>
      </c>
      <c r="H276" s="18" t="s">
        <v>1133</v>
      </c>
      <c r="I276" s="19">
        <v>438</v>
      </c>
      <c r="J276" s="2"/>
      <c r="K276" s="20" t="s">
        <v>2485</v>
      </c>
      <c r="L276" s="20"/>
      <c r="M276" s="17" t="str">
        <f t="shared" si="36"/>
        <v>기축</v>
      </c>
      <c r="N276" s="21" t="s">
        <v>2393</v>
      </c>
      <c r="O276" s="21"/>
      <c r="P276" s="1">
        <f t="shared" si="32"/>
        <v>9</v>
      </c>
      <c r="Q276" s="1">
        <v>9</v>
      </c>
      <c r="R276" s="64" t="str">
        <f>IFERROR(INDEX(입력!$J$2:$J$500, MATCH($BO276, 입력!$Z$2:$Z$500, 0)) &amp; "", "")</f>
        <v/>
      </c>
      <c r="S276" s="64" t="str">
        <f>IFERROR(INDEX(입력!$K$2:$K$500, MATCH($BO276, 입력!$Z$2:$Z$500, 0)) &amp; "", "")</f>
        <v/>
      </c>
      <c r="T276" s="64">
        <f>MAX(0, 표1[[#This Row],[의무_면수]]-표1[[#This Row],[면수합]])</f>
        <v>0</v>
      </c>
      <c r="U276" s="44" t="str">
        <f t="shared" si="33"/>
        <v>이행완료</v>
      </c>
      <c r="V276" s="1">
        <f t="shared" si="37"/>
        <v>9</v>
      </c>
      <c r="W276" s="1" t="str">
        <f t="shared" si="34"/>
        <v/>
      </c>
      <c r="X276" s="1">
        <v>9</v>
      </c>
      <c r="Y276" s="64" t="str">
        <f>IFERROR(INDEX(입력!$M$2:$M$500, MATCH($BO276, 입력!$Z$2:$Z$500, 0)) &amp; "", "")</f>
        <v/>
      </c>
      <c r="Z276" s="64" t="str">
        <f>IFERROR(INDEX(입력!$N$2:$N$500, MATCH($BO276, 입력!$Z$2:$Z$500, 0)) &amp; "", "")</f>
        <v/>
      </c>
      <c r="AA276" s="64">
        <f>MAX(0, 표1[[#This Row],[의무_시설]]-표1[[#This Row],[시설합]])</f>
        <v>0</v>
      </c>
      <c r="AB276" s="17" t="str">
        <f t="shared" si="39"/>
        <v>이행완료</v>
      </c>
      <c r="AC276" s="64" t="str">
        <f>IFERROR(INDEX(입력!$P$2:$P$500, MATCH($BO276, 입력!$Z$2:$Z$500, 0)) &amp; "", "")</f>
        <v/>
      </c>
      <c r="AD276" s="64" t="str">
        <f>IFERROR(INDEX(입력!$Q$2:$Q$500, MATCH($BO276, 입력!$Z$2:$Z$500, 0)) &amp; "", "")</f>
        <v/>
      </c>
      <c r="AE276" s="64" t="str">
        <f>IFERROR(INDEX(입력!$R$2:$R$500, MATCH($BO276, 입력!$Z$2:$Z$500, 0)) &amp; "", "")</f>
        <v/>
      </c>
      <c r="AF276" s="64" t="str">
        <f>IFERROR(INDEX(입력!$S$2:$S$500, MATCH($BO276, 입력!$Z$2:$Z$500, 0)) &amp; "", "")</f>
        <v/>
      </c>
      <c r="AG276" s="64" t="str">
        <f>IFERROR(INDEX(입력!$T$2:$T$500, MATCH($BO276, 입력!$Z$2:$Z$500, 0)) &amp; "", "")</f>
        <v/>
      </c>
      <c r="AH276" s="64" t="str">
        <f>IFERROR(INDEX(입력!$U$2:$U$500, MATCH($BO276, 입력!$Z$2:$Z$500, 0)) &amp; "", "")</f>
        <v/>
      </c>
      <c r="AI276" s="64" t="str">
        <f>IFERROR(INDEX(입력!$V$2:$V$500, MATCH($BO276, 입력!$Z$2:$Z$500, 0)) &amp; "", "")</f>
        <v/>
      </c>
      <c r="AJ276" s="44" t="str">
        <f>IFERROR(INDEX(입력!$W$2:$W$500, MATCH($BO276, 입력!$Z$2:$Z$500, 0)) &amp; "", "")</f>
        <v/>
      </c>
      <c r="AK276" s="44" t="str">
        <f>IFERROR(INDEX(입력!$X$2:$X$500, MATCH($BO276, 입력!$Z$2:$Z$500, 0)) &amp; "", "")</f>
        <v/>
      </c>
      <c r="AL276" s="2"/>
      <c r="AM276" s="17" t="s">
        <v>1650</v>
      </c>
      <c r="AN276" s="101">
        <v>2025</v>
      </c>
      <c r="AO276" s="17" t="s">
        <v>3275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3131</v>
      </c>
      <c r="AZ276" s="71" t="str">
        <f>IFERROR(IF(INDEX(입력!$C$2:$C$500, MATCH($BO276, 입력!$Z$2:$Z$500, 0))="", "", TEXT(INDEX(입력!$C$2:$C$500, MATCH($BO276, 입력!$Z$2:$Z$500, 0)), "yyyy-mm-dd")), "")</f>
        <v/>
      </c>
      <c r="BA276" s="44" t="str">
        <f>IFERROR(INDEX(입력!$B$2:$B$500, MATCH($BO276, 입력!$Z$2:$Z$500, 0)) &amp; "", "")</f>
        <v/>
      </c>
      <c r="BB276" s="83" t="str">
        <f>IFERROR(INDEX(입력!$Y$2:$Y$500, MATCH($BO276, 입력!$Z$2:$Z$500, 0)) &amp; "", "")</f>
        <v/>
      </c>
      <c r="BC276" s="83" t="s">
        <v>3112</v>
      </c>
      <c r="BD276" s="83"/>
      <c r="BE276" s="101"/>
      <c r="BF276" s="101"/>
      <c r="BG276" s="101"/>
      <c r="BH276" s="101"/>
      <c r="BI276" s="101"/>
      <c r="BJ276" s="101"/>
      <c r="BK276" s="110"/>
      <c r="BL276" s="21"/>
      <c r="BM276" s="22">
        <v>438</v>
      </c>
      <c r="BN276" s="23"/>
      <c r="BO276" s="47" t="s">
        <v>663</v>
      </c>
    </row>
    <row r="277" spans="1:67" x14ac:dyDescent="0.45">
      <c r="A277" s="19">
        <v>276</v>
      </c>
      <c r="B277" s="1" t="s">
        <v>1647</v>
      </c>
      <c r="C277" s="17" t="str">
        <f t="shared" si="35"/>
        <v>이행완료</v>
      </c>
      <c r="D277" s="17" t="str">
        <f t="shared" si="38"/>
        <v>조사완료</v>
      </c>
      <c r="E277" s="2" t="s">
        <v>2403</v>
      </c>
      <c r="F277" s="1" t="s">
        <v>664</v>
      </c>
      <c r="G277" s="11" t="s">
        <v>1884</v>
      </c>
      <c r="H277" s="18" t="s">
        <v>1335</v>
      </c>
      <c r="I277" s="19">
        <v>640</v>
      </c>
      <c r="J277" s="2"/>
      <c r="K277" s="20" t="s">
        <v>2421</v>
      </c>
      <c r="L277" s="20"/>
      <c r="M277" s="17" t="str">
        <f t="shared" si="36"/>
        <v>기축</v>
      </c>
      <c r="N277" s="21" t="s">
        <v>2393</v>
      </c>
      <c r="O277" s="21"/>
      <c r="P277" s="1">
        <f t="shared" si="32"/>
        <v>13</v>
      </c>
      <c r="Q277" s="1">
        <v>14</v>
      </c>
      <c r="R277" s="64" t="str">
        <f>IFERROR(INDEX(입력!$J$2:$J$500, MATCH($BO277, 입력!$Z$2:$Z$500, 0)) &amp; "", "")</f>
        <v>14</v>
      </c>
      <c r="S277" s="64" t="str">
        <f>IFERROR(INDEX(입력!$K$2:$K$500, MATCH($BO277, 입력!$Z$2:$Z$500, 0)) &amp; "", "")</f>
        <v/>
      </c>
      <c r="T277" s="64">
        <f>MAX(0, 표1[[#This Row],[의무_면수]]-표1[[#This Row],[면수합]])</f>
        <v>0</v>
      </c>
      <c r="U277" s="44" t="str">
        <f t="shared" si="33"/>
        <v>이행완료</v>
      </c>
      <c r="V277" s="1">
        <f t="shared" si="37"/>
        <v>13</v>
      </c>
      <c r="W277" s="1" t="str">
        <f t="shared" si="34"/>
        <v/>
      </c>
      <c r="X277" s="1">
        <v>14</v>
      </c>
      <c r="Y277" s="64" t="str">
        <f>IFERROR(INDEX(입력!$M$2:$M$500, MATCH($BO277, 입력!$Z$2:$Z$500, 0)) &amp; "", "")</f>
        <v/>
      </c>
      <c r="Z277" s="64" t="str">
        <f>IFERROR(INDEX(입력!$N$2:$N$500, MATCH($BO277,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9"/>
        <v>이행완료</v>
      </c>
      <c r="AC277" s="64" t="str">
        <f>IFERROR(INDEX(입력!$P$2:$P$500, MATCH($BO277, 입력!$Z$2:$Z$500, 0)) &amp; "", "")</f>
        <v>863</v>
      </c>
      <c r="AD277" s="64" t="str">
        <f>IFERROR(INDEX(입력!$Q$2:$Q$500, MATCH($BO277, 입력!$Z$2:$Z$500, 0)) &amp; "", "")</f>
        <v>6</v>
      </c>
      <c r="AE277" s="64" t="str">
        <f>IFERROR(INDEX(입력!$R$2:$R$500, MATCH($BO277, 입력!$Z$2:$Z$500, 0)) &amp; "", "")</f>
        <v>여</v>
      </c>
      <c r="AF277" s="64" t="str">
        <f>IFERROR(INDEX(입력!$S$2:$S$500, MATCH($BO277, 입력!$Z$2:$Z$500, 0)) &amp; "", "")</f>
        <v>여</v>
      </c>
      <c r="AG277" s="64" t="str">
        <f>IFERROR(INDEX(입력!$T$2:$T$500, MATCH($BO277, 입력!$Z$2:$Z$500, 0)) &amp; "", "")</f>
        <v>여</v>
      </c>
      <c r="AH277" s="64" t="str">
        <f>IFERROR(INDEX(입력!$U$2:$U$500, MATCH($BO277, 입력!$Z$2:$Z$500, 0)) &amp; "", "")</f>
        <v>8</v>
      </c>
      <c r="AI277" s="64" t="str">
        <f>IFERROR(INDEX(입력!$V$2:$V$500, MATCH($BO277, 입력!$Z$2:$Z$500, 0)) &amp; "", "")</f>
        <v>여</v>
      </c>
      <c r="AJ277" s="44" t="str">
        <f>IFERROR(INDEX(입력!$W$2:$W$500, MATCH($BO277, 입력!$Z$2:$Z$500, 0)) &amp; "", "")</f>
        <v>김종원</v>
      </c>
      <c r="AK277" s="44" t="str">
        <f>IFERROR(INDEX(입력!$X$2:$X$500, MATCH($BO277, 입력!$Z$2:$Z$500, 0)) &amp; "", "")</f>
        <v>955-9271</v>
      </c>
      <c r="AL277" s="2" t="s">
        <v>1885</v>
      </c>
      <c r="AM277" s="17" t="s">
        <v>1650</v>
      </c>
      <c r="AN277" s="101">
        <v>2025</v>
      </c>
      <c r="AO277" s="17" t="s">
        <v>3277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1886</v>
      </c>
      <c r="AW277" s="101"/>
      <c r="AX277" s="119" t="s">
        <v>1887</v>
      </c>
      <c r="AY277" s="83" t="s">
        <v>3137</v>
      </c>
      <c r="AZ277" s="71" t="str">
        <f>IFERROR(IF(INDEX(입력!$C$2:$C$500, MATCH($BO277, 입력!$Z$2:$Z$500, 0))="", "", TEXT(INDEX(입력!$C$2:$C$500, MATCH($BO277, 입력!$Z$2:$Z$500, 0)), "yyyy-mm-dd")), "")</f>
        <v>2026-04-06</v>
      </c>
      <c r="BA277" s="44" t="str">
        <f>IFERROR(INDEX(입력!$B$2:$B$500, MATCH($BO277, 입력!$Z$2:$Z$500, 0)) &amp; "", "")</f>
        <v>노기섭</v>
      </c>
      <c r="BB277" s="83" t="str">
        <f>IFERROR(INDEX(입력!$Y$2:$Y$500, MATCH($BO277, 입력!$Z$2:$Z$500, 0)) &amp; "", "")</f>
        <v/>
      </c>
      <c r="BC277" s="83" t="s">
        <v>3112</v>
      </c>
      <c r="BD277" s="83"/>
      <c r="BE277" s="101"/>
      <c r="BF277" s="101"/>
      <c r="BG277" s="101"/>
      <c r="BH277" s="101"/>
      <c r="BI277" s="101"/>
      <c r="BJ277" s="101"/>
      <c r="BK277" s="110"/>
      <c r="BL277" s="21"/>
      <c r="BM277" s="22">
        <v>640</v>
      </c>
      <c r="BN277" s="23"/>
      <c r="BO277" s="47" t="s">
        <v>665</v>
      </c>
    </row>
    <row r="278" spans="1:67" x14ac:dyDescent="0.45">
      <c r="A278" s="46">
        <v>277</v>
      </c>
      <c r="B278" s="1" t="s">
        <v>1647</v>
      </c>
      <c r="C278" s="17" t="str">
        <f t="shared" si="35"/>
        <v>이행완료</v>
      </c>
      <c r="D278" s="17" t="str">
        <f t="shared" si="38"/>
        <v>조사완료</v>
      </c>
      <c r="E278" s="2" t="s">
        <v>1888</v>
      </c>
      <c r="F278" s="1" t="s">
        <v>666</v>
      </c>
      <c r="G278" s="11" t="s">
        <v>1889</v>
      </c>
      <c r="H278" s="18" t="s">
        <v>1335</v>
      </c>
      <c r="I278" s="19">
        <v>1114</v>
      </c>
      <c r="J278" s="2"/>
      <c r="K278" s="20" t="s">
        <v>2422</v>
      </c>
      <c r="L278" s="20"/>
      <c r="M278" s="17" t="str">
        <f t="shared" si="36"/>
        <v>기축</v>
      </c>
      <c r="N278" s="21"/>
      <c r="O278" s="21"/>
      <c r="P278" s="1">
        <f t="shared" si="32"/>
        <v>22</v>
      </c>
      <c r="Q278" s="1">
        <v>22</v>
      </c>
      <c r="R278" s="64" t="str">
        <f>IFERROR(INDEX(입력!$J$2:$J$500, MATCH($BO278, 입력!$Z$2:$Z$500, 0)) &amp; "", "")</f>
        <v>22</v>
      </c>
      <c r="S278" s="64" t="str">
        <f>IFERROR(INDEX(입력!$K$2:$K$500, MATCH($BO278, 입력!$Z$2:$Z$500, 0)) &amp; "", "")</f>
        <v/>
      </c>
      <c r="T278" s="64">
        <f>MAX(0, 표1[[#This Row],[의무_면수]]-표1[[#This Row],[면수합]])</f>
        <v>0</v>
      </c>
      <c r="U278" s="44" t="str">
        <f t="shared" si="33"/>
        <v>이행완료</v>
      </c>
      <c r="V278" s="1">
        <f t="shared" si="37"/>
        <v>22</v>
      </c>
      <c r="W278" s="1" t="str">
        <f t="shared" si="34"/>
        <v/>
      </c>
      <c r="X278" s="1">
        <v>22</v>
      </c>
      <c r="Y278" s="64" t="str">
        <f>IFERROR(INDEX(입력!$M$2:$M$500, MATCH($BO278, 입력!$Z$2:$Z$500, 0)) &amp; "", "")</f>
        <v/>
      </c>
      <c r="Z278" s="64" t="str">
        <f>IFERROR(INDEX(입력!$N$2:$N$500, MATCH($BO278,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9"/>
        <v>이행완료</v>
      </c>
      <c r="AC278" s="64" t="str">
        <f>IFERROR(INDEX(입력!$P$2:$P$500, MATCH($BO278, 입력!$Z$2:$Z$500, 0)) &amp; "", "")</f>
        <v>1,106</v>
      </c>
      <c r="AD278" s="64" t="str">
        <f>IFERROR(INDEX(입력!$Q$2:$Q$500, MATCH($BO278, 입력!$Z$2:$Z$500, 0)) &amp; "", "")</f>
        <v>35</v>
      </c>
      <c r="AE278" s="64" t="str">
        <f>IFERROR(INDEX(입력!$R$2:$R$500, MATCH($BO278, 입력!$Z$2:$Z$500, 0)) &amp; "", "")</f>
        <v>여</v>
      </c>
      <c r="AF278" s="64" t="str">
        <f>IFERROR(INDEX(입력!$S$2:$S$500, MATCH($BO278, 입력!$Z$2:$Z$500, 0)) &amp; "", "")</f>
        <v>여</v>
      </c>
      <c r="AG278" s="64" t="str">
        <f>IFERROR(INDEX(입력!$T$2:$T$500, MATCH($BO278, 입력!$Z$2:$Z$500, 0)) &amp; "", "")</f>
        <v>부</v>
      </c>
      <c r="AH278" s="64" t="str">
        <f>IFERROR(INDEX(입력!$U$2:$U$500, MATCH($BO278, 입력!$Z$2:$Z$500, 0)) &amp; "", "")</f>
        <v/>
      </c>
      <c r="AI278" s="64" t="str">
        <f>IFERROR(INDEX(입력!$V$2:$V$500, MATCH($BO278, 입력!$Z$2:$Z$500, 0)) &amp; "", "")</f>
        <v>여</v>
      </c>
      <c r="AJ278" s="44" t="str">
        <f>IFERROR(INDEX(입력!$W$2:$W$500, MATCH($BO278, 입력!$Z$2:$Z$500, 0)) &amp; "", "")</f>
        <v>임성범</v>
      </c>
      <c r="AK278" s="44" t="str">
        <f>IFERROR(INDEX(입력!$X$2:$X$500, MATCH($BO278, 입력!$Z$2:$Z$500, 0)) &amp; "", "")</f>
        <v>951-2586</v>
      </c>
      <c r="AL278" s="2" t="s">
        <v>76</v>
      </c>
      <c r="AM278" s="17" t="s">
        <v>1650</v>
      </c>
      <c r="AN278" s="101">
        <v>2025</v>
      </c>
      <c r="AO278" s="17" t="s">
        <v>3274</v>
      </c>
      <c r="AP278" s="118"/>
      <c r="AQ278" s="21"/>
      <c r="AR278" s="119"/>
      <c r="AS278" s="101" t="s">
        <v>3163</v>
      </c>
      <c r="AT278" s="109">
        <v>46034</v>
      </c>
      <c r="AU278" s="101" t="s">
        <v>3126</v>
      </c>
      <c r="AV278" s="21" t="s">
        <v>1715</v>
      </c>
      <c r="AW278" s="101"/>
      <c r="AX278" s="119" t="s">
        <v>1890</v>
      </c>
      <c r="AY278" s="83" t="s">
        <v>3137</v>
      </c>
      <c r="AZ278" s="71" t="str">
        <f>IFERROR(IF(INDEX(입력!$C$2:$C$500, MATCH($BO278, 입력!$Z$2:$Z$500, 0))="", "", TEXT(INDEX(입력!$C$2:$C$500, MATCH($BO278, 입력!$Z$2:$Z$500, 0)), "yyyy-mm-dd")), "")</f>
        <v>2026-04-06</v>
      </c>
      <c r="BA278" s="44" t="str">
        <f>IFERROR(INDEX(입력!$B$2:$B$500, MATCH($BO278, 입력!$Z$2:$Z$500, 0)) &amp; "", "")</f>
        <v>노기섭</v>
      </c>
      <c r="BB278" s="83" t="str">
        <f>IFERROR(INDEX(입력!$Y$2:$Y$500, MATCH($BO278, 입력!$Z$2:$Z$500, 0)) &amp; "", "")</f>
        <v/>
      </c>
      <c r="BC278" s="83" t="s">
        <v>3112</v>
      </c>
      <c r="BD278" s="83"/>
      <c r="BE278" s="101"/>
      <c r="BF278" s="101"/>
      <c r="BG278" s="101"/>
      <c r="BH278" s="101"/>
      <c r="BI278" s="101"/>
      <c r="BJ278" s="101"/>
      <c r="BK278" s="110"/>
      <c r="BL278" s="21"/>
      <c r="BM278" s="22">
        <v>1114</v>
      </c>
      <c r="BN278" s="23"/>
      <c r="BO278" s="47" t="s">
        <v>667</v>
      </c>
    </row>
    <row r="279" spans="1:67" x14ac:dyDescent="0.45">
      <c r="A279" s="19">
        <v>278</v>
      </c>
      <c r="B279" s="1" t="s">
        <v>1647</v>
      </c>
      <c r="C279" s="17" t="str">
        <f t="shared" si="35"/>
        <v>이행완료</v>
      </c>
      <c r="D279" s="17" t="str">
        <f t="shared" si="38"/>
        <v/>
      </c>
      <c r="E279" s="2" t="s">
        <v>1891</v>
      </c>
      <c r="F279" s="1" t="s">
        <v>668</v>
      </c>
      <c r="G279" s="11" t="s">
        <v>1892</v>
      </c>
      <c r="H279" s="18" t="s">
        <v>1462</v>
      </c>
      <c r="I279" s="19">
        <v>254</v>
      </c>
      <c r="J279" s="2"/>
      <c r="K279" s="20" t="s">
        <v>2502</v>
      </c>
      <c r="L279" s="20"/>
      <c r="M279" s="17" t="str">
        <f t="shared" si="36"/>
        <v>기축</v>
      </c>
      <c r="N279" s="21"/>
      <c r="O279" s="21"/>
      <c r="P279" s="1">
        <f t="shared" si="32"/>
        <v>5</v>
      </c>
      <c r="Q279" s="1">
        <v>5</v>
      </c>
      <c r="R279" s="64" t="str">
        <f>IFERROR(INDEX(입력!$J$2:$J$500, MATCH($BO279, 입력!$Z$2:$Z$500, 0)) &amp; "", "")</f>
        <v/>
      </c>
      <c r="S279" s="64" t="str">
        <f>IFERROR(INDEX(입력!$K$2:$K$500, MATCH($BO279, 입력!$Z$2:$Z$500, 0)) &amp; "", "")</f>
        <v/>
      </c>
      <c r="T279" s="64">
        <f>MAX(0, 표1[[#This Row],[의무_면수]]-표1[[#This Row],[면수합]])</f>
        <v>0</v>
      </c>
      <c r="U279" s="44" t="str">
        <f t="shared" si="33"/>
        <v>이행완료</v>
      </c>
      <c r="V279" s="1">
        <f t="shared" si="37"/>
        <v>5</v>
      </c>
      <c r="W279" s="1" t="str">
        <f t="shared" si="34"/>
        <v/>
      </c>
      <c r="X279" s="1">
        <v>5</v>
      </c>
      <c r="Y279" s="64" t="str">
        <f>IFERROR(INDEX(입력!$M$2:$M$500, MATCH($BO279, 입력!$Z$2:$Z$500, 0)) &amp; "", "")</f>
        <v/>
      </c>
      <c r="Z279" s="64" t="str">
        <f>IFERROR(INDEX(입력!$N$2:$N$500, MATCH($BO279, 입력!$Z$2:$Z$500, 0)) &amp; "", "")</f>
        <v/>
      </c>
      <c r="AA279" s="64">
        <f>MAX(0, 표1[[#This Row],[의무_시설]]-표1[[#This Row],[시설합]])</f>
        <v>0</v>
      </c>
      <c r="AB279" s="17" t="str">
        <f t="shared" si="39"/>
        <v>이행완료</v>
      </c>
      <c r="AC279" s="64" t="str">
        <f>IFERROR(INDEX(입력!$P$2:$P$500, MATCH($BO279, 입력!$Z$2:$Z$500, 0)) &amp; "", "")</f>
        <v/>
      </c>
      <c r="AD279" s="64" t="str">
        <f>IFERROR(INDEX(입력!$Q$2:$Q$500, MATCH($BO279, 입력!$Z$2:$Z$500, 0)) &amp; "", "")</f>
        <v/>
      </c>
      <c r="AE279" s="64" t="str">
        <f>IFERROR(INDEX(입력!$R$2:$R$500, MATCH($BO279, 입력!$Z$2:$Z$500, 0)) &amp; "", "")</f>
        <v/>
      </c>
      <c r="AF279" s="64" t="str">
        <f>IFERROR(INDEX(입력!$S$2:$S$500, MATCH($BO279, 입력!$Z$2:$Z$500, 0)) &amp; "", "")</f>
        <v/>
      </c>
      <c r="AG279" s="64" t="str">
        <f>IFERROR(INDEX(입력!$T$2:$T$500, MATCH($BO279, 입력!$Z$2:$Z$500, 0)) &amp; "", "")</f>
        <v/>
      </c>
      <c r="AH279" s="64" t="str">
        <f>IFERROR(INDEX(입력!$U$2:$U$500, MATCH($BO279, 입력!$Z$2:$Z$500, 0)) &amp; "", "")</f>
        <v/>
      </c>
      <c r="AI279" s="64" t="str">
        <f>IFERROR(INDEX(입력!$V$2:$V$500, MATCH($BO279, 입력!$Z$2:$Z$500, 0)) &amp; "", "")</f>
        <v/>
      </c>
      <c r="AJ279" s="44" t="str">
        <f>IFERROR(INDEX(입력!$W$2:$W$500, MATCH($BO279, 입력!$Z$2:$Z$500, 0)) &amp; "", "")</f>
        <v/>
      </c>
      <c r="AK279" s="44" t="str">
        <f>IFERROR(INDEX(입력!$X$2:$X$500, MATCH($BO279, 입력!$Z$2:$Z$500, 0)) &amp; "", "")</f>
        <v/>
      </c>
      <c r="AL279" s="2"/>
      <c r="AM279" s="17" t="s">
        <v>1650</v>
      </c>
      <c r="AN279" s="101">
        <v>2025</v>
      </c>
      <c r="AO279" s="17" t="s">
        <v>3275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3131</v>
      </c>
      <c r="AZ279" s="71" t="str">
        <f>IFERROR(IF(INDEX(입력!$C$2:$C$500, MATCH($BO279, 입력!$Z$2:$Z$500, 0))="", "", TEXT(INDEX(입력!$C$2:$C$500, MATCH($BO279, 입력!$Z$2:$Z$500, 0)), "yyyy-mm-dd")), "")</f>
        <v/>
      </c>
      <c r="BA279" s="44" t="str">
        <f>IFERROR(INDEX(입력!$B$2:$B$500, MATCH($BO279, 입력!$Z$2:$Z$500, 0)) &amp; "", "")</f>
        <v/>
      </c>
      <c r="BB279" s="83" t="str">
        <f>IFERROR(INDEX(입력!$Y$2:$Y$500, MATCH($BO279, 입력!$Z$2:$Z$500, 0)) &amp; "", "")</f>
        <v/>
      </c>
      <c r="BC279" s="83" t="s">
        <v>3112</v>
      </c>
      <c r="BD279" s="83"/>
      <c r="BE279" s="101"/>
      <c r="BF279" s="101"/>
      <c r="BG279" s="101"/>
      <c r="BH279" s="101"/>
      <c r="BI279" s="101"/>
      <c r="BJ279" s="101"/>
      <c r="BK279" s="110"/>
      <c r="BL279" s="21"/>
      <c r="BM279" s="22">
        <v>254</v>
      </c>
      <c r="BN279" s="23"/>
      <c r="BO279" s="47" t="s">
        <v>669</v>
      </c>
    </row>
    <row r="280" spans="1:67" s="97" customFormat="1" x14ac:dyDescent="0.45">
      <c r="A280" s="98">
        <v>279</v>
      </c>
      <c r="B280" s="88" t="s">
        <v>1647</v>
      </c>
      <c r="C280" s="87" t="s">
        <v>3367</v>
      </c>
      <c r="D280" s="87" t="str">
        <f t="shared" si="38"/>
        <v/>
      </c>
      <c r="E280" s="88" t="s">
        <v>3351</v>
      </c>
      <c r="F280" s="88" t="s">
        <v>670</v>
      </c>
      <c r="G280" s="130" t="s">
        <v>1893</v>
      </c>
      <c r="H280" s="92" t="s">
        <v>1266</v>
      </c>
      <c r="I280" s="98">
        <v>189</v>
      </c>
      <c r="J280" s="86"/>
      <c r="K280" s="89" t="s">
        <v>2496</v>
      </c>
      <c r="L280" s="89"/>
      <c r="M280" s="87" t="str">
        <f t="shared" si="36"/>
        <v>기축</v>
      </c>
      <c r="N280" s="90"/>
      <c r="O280" s="90"/>
      <c r="P280" s="88">
        <f t="shared" si="32"/>
        <v>4</v>
      </c>
      <c r="Q280" s="88">
        <v>0</v>
      </c>
      <c r="R280" s="91" t="str">
        <f>IFERROR(INDEX(입력!$J$2:$J$500, MATCH($BO280, 입력!$Z$2:$Z$500, 0)) &amp; "", "")</f>
        <v/>
      </c>
      <c r="S280" s="91" t="str">
        <f>IFERROR(INDEX(입력!$K$2:$K$500, MATCH($BO280, 입력!$Z$2:$Z$500, 0)) &amp; "", "")</f>
        <v/>
      </c>
      <c r="T280" s="91">
        <f>MAX(0, 표1[[#This Row],[의무_면수]]-표1[[#This Row],[면수합]])</f>
        <v>4</v>
      </c>
      <c r="U280" s="92" t="str">
        <f t="shared" si="33"/>
        <v>미이행</v>
      </c>
      <c r="V280" s="88">
        <f t="shared" si="37"/>
        <v>4</v>
      </c>
      <c r="W280" s="88" t="str">
        <f t="shared" si="34"/>
        <v/>
      </c>
      <c r="X280" s="88">
        <v>10</v>
      </c>
      <c r="Y280" s="91" t="str">
        <f>IFERROR(INDEX(입력!$M$2:$M$500, MATCH($BO280, 입력!$Z$2:$Z$500, 0)) &amp; "", "")</f>
        <v/>
      </c>
      <c r="Z280" s="91" t="str">
        <f>IFERROR(INDEX(입력!$N$2:$N$500, MATCH($BO280, 입력!$Z$2:$Z$500, 0)) &amp; "", "")</f>
        <v/>
      </c>
      <c r="AA280" s="91">
        <f>MAX(0, 표1[[#This Row],[의무_시설]]-표1[[#This Row],[시설합]])</f>
        <v>0</v>
      </c>
      <c r="AB280" s="87" t="str">
        <f t="shared" si="39"/>
        <v>이행완료</v>
      </c>
      <c r="AC280" s="91" t="str">
        <f>IFERROR(INDEX(입력!$P$2:$P$500, MATCH($BO280, 입력!$Z$2:$Z$500, 0)) &amp; "", "")</f>
        <v/>
      </c>
      <c r="AD280" s="91" t="str">
        <f>IFERROR(INDEX(입력!$Q$2:$Q$500, MATCH($BO280, 입력!$Z$2:$Z$500, 0)) &amp; "", "")</f>
        <v/>
      </c>
      <c r="AE280" s="91" t="str">
        <f>IFERROR(INDEX(입력!$R$2:$R$500, MATCH($BO280, 입력!$Z$2:$Z$500, 0)) &amp; "", "")</f>
        <v/>
      </c>
      <c r="AF280" s="91" t="str">
        <f>IFERROR(INDEX(입력!$S$2:$S$500, MATCH($BO280, 입력!$Z$2:$Z$500, 0)) &amp; "", "")</f>
        <v/>
      </c>
      <c r="AG280" s="91" t="str">
        <f>IFERROR(INDEX(입력!$T$2:$T$500, MATCH($BO280, 입력!$Z$2:$Z$500, 0)) &amp; "", "")</f>
        <v/>
      </c>
      <c r="AH280" s="91" t="str">
        <f>IFERROR(INDEX(입력!$U$2:$U$500, MATCH($BO280, 입력!$Z$2:$Z$500, 0)) &amp; "", "")</f>
        <v/>
      </c>
      <c r="AI280" s="91" t="str">
        <f>IFERROR(INDEX(입력!$V$2:$V$500, MATCH($BO280, 입력!$Z$2:$Z$500, 0)) &amp; "", "")</f>
        <v/>
      </c>
      <c r="AJ280" s="92" t="str">
        <f>IFERROR(INDEX(입력!$W$2:$W$500, MATCH($BO280, 입력!$Z$2:$Z$500, 0)) &amp; "", "")</f>
        <v/>
      </c>
      <c r="AK280" s="92" t="str">
        <f>IFERROR(INDEX(입력!$X$2:$X$500, MATCH($BO280, 입력!$Z$2:$Z$500, 0)) &amp; "", "")</f>
        <v/>
      </c>
      <c r="AL280" s="86"/>
      <c r="AM280" s="87" t="s">
        <v>1650</v>
      </c>
      <c r="AN280" s="100">
        <v>2025</v>
      </c>
      <c r="AO280" s="87" t="s">
        <v>3275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3137</v>
      </c>
      <c r="AZ280" s="71" t="str">
        <f>IFERROR(IF(INDEX(입력!$C$2:$C$500, MATCH($BO280, 입력!$Z$2:$Z$500, 0))="", "", TEXT(INDEX(입력!$C$2:$C$500, MATCH($BO280, 입력!$Z$2:$Z$500, 0)), "yyyy-mm-dd")), "")</f>
        <v/>
      </c>
      <c r="BA280" s="44" t="str">
        <f>IFERROR(INDEX(입력!$B$2:$B$500, MATCH($BO280, 입력!$Z$2:$Z$500, 0)) &amp; "", "")</f>
        <v/>
      </c>
      <c r="BB280" s="93" t="str">
        <f>IFERROR(INDEX(입력!$Y$2:$Y$500, MATCH($BO280, 입력!$Z$2:$Z$500, 0)) &amp; "", "")</f>
        <v/>
      </c>
      <c r="BC280" s="93" t="s">
        <v>3112</v>
      </c>
      <c r="BD280" s="93"/>
      <c r="BE280" s="100"/>
      <c r="BF280" s="100"/>
      <c r="BG280" s="100"/>
      <c r="BH280" s="100"/>
      <c r="BI280" s="100"/>
      <c r="BJ280" s="100" t="s">
        <v>3368</v>
      </c>
      <c r="BK280" s="112"/>
      <c r="BL280" s="90"/>
      <c r="BM280" s="94">
        <v>467</v>
      </c>
      <c r="BN280" s="95"/>
      <c r="BO280" s="96" t="s">
        <v>671</v>
      </c>
    </row>
    <row r="281" spans="1:67" x14ac:dyDescent="0.45">
      <c r="A281" s="19">
        <v>280</v>
      </c>
      <c r="B281" s="1" t="s">
        <v>1647</v>
      </c>
      <c r="C281" s="17" t="str">
        <f t="shared" si="35"/>
        <v>이행완료</v>
      </c>
      <c r="D281" s="17" t="str">
        <f t="shared" si="38"/>
        <v>조사완료</v>
      </c>
      <c r="E281" s="2" t="s">
        <v>1894</v>
      </c>
      <c r="F281" s="1" t="s">
        <v>672</v>
      </c>
      <c r="G281" s="11" t="s">
        <v>1895</v>
      </c>
      <c r="H281" s="18" t="s">
        <v>1266</v>
      </c>
      <c r="I281" s="19">
        <v>897</v>
      </c>
      <c r="J281" s="2"/>
      <c r="K281" s="20" t="s">
        <v>2503</v>
      </c>
      <c r="L281" s="20"/>
      <c r="M281" s="17" t="str">
        <f t="shared" si="36"/>
        <v>기축</v>
      </c>
      <c r="N281" s="21"/>
      <c r="O281" s="21"/>
      <c r="P281" s="1">
        <f t="shared" si="32"/>
        <v>18</v>
      </c>
      <c r="Q281" s="1">
        <v>19</v>
      </c>
      <c r="R281" s="64" t="str">
        <f>IFERROR(INDEX(입력!$J$2:$J$500, MATCH($BO281, 입력!$Z$2:$Z$500, 0)) &amp; "", "")</f>
        <v>15</v>
      </c>
      <c r="S281" s="64" t="str">
        <f>IFERROR(INDEX(입력!$K$2:$K$500, MATCH($BO281, 입력!$Z$2:$Z$500, 0)) &amp; "", "")</f>
        <v>4</v>
      </c>
      <c r="T281" s="64">
        <f>MAX(0, 표1[[#This Row],[의무_면수]]-표1[[#This Row],[면수합]])</f>
        <v>0</v>
      </c>
      <c r="U281" s="44" t="str">
        <f t="shared" si="33"/>
        <v>이행완료</v>
      </c>
      <c r="V281" s="1">
        <f t="shared" si="37"/>
        <v>18</v>
      </c>
      <c r="W281" s="1" t="str">
        <f t="shared" si="34"/>
        <v/>
      </c>
      <c r="X281" s="1">
        <v>19</v>
      </c>
      <c r="Y281" s="64" t="str">
        <f>IFERROR(INDEX(입력!$M$2:$M$500, MATCH($BO281, 입력!$Z$2:$Z$500, 0)) &amp; "", "")</f>
        <v/>
      </c>
      <c r="Z281" s="64" t="str">
        <f>IFERROR(INDEX(입력!$N$2:$N$500, MATCH($BO281,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9"/>
        <v>이행완료</v>
      </c>
      <c r="AC281" s="64" t="str">
        <f>IFERROR(INDEX(입력!$P$2:$P$500, MATCH($BO281, 입력!$Z$2:$Z$500, 0)) &amp; "", "")</f>
        <v>662</v>
      </c>
      <c r="AD281" s="64" t="str">
        <f>IFERROR(INDEX(입력!$Q$2:$Q$500, MATCH($BO281, 입력!$Z$2:$Z$500, 0)) &amp; "", "")</f>
        <v>20</v>
      </c>
      <c r="AE281" s="64" t="str">
        <f>IFERROR(INDEX(입력!$R$2:$R$500, MATCH($BO281, 입력!$Z$2:$Z$500, 0)) &amp; "", "")</f>
        <v>여</v>
      </c>
      <c r="AF281" s="64" t="str">
        <f>IFERROR(INDEX(입력!$S$2:$S$500, MATCH($BO281, 입력!$Z$2:$Z$500, 0)) &amp; "", "")</f>
        <v>여</v>
      </c>
      <c r="AG281" s="64" t="str">
        <f>IFERROR(INDEX(입력!$T$2:$T$500, MATCH($BO281, 입력!$Z$2:$Z$500, 0)) &amp; "", "")</f>
        <v>부</v>
      </c>
      <c r="AH281" s="64" t="str">
        <f>IFERROR(INDEX(입력!$U$2:$U$500, MATCH($BO281, 입력!$Z$2:$Z$500, 0)) &amp; "", "")</f>
        <v/>
      </c>
      <c r="AI281" s="64" t="str">
        <f>IFERROR(INDEX(입력!$V$2:$V$500, MATCH($BO281, 입력!$Z$2:$Z$500, 0)) &amp; "", "")</f>
        <v>여</v>
      </c>
      <c r="AJ281" s="44" t="str">
        <f>IFERROR(INDEX(입력!$W$2:$W$500, MATCH($BO281, 입력!$Z$2:$Z$500, 0)) &amp; "", "")</f>
        <v>김정식</v>
      </c>
      <c r="AK281" s="44" t="str">
        <f>IFERROR(INDEX(입력!$X$2:$X$500, MATCH($BO281, 입력!$Z$2:$Z$500, 0)) &amp; "", "")</f>
        <v>962-8599</v>
      </c>
      <c r="AL281" s="2" t="s">
        <v>3829</v>
      </c>
      <c r="AM281" s="17" t="s">
        <v>1650</v>
      </c>
      <c r="AN281" s="101">
        <v>2025</v>
      </c>
      <c r="AO281" s="17" t="s">
        <v>3277</v>
      </c>
      <c r="AP281" s="101"/>
      <c r="AQ281" s="108"/>
      <c r="AR281" s="119"/>
      <c r="AS281" s="83" t="s">
        <v>3291</v>
      </c>
      <c r="AT281" s="109">
        <v>46034</v>
      </c>
      <c r="AU281" s="101" t="s">
        <v>3126</v>
      </c>
      <c r="AV281" s="101"/>
      <c r="AW281" s="101" t="s">
        <v>3149</v>
      </c>
      <c r="AX281" s="101" t="s">
        <v>3292</v>
      </c>
      <c r="AY281" s="83" t="s">
        <v>3131</v>
      </c>
      <c r="AZ281" s="71" t="str">
        <f>IFERROR(IF(INDEX(입력!$C$2:$C$500, MATCH($BO281, 입력!$Z$2:$Z$500, 0))="", "", TEXT(INDEX(입력!$C$2:$C$500, MATCH($BO281, 입력!$Z$2:$Z$500, 0)), "yyyy-mm-dd")), "")</f>
        <v>2026-05-13</v>
      </c>
      <c r="BA281" s="44" t="str">
        <f>IFERROR(INDEX(입력!$B$2:$B$500, MATCH($BO281, 입력!$Z$2:$Z$500, 0)) &amp; "", "")</f>
        <v>정은진</v>
      </c>
      <c r="BB281" s="83" t="str">
        <f>IFERROR(INDEX(입력!$Y$2:$Y$500, MATCH($BO281, 입력!$Z$2:$Z$500, 0)) &amp; "", "")</f>
        <v/>
      </c>
      <c r="BC281" s="83" t="s">
        <v>3284</v>
      </c>
      <c r="BD281" s="83"/>
      <c r="BE281" s="83" t="s">
        <v>3370</v>
      </c>
      <c r="BF281" s="109">
        <v>46155</v>
      </c>
      <c r="BG281" s="101" t="s">
        <v>1089</v>
      </c>
      <c r="BH281" s="101" t="s">
        <v>3995</v>
      </c>
      <c r="BI281" s="101"/>
      <c r="BJ281" s="101"/>
      <c r="BK281" s="110"/>
      <c r="BL281" s="21"/>
      <c r="BM281" s="22">
        <v>903</v>
      </c>
      <c r="BN281" s="23"/>
      <c r="BO281" s="47" t="s">
        <v>673</v>
      </c>
    </row>
    <row r="282" spans="1:67" x14ac:dyDescent="0.45">
      <c r="A282" s="46">
        <v>281</v>
      </c>
      <c r="B282" s="1" t="s">
        <v>1647</v>
      </c>
      <c r="C282" s="17" t="str">
        <f t="shared" si="35"/>
        <v>이행완료</v>
      </c>
      <c r="D282" s="17" t="str">
        <f t="shared" si="38"/>
        <v/>
      </c>
      <c r="E282" s="2" t="s">
        <v>1896</v>
      </c>
      <c r="F282" s="1" t="s">
        <v>674</v>
      </c>
      <c r="G282" s="11" t="s">
        <v>1897</v>
      </c>
      <c r="H282" s="18" t="s">
        <v>1266</v>
      </c>
      <c r="I282" s="19">
        <v>617</v>
      </c>
      <c r="J282" s="2"/>
      <c r="K282" s="20" t="s">
        <v>2504</v>
      </c>
      <c r="L282" s="20"/>
      <c r="M282" s="17" t="str">
        <f t="shared" si="36"/>
        <v>기축</v>
      </c>
      <c r="N282" s="21"/>
      <c r="O282" s="21"/>
      <c r="P282" s="1">
        <f t="shared" si="32"/>
        <v>12</v>
      </c>
      <c r="Q282" s="1">
        <v>13</v>
      </c>
      <c r="R282" s="64" t="str">
        <f>IFERROR(INDEX(입력!$J$2:$J$500, MATCH($BO282, 입력!$Z$2:$Z$500, 0)) &amp; "", "")</f>
        <v/>
      </c>
      <c r="S282" s="64" t="str">
        <f>IFERROR(INDEX(입력!$K$2:$K$500, MATCH($BO282, 입력!$Z$2:$Z$500, 0)) &amp; "", "")</f>
        <v/>
      </c>
      <c r="T282" s="64">
        <f>MAX(0, 표1[[#This Row],[의무_면수]]-표1[[#This Row],[면수합]])</f>
        <v>0</v>
      </c>
      <c r="U282" s="44" t="str">
        <f t="shared" si="33"/>
        <v>이행완료</v>
      </c>
      <c r="V282" s="1">
        <f t="shared" si="37"/>
        <v>12</v>
      </c>
      <c r="W282" s="1" t="str">
        <f t="shared" si="34"/>
        <v/>
      </c>
      <c r="X282" s="1">
        <v>13</v>
      </c>
      <c r="Y282" s="64" t="str">
        <f>IFERROR(INDEX(입력!$M$2:$M$500, MATCH($BO282, 입력!$Z$2:$Z$500, 0)) &amp; "", "")</f>
        <v/>
      </c>
      <c r="Z282" s="64" t="str">
        <f>IFERROR(INDEX(입력!$N$2:$N$500, MATCH($BO282, 입력!$Z$2:$Z$500, 0)) &amp; "", "")</f>
        <v/>
      </c>
      <c r="AA282" s="64">
        <f>MAX(0, 표1[[#This Row],[의무_시설]]-표1[[#This Row],[시설합]])</f>
        <v>0</v>
      </c>
      <c r="AB282" s="17" t="str">
        <f t="shared" si="39"/>
        <v>이행완료</v>
      </c>
      <c r="AC282" s="64" t="str">
        <f>IFERROR(INDEX(입력!$P$2:$P$500, MATCH($BO282, 입력!$Z$2:$Z$500, 0)) &amp; "", "")</f>
        <v/>
      </c>
      <c r="AD282" s="64" t="str">
        <f>IFERROR(INDEX(입력!$Q$2:$Q$500, MATCH($BO282, 입력!$Z$2:$Z$500, 0)) &amp; "", "")</f>
        <v/>
      </c>
      <c r="AE282" s="64" t="str">
        <f>IFERROR(INDEX(입력!$R$2:$R$500, MATCH($BO282, 입력!$Z$2:$Z$500, 0)) &amp; "", "")</f>
        <v/>
      </c>
      <c r="AF282" s="64" t="str">
        <f>IFERROR(INDEX(입력!$S$2:$S$500, MATCH($BO282, 입력!$Z$2:$Z$500, 0)) &amp; "", "")</f>
        <v/>
      </c>
      <c r="AG282" s="64" t="str">
        <f>IFERROR(INDEX(입력!$T$2:$T$500, MATCH($BO282, 입력!$Z$2:$Z$500, 0)) &amp; "", "")</f>
        <v/>
      </c>
      <c r="AH282" s="64" t="str">
        <f>IFERROR(INDEX(입력!$U$2:$U$500, MATCH($BO282, 입력!$Z$2:$Z$500, 0)) &amp; "", "")</f>
        <v/>
      </c>
      <c r="AI282" s="64" t="str">
        <f>IFERROR(INDEX(입력!$V$2:$V$500, MATCH($BO282, 입력!$Z$2:$Z$500, 0)) &amp; "", "")</f>
        <v/>
      </c>
      <c r="AJ282" s="44" t="str">
        <f>IFERROR(INDEX(입력!$W$2:$W$500, MATCH($BO282, 입력!$Z$2:$Z$500, 0)) &amp; "", "")</f>
        <v/>
      </c>
      <c r="AK282" s="44" t="str">
        <f>IFERROR(INDEX(입력!$X$2:$X$500, MATCH($BO282, 입력!$Z$2:$Z$500, 0)) &amp; "", "")</f>
        <v/>
      </c>
      <c r="AL282" s="2"/>
      <c r="AM282" s="17" t="s">
        <v>1650</v>
      </c>
      <c r="AN282" s="101">
        <v>2025</v>
      </c>
      <c r="AO282" s="17" t="s">
        <v>3274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3137</v>
      </c>
      <c r="AZ282" s="71" t="str">
        <f>IFERROR(IF(INDEX(입력!$C$2:$C$500, MATCH($BO282, 입력!$Z$2:$Z$500, 0))="", "", TEXT(INDEX(입력!$C$2:$C$500, MATCH($BO282, 입력!$Z$2:$Z$500, 0)), "yyyy-mm-dd")), "")</f>
        <v/>
      </c>
      <c r="BA282" s="44" t="str">
        <f>IFERROR(INDEX(입력!$B$2:$B$500, MATCH($BO282, 입력!$Z$2:$Z$500, 0)) &amp; "", "")</f>
        <v/>
      </c>
      <c r="BB282" s="83" t="str">
        <f>IFERROR(INDEX(입력!$Y$2:$Y$500, MATCH($BO282, 입력!$Z$2:$Z$500, 0)) &amp; "", "")</f>
        <v/>
      </c>
      <c r="BC282" s="83" t="s">
        <v>3112</v>
      </c>
      <c r="BD282" s="83"/>
      <c r="BE282" s="101"/>
      <c r="BF282" s="101"/>
      <c r="BG282" s="101"/>
      <c r="BH282" s="101"/>
      <c r="BI282" s="101"/>
      <c r="BJ282" s="101"/>
      <c r="BK282" s="110"/>
      <c r="BL282" s="21"/>
      <c r="BM282" s="22">
        <v>625</v>
      </c>
      <c r="BN282" s="23"/>
      <c r="BO282" s="47" t="s">
        <v>675</v>
      </c>
    </row>
    <row r="283" spans="1:67" x14ac:dyDescent="0.45">
      <c r="A283" s="19">
        <v>282</v>
      </c>
      <c r="B283" s="1" t="s">
        <v>1647</v>
      </c>
      <c r="C283" s="17" t="str">
        <f t="shared" si="35"/>
        <v>이행완료</v>
      </c>
      <c r="D283" s="17" t="str">
        <f t="shared" si="38"/>
        <v/>
      </c>
      <c r="E283" s="2" t="s">
        <v>1898</v>
      </c>
      <c r="F283" s="1" t="s">
        <v>676</v>
      </c>
      <c r="G283" s="1" t="s">
        <v>1899</v>
      </c>
      <c r="H283" s="18" t="s">
        <v>1462</v>
      </c>
      <c r="I283" s="19">
        <v>265</v>
      </c>
      <c r="J283" s="2"/>
      <c r="K283" s="20" t="s">
        <v>2505</v>
      </c>
      <c r="L283" s="20"/>
      <c r="M283" s="17" t="str">
        <f t="shared" si="36"/>
        <v>기축</v>
      </c>
      <c r="N283" s="21"/>
      <c r="O283" s="21"/>
      <c r="P283" s="1">
        <f t="shared" si="32"/>
        <v>5</v>
      </c>
      <c r="Q283" s="1">
        <v>5</v>
      </c>
      <c r="R283" s="64" t="str">
        <f>IFERROR(INDEX(입력!$J$2:$J$500, MATCH($BO283, 입력!$Z$2:$Z$500, 0)) &amp; "", "")</f>
        <v/>
      </c>
      <c r="S283" s="64" t="str">
        <f>IFERROR(INDEX(입력!$K$2:$K$500, MATCH($BO283, 입력!$Z$2:$Z$500, 0)) &amp; "", "")</f>
        <v/>
      </c>
      <c r="T283" s="64">
        <f>MAX(0, 표1[[#This Row],[의무_면수]]-표1[[#This Row],[면수합]])</f>
        <v>0</v>
      </c>
      <c r="U283" s="44" t="str">
        <f t="shared" si="33"/>
        <v>이행완료</v>
      </c>
      <c r="V283" s="1">
        <f t="shared" si="37"/>
        <v>5</v>
      </c>
      <c r="W283" s="1" t="str">
        <f t="shared" si="34"/>
        <v/>
      </c>
      <c r="X283" s="1">
        <v>5</v>
      </c>
      <c r="Y283" s="64" t="str">
        <f>IFERROR(INDEX(입력!$M$2:$M$500, MATCH($BO283, 입력!$Z$2:$Z$500, 0)) &amp; "", "")</f>
        <v/>
      </c>
      <c r="Z283" s="64" t="str">
        <f>IFERROR(INDEX(입력!$N$2:$N$500, MATCH($BO283, 입력!$Z$2:$Z$500, 0)) &amp; "", "")</f>
        <v/>
      </c>
      <c r="AA283" s="64">
        <f>MAX(0, 표1[[#This Row],[의무_시설]]-표1[[#This Row],[시설합]])</f>
        <v>0</v>
      </c>
      <c r="AB283" s="17" t="str">
        <f t="shared" si="39"/>
        <v>이행완료</v>
      </c>
      <c r="AC283" s="64" t="str">
        <f>IFERROR(INDEX(입력!$P$2:$P$500, MATCH($BO283, 입력!$Z$2:$Z$500, 0)) &amp; "", "")</f>
        <v/>
      </c>
      <c r="AD283" s="64" t="str">
        <f>IFERROR(INDEX(입력!$Q$2:$Q$500, MATCH($BO283, 입력!$Z$2:$Z$500, 0)) &amp; "", "")</f>
        <v/>
      </c>
      <c r="AE283" s="64" t="str">
        <f>IFERROR(INDEX(입력!$R$2:$R$500, MATCH($BO283, 입력!$Z$2:$Z$500, 0)) &amp; "", "")</f>
        <v/>
      </c>
      <c r="AF283" s="64" t="str">
        <f>IFERROR(INDEX(입력!$S$2:$S$500, MATCH($BO283, 입력!$Z$2:$Z$500, 0)) &amp; "", "")</f>
        <v/>
      </c>
      <c r="AG283" s="64" t="str">
        <f>IFERROR(INDEX(입력!$T$2:$T$500, MATCH($BO283, 입력!$Z$2:$Z$500, 0)) &amp; "", "")</f>
        <v/>
      </c>
      <c r="AH283" s="64" t="str">
        <f>IFERROR(INDEX(입력!$U$2:$U$500, MATCH($BO283, 입력!$Z$2:$Z$500, 0)) &amp; "", "")</f>
        <v/>
      </c>
      <c r="AI283" s="64" t="str">
        <f>IFERROR(INDEX(입력!$V$2:$V$500, MATCH($BO283, 입력!$Z$2:$Z$500, 0)) &amp; "", "")</f>
        <v/>
      </c>
      <c r="AJ283" s="44" t="str">
        <f>IFERROR(INDEX(입력!$W$2:$W$500, MATCH($BO283, 입력!$Z$2:$Z$500, 0)) &amp; "", "")</f>
        <v/>
      </c>
      <c r="AK283" s="44" t="str">
        <f>IFERROR(INDEX(입력!$X$2:$X$500, MATCH($BO283, 입력!$Z$2:$Z$500, 0)) &amp; "", "")</f>
        <v/>
      </c>
      <c r="AL283" s="2" t="s">
        <v>1900</v>
      </c>
      <c r="AM283" s="17" t="s">
        <v>1650</v>
      </c>
      <c r="AN283" s="101">
        <v>2025</v>
      </c>
      <c r="AO283" s="17" t="s">
        <v>3275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3137</v>
      </c>
      <c r="AZ283" s="71" t="str">
        <f>IFERROR(IF(INDEX(입력!$C$2:$C$500, MATCH($BO283, 입력!$Z$2:$Z$500, 0))="", "", TEXT(INDEX(입력!$C$2:$C$500, MATCH($BO283, 입력!$Z$2:$Z$500, 0)), "yyyy-mm-dd")), "")</f>
        <v/>
      </c>
      <c r="BA283" s="44" t="str">
        <f>IFERROR(INDEX(입력!$B$2:$B$500, MATCH($BO283, 입력!$Z$2:$Z$500, 0)) &amp; "", "")</f>
        <v/>
      </c>
      <c r="BB283" s="83" t="str">
        <f>IFERROR(INDEX(입력!$Y$2:$Y$500, MATCH($BO283, 입력!$Z$2:$Z$500, 0)) &amp; "", "")</f>
        <v/>
      </c>
      <c r="BC283" s="83" t="s">
        <v>3112</v>
      </c>
      <c r="BD283" s="83"/>
      <c r="BE283" s="101"/>
      <c r="BF283" s="101"/>
      <c r="BG283" s="101"/>
      <c r="BH283" s="101"/>
      <c r="BI283" s="101"/>
      <c r="BJ283" s="101"/>
      <c r="BK283" s="110"/>
      <c r="BL283" s="21"/>
      <c r="BM283" s="22">
        <v>265</v>
      </c>
      <c r="BN283" s="23"/>
      <c r="BO283" s="47" t="s">
        <v>677</v>
      </c>
    </row>
    <row r="284" spans="1:67" x14ac:dyDescent="0.45">
      <c r="A284" s="46">
        <v>283</v>
      </c>
      <c r="B284" s="1" t="s">
        <v>1647</v>
      </c>
      <c r="C284" s="17" t="str">
        <f t="shared" si="35"/>
        <v>이행완료</v>
      </c>
      <c r="D284" s="17" t="str">
        <f t="shared" si="38"/>
        <v/>
      </c>
      <c r="E284" s="2" t="s">
        <v>1901</v>
      </c>
      <c r="F284" s="1" t="s">
        <v>678</v>
      </c>
      <c r="G284" s="1" t="s">
        <v>1902</v>
      </c>
      <c r="H284" s="18" t="s">
        <v>1462</v>
      </c>
      <c r="I284" s="19">
        <v>179</v>
      </c>
      <c r="J284" s="2"/>
      <c r="K284" s="20" t="s">
        <v>2506</v>
      </c>
      <c r="L284" s="20"/>
      <c r="M284" s="17" t="str">
        <f t="shared" si="36"/>
        <v>기축</v>
      </c>
      <c r="N284" s="21"/>
      <c r="O284" s="21"/>
      <c r="P284" s="1">
        <f t="shared" si="32"/>
        <v>4</v>
      </c>
      <c r="Q284" s="1">
        <v>4</v>
      </c>
      <c r="R284" s="64" t="str">
        <f>IFERROR(INDEX(입력!$J$2:$J$500, MATCH($BO284, 입력!$Z$2:$Z$500, 0)) &amp; "", "")</f>
        <v/>
      </c>
      <c r="S284" s="64" t="str">
        <f>IFERROR(INDEX(입력!$K$2:$K$500, MATCH($BO284, 입력!$Z$2:$Z$500, 0)) &amp; "", "")</f>
        <v/>
      </c>
      <c r="T284" s="64">
        <f>MAX(0, 표1[[#This Row],[의무_면수]]-표1[[#This Row],[면수합]])</f>
        <v>0</v>
      </c>
      <c r="U284" s="44" t="str">
        <f t="shared" si="33"/>
        <v>이행완료</v>
      </c>
      <c r="V284" s="1">
        <f t="shared" si="37"/>
        <v>4</v>
      </c>
      <c r="W284" s="1" t="str">
        <f t="shared" si="34"/>
        <v/>
      </c>
      <c r="X284" s="1">
        <v>4</v>
      </c>
      <c r="Y284" s="64" t="str">
        <f>IFERROR(INDEX(입력!$M$2:$M$500, MATCH($BO284, 입력!$Z$2:$Z$500, 0)) &amp; "", "")</f>
        <v/>
      </c>
      <c r="Z284" s="64" t="str">
        <f>IFERROR(INDEX(입력!$N$2:$N$500, MATCH($BO284, 입력!$Z$2:$Z$500, 0)) &amp; "", "")</f>
        <v/>
      </c>
      <c r="AA284" s="64">
        <f>MAX(0, 표1[[#This Row],[의무_시설]]-표1[[#This Row],[시설합]])</f>
        <v>0</v>
      </c>
      <c r="AB284" s="17" t="str">
        <f t="shared" si="39"/>
        <v>이행완료</v>
      </c>
      <c r="AC284" s="64" t="str">
        <f>IFERROR(INDEX(입력!$P$2:$P$500, MATCH($BO284, 입력!$Z$2:$Z$500, 0)) &amp; "", "")</f>
        <v/>
      </c>
      <c r="AD284" s="64" t="str">
        <f>IFERROR(INDEX(입력!$Q$2:$Q$500, MATCH($BO284, 입력!$Z$2:$Z$500, 0)) &amp; "", "")</f>
        <v/>
      </c>
      <c r="AE284" s="64" t="str">
        <f>IFERROR(INDEX(입력!$R$2:$R$500, MATCH($BO284, 입력!$Z$2:$Z$500, 0)) &amp; "", "")</f>
        <v/>
      </c>
      <c r="AF284" s="64" t="str">
        <f>IFERROR(INDEX(입력!$S$2:$S$500, MATCH($BO284, 입력!$Z$2:$Z$500, 0)) &amp; "", "")</f>
        <v/>
      </c>
      <c r="AG284" s="64" t="str">
        <f>IFERROR(INDEX(입력!$T$2:$T$500, MATCH($BO284, 입력!$Z$2:$Z$500, 0)) &amp; "", "")</f>
        <v/>
      </c>
      <c r="AH284" s="64" t="str">
        <f>IFERROR(INDEX(입력!$U$2:$U$500, MATCH($BO284, 입력!$Z$2:$Z$500, 0)) &amp; "", "")</f>
        <v/>
      </c>
      <c r="AI284" s="64" t="str">
        <f>IFERROR(INDEX(입력!$V$2:$V$500, MATCH($BO284, 입력!$Z$2:$Z$500, 0)) &amp; "", "")</f>
        <v/>
      </c>
      <c r="AJ284" s="44" t="str">
        <f>IFERROR(INDEX(입력!$W$2:$W$500, MATCH($BO284, 입력!$Z$2:$Z$500, 0)) &amp; "", "")</f>
        <v/>
      </c>
      <c r="AK284" s="44" t="str">
        <f>IFERROR(INDEX(입력!$X$2:$X$500, MATCH($BO284, 입력!$Z$2:$Z$500, 0)) &amp; "", "")</f>
        <v/>
      </c>
      <c r="AL284" s="2"/>
      <c r="AM284" s="17" t="s">
        <v>1650</v>
      </c>
      <c r="AN284" s="101">
        <v>2025</v>
      </c>
      <c r="AO284" s="17" t="s">
        <v>3274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3137</v>
      </c>
      <c r="AZ284" s="71" t="str">
        <f>IFERROR(IF(INDEX(입력!$C$2:$C$500, MATCH($BO284, 입력!$Z$2:$Z$500, 0))="", "", TEXT(INDEX(입력!$C$2:$C$500, MATCH($BO284, 입력!$Z$2:$Z$500, 0)), "yyyy-mm-dd")), "")</f>
        <v/>
      </c>
      <c r="BA284" s="44" t="str">
        <f>IFERROR(INDEX(입력!$B$2:$B$500, MATCH($BO284, 입력!$Z$2:$Z$500, 0)) &amp; "", "")</f>
        <v/>
      </c>
      <c r="BB284" s="83" t="str">
        <f>IFERROR(INDEX(입력!$Y$2:$Y$500, MATCH($BO284, 입력!$Z$2:$Z$500, 0)) &amp; "", "")</f>
        <v/>
      </c>
      <c r="BC284" s="83" t="s">
        <v>3112</v>
      </c>
      <c r="BD284" s="83"/>
      <c r="BE284" s="101"/>
      <c r="BF284" s="101"/>
      <c r="BG284" s="101"/>
      <c r="BH284" s="101"/>
      <c r="BI284" s="101"/>
      <c r="BJ284" s="101"/>
      <c r="BK284" s="110"/>
      <c r="BL284" s="21"/>
      <c r="BM284" s="22">
        <v>179</v>
      </c>
      <c r="BN284" s="23"/>
      <c r="BO284" s="47" t="s">
        <v>679</v>
      </c>
    </row>
    <row r="285" spans="1:67" x14ac:dyDescent="0.45">
      <c r="A285" s="19">
        <v>284</v>
      </c>
      <c r="B285" s="1" t="s">
        <v>1647</v>
      </c>
      <c r="C285" s="17" t="str">
        <f t="shared" si="35"/>
        <v>이행완료</v>
      </c>
      <c r="D285" s="17" t="str">
        <f t="shared" si="38"/>
        <v/>
      </c>
      <c r="E285" s="2" t="s">
        <v>1903</v>
      </c>
      <c r="F285" s="1" t="s">
        <v>411</v>
      </c>
      <c r="G285" s="1" t="s">
        <v>1536</v>
      </c>
      <c r="H285" s="18" t="s">
        <v>1109</v>
      </c>
      <c r="I285" s="19">
        <v>779</v>
      </c>
      <c r="J285" s="2"/>
      <c r="K285" s="20" t="s">
        <v>2507</v>
      </c>
      <c r="L285" s="20"/>
      <c r="M285" s="17" t="str">
        <f t="shared" si="36"/>
        <v>기축</v>
      </c>
      <c r="N285" s="21"/>
      <c r="O285" s="21"/>
      <c r="P285" s="1">
        <f t="shared" si="32"/>
        <v>16</v>
      </c>
      <c r="Q285" s="1">
        <v>16</v>
      </c>
      <c r="R285" s="64" t="str">
        <f>IFERROR(INDEX(입력!$J$2:$J$500, MATCH($BO285, 입력!$Z$2:$Z$500, 0)) &amp; "", "")</f>
        <v/>
      </c>
      <c r="S285" s="64" t="str">
        <f>IFERROR(INDEX(입력!$K$2:$K$500, MATCH($BO285, 입력!$Z$2:$Z$500, 0)) &amp; "", "")</f>
        <v/>
      </c>
      <c r="T285" s="64">
        <f>MAX(0, 표1[[#This Row],[의무_면수]]-표1[[#This Row],[면수합]])</f>
        <v>0</v>
      </c>
      <c r="U285" s="44" t="str">
        <f t="shared" si="33"/>
        <v>이행완료</v>
      </c>
      <c r="V285" s="1">
        <f t="shared" si="37"/>
        <v>16</v>
      </c>
      <c r="W285" s="1" t="str">
        <f t="shared" si="34"/>
        <v/>
      </c>
      <c r="X285" s="1">
        <v>16</v>
      </c>
      <c r="Y285" s="64" t="str">
        <f>IFERROR(INDEX(입력!$M$2:$M$500, MATCH($BO285, 입력!$Z$2:$Z$500, 0)) &amp; "", "")</f>
        <v/>
      </c>
      <c r="Z285" s="64" t="str">
        <f>IFERROR(INDEX(입력!$N$2:$N$500, MATCH($BO285, 입력!$Z$2:$Z$500, 0)) &amp; "", "")</f>
        <v/>
      </c>
      <c r="AA285" s="64">
        <f>MAX(0, 표1[[#This Row],[의무_시설]]-표1[[#This Row],[시설합]])</f>
        <v>0</v>
      </c>
      <c r="AB285" s="17" t="str">
        <f t="shared" si="39"/>
        <v>이행완료</v>
      </c>
      <c r="AC285" s="64" t="str">
        <f>IFERROR(INDEX(입력!$P$2:$P$500, MATCH($BO285, 입력!$Z$2:$Z$500, 0)) &amp; "", "")</f>
        <v/>
      </c>
      <c r="AD285" s="64" t="str">
        <f>IFERROR(INDEX(입력!$Q$2:$Q$500, MATCH($BO285, 입력!$Z$2:$Z$500, 0)) &amp; "", "")</f>
        <v/>
      </c>
      <c r="AE285" s="64" t="str">
        <f>IFERROR(INDEX(입력!$R$2:$R$500, MATCH($BO285, 입력!$Z$2:$Z$500, 0)) &amp; "", "")</f>
        <v/>
      </c>
      <c r="AF285" s="64" t="str">
        <f>IFERROR(INDEX(입력!$S$2:$S$500, MATCH($BO285, 입력!$Z$2:$Z$500, 0)) &amp; "", "")</f>
        <v/>
      </c>
      <c r="AG285" s="64" t="str">
        <f>IFERROR(INDEX(입력!$T$2:$T$500, MATCH($BO285, 입력!$Z$2:$Z$500, 0)) &amp; "", "")</f>
        <v/>
      </c>
      <c r="AH285" s="64" t="str">
        <f>IFERROR(INDEX(입력!$U$2:$U$500, MATCH($BO285, 입력!$Z$2:$Z$500, 0)) &amp; "", "")</f>
        <v/>
      </c>
      <c r="AI285" s="64" t="str">
        <f>IFERROR(INDEX(입력!$V$2:$V$500, MATCH($BO285, 입력!$Z$2:$Z$500, 0)) &amp; "", "")</f>
        <v/>
      </c>
      <c r="AJ285" s="44" t="str">
        <f>IFERROR(INDEX(입력!$W$2:$W$500, MATCH($BO285, 입력!$Z$2:$Z$500, 0)) &amp; "", "")</f>
        <v/>
      </c>
      <c r="AK285" s="44" t="str">
        <f>IFERROR(INDEX(입력!$X$2:$X$500, MATCH($BO285, 입력!$Z$2:$Z$500, 0)) &amp; "", "")</f>
        <v/>
      </c>
      <c r="AL285" s="2"/>
      <c r="AM285" s="17" t="s">
        <v>1650</v>
      </c>
      <c r="AN285" s="101">
        <v>2025</v>
      </c>
      <c r="AO285" s="17" t="s">
        <v>3275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3137</v>
      </c>
      <c r="AZ285" s="71" t="str">
        <f>IFERROR(IF(INDEX(입력!$C$2:$C$500, MATCH($BO285, 입력!$Z$2:$Z$500, 0))="", "", TEXT(INDEX(입력!$C$2:$C$500, MATCH($BO285, 입력!$Z$2:$Z$500, 0)), "yyyy-mm-dd")), "")</f>
        <v/>
      </c>
      <c r="BA285" s="44" t="str">
        <f>IFERROR(INDEX(입력!$B$2:$B$500, MATCH($BO285, 입력!$Z$2:$Z$500, 0)) &amp; "", "")</f>
        <v/>
      </c>
      <c r="BB285" s="83" t="str">
        <f>IFERROR(INDEX(입력!$Y$2:$Y$500, MATCH($BO285, 입력!$Z$2:$Z$500, 0)) &amp; "", "")</f>
        <v/>
      </c>
      <c r="BC285" s="83" t="s">
        <v>3112</v>
      </c>
      <c r="BD285" s="83"/>
      <c r="BE285" s="101"/>
      <c r="BF285" s="101"/>
      <c r="BG285" s="101"/>
      <c r="BH285" s="101"/>
      <c r="BI285" s="101"/>
      <c r="BJ285" s="101"/>
      <c r="BK285" s="110"/>
      <c r="BL285" s="21"/>
      <c r="BM285" s="22">
        <v>779</v>
      </c>
      <c r="BN285" s="23"/>
      <c r="BO285" s="47" t="s">
        <v>680</v>
      </c>
    </row>
    <row r="286" spans="1:67" x14ac:dyDescent="0.45">
      <c r="A286" s="46">
        <v>285</v>
      </c>
      <c r="B286" s="1" t="s">
        <v>1647</v>
      </c>
      <c r="C286" s="17" t="str">
        <f t="shared" si="35"/>
        <v>이행완료</v>
      </c>
      <c r="D286" s="17" t="str">
        <f t="shared" si="38"/>
        <v>조사완료</v>
      </c>
      <c r="E286" s="2" t="s">
        <v>1904</v>
      </c>
      <c r="F286" s="1" t="s">
        <v>681</v>
      </c>
      <c r="G286" s="1" t="s">
        <v>1905</v>
      </c>
      <c r="H286" s="18" t="s">
        <v>1202</v>
      </c>
      <c r="I286" s="19">
        <v>760</v>
      </c>
      <c r="J286" s="2"/>
      <c r="K286" s="20" t="s">
        <v>2600</v>
      </c>
      <c r="L286" s="20"/>
      <c r="M286" s="17" t="str">
        <f t="shared" si="36"/>
        <v>기축</v>
      </c>
      <c r="N286" s="21" t="s">
        <v>1057</v>
      </c>
      <c r="O286" s="21"/>
      <c r="P286" s="1">
        <f t="shared" si="32"/>
        <v>38</v>
      </c>
      <c r="Q286" s="1">
        <v>38</v>
      </c>
      <c r="R286" s="64" t="str">
        <f>IFERROR(INDEX(입력!$J$2:$J$500, MATCH($BO286, 입력!$Z$2:$Z$500, 0)) &amp; "", "")</f>
        <v>31</v>
      </c>
      <c r="S286" s="64" t="str">
        <f>IFERROR(INDEX(입력!$K$2:$K$500, MATCH($BO286, 입력!$Z$2:$Z$500, 0)) &amp; "", "")</f>
        <v>7</v>
      </c>
      <c r="T286" s="64">
        <f>MAX(0, 표1[[#This Row],[의무_면수]]-표1[[#This Row],[면수합]])</f>
        <v>0</v>
      </c>
      <c r="U286" s="44" t="str">
        <f t="shared" si="33"/>
        <v>이행완료</v>
      </c>
      <c r="V286" s="1">
        <f t="shared" si="37"/>
        <v>15</v>
      </c>
      <c r="W286" s="1" t="str">
        <f t="shared" si="34"/>
        <v/>
      </c>
      <c r="X286" s="1">
        <v>15</v>
      </c>
      <c r="Y286" s="64" t="str">
        <f>IFERROR(INDEX(입력!$M$2:$M$500, MATCH($BO286, 입력!$Z$2:$Z$500, 0)) &amp; "", "")</f>
        <v/>
      </c>
      <c r="Z286" s="64" t="str">
        <f>IFERROR(INDEX(입력!$N$2:$N$500, MATCH($BO286,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9"/>
        <v>이행완료</v>
      </c>
      <c r="AC286" s="64" t="str">
        <f>IFERROR(INDEX(입력!$P$2:$P$500, MATCH($BO286, 입력!$Z$2:$Z$500, 0)) &amp; "", "")</f>
        <v>826</v>
      </c>
      <c r="AD286" s="64" t="str">
        <f>IFERROR(INDEX(입력!$Q$2:$Q$500, MATCH($BO286, 입력!$Z$2:$Z$500, 0)) &amp; "", "")</f>
        <v>7</v>
      </c>
      <c r="AE286" s="64" t="str">
        <f>IFERROR(INDEX(입력!$R$2:$R$500, MATCH($BO286, 입력!$Z$2:$Z$500, 0)) &amp; "", "")</f>
        <v>여</v>
      </c>
      <c r="AF286" s="64" t="str">
        <f>IFERROR(INDEX(입력!$S$2:$S$500, MATCH($BO286, 입력!$Z$2:$Z$500, 0)) &amp; "", "")</f>
        <v>여</v>
      </c>
      <c r="AG286" s="64" t="str">
        <f>IFERROR(INDEX(입력!$T$2:$T$500, MATCH($BO286, 입력!$Z$2:$Z$500, 0)) &amp; "", "")</f>
        <v>부</v>
      </c>
      <c r="AH286" s="64" t="str">
        <f>IFERROR(INDEX(입력!$U$2:$U$500, MATCH($BO286, 입력!$Z$2:$Z$500, 0)) &amp; "", "")</f>
        <v/>
      </c>
      <c r="AI286" s="64" t="str">
        <f>IFERROR(INDEX(입력!$V$2:$V$500, MATCH($BO286, 입력!$Z$2:$Z$500, 0)) &amp; "", "")</f>
        <v>여</v>
      </c>
      <c r="AJ286" s="44" t="str">
        <f>IFERROR(INDEX(입력!$W$2:$W$500, MATCH($BO286, 입력!$Z$2:$Z$500, 0)) &amp; "", "")</f>
        <v>신동신</v>
      </c>
      <c r="AK286" s="44" t="str">
        <f>IFERROR(INDEX(입력!$X$2:$X$500, MATCH($BO286, 입력!$Z$2:$Z$500, 0)) &amp; "", "")</f>
        <v>959-3538</v>
      </c>
      <c r="AL286" s="2" t="s">
        <v>1906</v>
      </c>
      <c r="AM286" s="17" t="s">
        <v>1650</v>
      </c>
      <c r="AN286" s="101">
        <v>2025</v>
      </c>
      <c r="AO286" s="17" t="s">
        <v>3275</v>
      </c>
      <c r="AP286" s="118"/>
      <c r="AQ286" s="21"/>
      <c r="AR286" s="119"/>
      <c r="AS286" s="101" t="s">
        <v>3163</v>
      </c>
      <c r="AT286" s="109">
        <v>46034</v>
      </c>
      <c r="AU286" s="101" t="s">
        <v>3126</v>
      </c>
      <c r="AV286" s="21" t="s">
        <v>1907</v>
      </c>
      <c r="AW286" s="101"/>
      <c r="AX286" s="119" t="s">
        <v>1908</v>
      </c>
      <c r="AY286" s="83" t="s">
        <v>3137</v>
      </c>
      <c r="AZ286" s="71" t="str">
        <f>IFERROR(IF(INDEX(입력!$C$2:$C$500, MATCH($BO286, 입력!$Z$2:$Z$500, 0))="", "", TEXT(INDEX(입력!$C$2:$C$500, MATCH($BO286, 입력!$Z$2:$Z$500, 0)), "yyyy-mm-dd")), "")</f>
        <v>2026-04-08</v>
      </c>
      <c r="BA286" s="44" t="str">
        <f>IFERROR(INDEX(입력!$B$2:$B$500, MATCH($BO286, 입력!$Z$2:$Z$500, 0)) &amp; "", "")</f>
        <v>정은진</v>
      </c>
      <c r="BB286" s="83" t="str">
        <f>IFERROR(INDEX(입력!$Y$2:$Y$500, MATCH($BO286, 입력!$Z$2:$Z$500, 0)) &amp; "", "")</f>
        <v/>
      </c>
      <c r="BC286" s="83" t="s">
        <v>3112</v>
      </c>
      <c r="BD286" s="83"/>
      <c r="BE286" s="101"/>
      <c r="BF286" s="101"/>
      <c r="BG286" s="101"/>
      <c r="BH286" s="101"/>
      <c r="BI286" s="101"/>
      <c r="BJ286" s="101"/>
      <c r="BK286" s="110"/>
      <c r="BL286" s="21" t="s">
        <v>2410</v>
      </c>
      <c r="BM286" s="22">
        <v>765</v>
      </c>
      <c r="BN286" s="23"/>
      <c r="BO286" s="47" t="s">
        <v>682</v>
      </c>
    </row>
    <row r="287" spans="1:67" x14ac:dyDescent="0.45">
      <c r="A287" s="19">
        <v>286</v>
      </c>
      <c r="B287" s="1" t="s">
        <v>1647</v>
      </c>
      <c r="C287" s="17" t="str">
        <f t="shared" si="35"/>
        <v>이행완료</v>
      </c>
      <c r="D287" s="17" t="str">
        <f t="shared" si="38"/>
        <v/>
      </c>
      <c r="E287" s="2" t="s">
        <v>1909</v>
      </c>
      <c r="F287" s="1" t="s">
        <v>683</v>
      </c>
      <c r="G287" s="1" t="s">
        <v>1910</v>
      </c>
      <c r="H287" s="18" t="s">
        <v>1202</v>
      </c>
      <c r="I287" s="19">
        <v>302</v>
      </c>
      <c r="J287" s="2"/>
      <c r="K287" s="20" t="s">
        <v>2508</v>
      </c>
      <c r="L287" s="20"/>
      <c r="M287" s="17" t="str">
        <f t="shared" si="36"/>
        <v>기축</v>
      </c>
      <c r="N287" s="21"/>
      <c r="O287" s="21"/>
      <c r="P287" s="1">
        <f t="shared" si="32"/>
        <v>6</v>
      </c>
      <c r="Q287" s="1">
        <v>10</v>
      </c>
      <c r="R287" s="64" t="str">
        <f>IFERROR(INDEX(입력!$J$2:$J$500, MATCH($BO287, 입력!$Z$2:$Z$500, 0)) &amp; "", "")</f>
        <v/>
      </c>
      <c r="S287" s="64" t="str">
        <f>IFERROR(INDEX(입력!$K$2:$K$500, MATCH($BO287, 입력!$Z$2:$Z$500, 0)) &amp; "", "")</f>
        <v/>
      </c>
      <c r="T287" s="64">
        <f>MAX(0, 표1[[#This Row],[의무_면수]]-표1[[#This Row],[면수합]])</f>
        <v>0</v>
      </c>
      <c r="U287" s="44" t="str">
        <f t="shared" si="33"/>
        <v>이행완료</v>
      </c>
      <c r="V287" s="1">
        <f t="shared" si="37"/>
        <v>6</v>
      </c>
      <c r="W287" s="1" t="str">
        <f t="shared" si="34"/>
        <v/>
      </c>
      <c r="X287" s="1">
        <v>10</v>
      </c>
      <c r="Y287" s="64" t="str">
        <f>IFERROR(INDEX(입력!$M$2:$M$500, MATCH($BO287, 입력!$Z$2:$Z$500, 0)) &amp; "", "")</f>
        <v/>
      </c>
      <c r="Z287" s="64" t="str">
        <f>IFERROR(INDEX(입력!$N$2:$N$500, MATCH($BO287, 입력!$Z$2:$Z$500, 0)) &amp; "", "")</f>
        <v/>
      </c>
      <c r="AA287" s="64">
        <f>MAX(0, 표1[[#This Row],[의무_시설]]-표1[[#This Row],[시설합]])</f>
        <v>0</v>
      </c>
      <c r="AB287" s="17" t="str">
        <f t="shared" si="39"/>
        <v>이행완료</v>
      </c>
      <c r="AC287" s="64" t="str">
        <f>IFERROR(INDEX(입력!$P$2:$P$500, MATCH($BO287, 입력!$Z$2:$Z$500, 0)) &amp; "", "")</f>
        <v/>
      </c>
      <c r="AD287" s="64" t="str">
        <f>IFERROR(INDEX(입력!$Q$2:$Q$500, MATCH($BO287, 입력!$Z$2:$Z$500, 0)) &amp; "", "")</f>
        <v/>
      </c>
      <c r="AE287" s="64" t="str">
        <f>IFERROR(INDEX(입력!$R$2:$R$500, MATCH($BO287, 입력!$Z$2:$Z$500, 0)) &amp; "", "")</f>
        <v/>
      </c>
      <c r="AF287" s="64" t="str">
        <f>IFERROR(INDEX(입력!$S$2:$S$500, MATCH($BO287, 입력!$Z$2:$Z$500, 0)) &amp; "", "")</f>
        <v/>
      </c>
      <c r="AG287" s="64" t="str">
        <f>IFERROR(INDEX(입력!$T$2:$T$500, MATCH($BO287, 입력!$Z$2:$Z$500, 0)) &amp; "", "")</f>
        <v/>
      </c>
      <c r="AH287" s="64" t="str">
        <f>IFERROR(INDEX(입력!$U$2:$U$500, MATCH($BO287, 입력!$Z$2:$Z$500, 0)) &amp; "", "")</f>
        <v/>
      </c>
      <c r="AI287" s="64" t="str">
        <f>IFERROR(INDEX(입력!$V$2:$V$500, MATCH($BO287, 입력!$Z$2:$Z$500, 0)) &amp; "", "")</f>
        <v/>
      </c>
      <c r="AJ287" s="44" t="str">
        <f>IFERROR(INDEX(입력!$W$2:$W$500, MATCH($BO287, 입력!$Z$2:$Z$500, 0)) &amp; "", "")</f>
        <v/>
      </c>
      <c r="AK287" s="44" t="str">
        <f>IFERROR(INDEX(입력!$X$2:$X$500, MATCH($BO287, 입력!$Z$2:$Z$500, 0)) &amp; "", "")</f>
        <v/>
      </c>
      <c r="AL287" s="2"/>
      <c r="AM287" s="17" t="s">
        <v>1650</v>
      </c>
      <c r="AN287" s="101">
        <v>2025</v>
      </c>
      <c r="AO287" s="17" t="s">
        <v>3275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3131</v>
      </c>
      <c r="AZ287" s="71" t="str">
        <f>IFERROR(IF(INDEX(입력!$C$2:$C$500, MATCH($BO287, 입력!$Z$2:$Z$500, 0))="", "", TEXT(INDEX(입력!$C$2:$C$500, MATCH($BO287, 입력!$Z$2:$Z$500, 0)), "yyyy-mm-dd")), "")</f>
        <v/>
      </c>
      <c r="BA287" s="44" t="str">
        <f>IFERROR(INDEX(입력!$B$2:$B$500, MATCH($BO287, 입력!$Z$2:$Z$500, 0)) &amp; "", "")</f>
        <v/>
      </c>
      <c r="BB287" s="83" t="str">
        <f>IFERROR(INDEX(입력!$Y$2:$Y$500, MATCH($BO287, 입력!$Z$2:$Z$500, 0)) &amp; "", "")</f>
        <v/>
      </c>
      <c r="BC287" s="83" t="s">
        <v>3112</v>
      </c>
      <c r="BD287" s="83"/>
      <c r="BE287" s="101"/>
      <c r="BF287" s="101"/>
      <c r="BG287" s="101"/>
      <c r="BH287" s="101"/>
      <c r="BI287" s="101"/>
      <c r="BJ287" s="101"/>
      <c r="BK287" s="110"/>
      <c r="BL287" s="21"/>
      <c r="BM287" s="22">
        <v>338</v>
      </c>
      <c r="BN287" s="23"/>
      <c r="BO287" s="47" t="s">
        <v>684</v>
      </c>
    </row>
    <row r="288" spans="1:67" x14ac:dyDescent="0.45">
      <c r="A288" s="46">
        <v>287</v>
      </c>
      <c r="B288" s="1" t="s">
        <v>1647</v>
      </c>
      <c r="C288" s="17" t="str">
        <f t="shared" si="35"/>
        <v>이행완료</v>
      </c>
      <c r="D288" s="17" t="str">
        <f t="shared" si="38"/>
        <v/>
      </c>
      <c r="E288" s="2" t="s">
        <v>1911</v>
      </c>
      <c r="F288" s="1" t="s">
        <v>497</v>
      </c>
      <c r="G288" s="1" t="s">
        <v>1678</v>
      </c>
      <c r="H288" s="18" t="s">
        <v>1335</v>
      </c>
      <c r="I288" s="19">
        <v>1231</v>
      </c>
      <c r="J288" s="2"/>
      <c r="K288" s="20" t="s">
        <v>2454</v>
      </c>
      <c r="L288" s="20"/>
      <c r="M288" s="17" t="str">
        <f t="shared" si="36"/>
        <v>기축</v>
      </c>
      <c r="N288" s="21"/>
      <c r="O288" s="21"/>
      <c r="P288" s="1">
        <f t="shared" si="32"/>
        <v>25</v>
      </c>
      <c r="Q288" s="1">
        <v>25</v>
      </c>
      <c r="R288" s="64" t="str">
        <f>IFERROR(INDEX(입력!$J$2:$J$500, MATCH($BO288, 입력!$Z$2:$Z$500, 0)) &amp; "", "")</f>
        <v/>
      </c>
      <c r="S288" s="64" t="str">
        <f>IFERROR(INDEX(입력!$K$2:$K$500, MATCH($BO288, 입력!$Z$2:$Z$500, 0)) &amp; "", "")</f>
        <v/>
      </c>
      <c r="T288" s="64">
        <f>MAX(0, 표1[[#This Row],[의무_면수]]-표1[[#This Row],[면수합]])</f>
        <v>0</v>
      </c>
      <c r="U288" s="44" t="str">
        <f t="shared" si="33"/>
        <v>이행완료</v>
      </c>
      <c r="V288" s="1">
        <f t="shared" si="37"/>
        <v>25</v>
      </c>
      <c r="W288" s="1" t="str">
        <f t="shared" si="34"/>
        <v/>
      </c>
      <c r="X288" s="1">
        <v>25</v>
      </c>
      <c r="Y288" s="64" t="str">
        <f>IFERROR(INDEX(입력!$M$2:$M$500, MATCH($BO288, 입력!$Z$2:$Z$500, 0)) &amp; "", "")</f>
        <v/>
      </c>
      <c r="Z288" s="64" t="str">
        <f>IFERROR(INDEX(입력!$N$2:$N$500, MATCH($BO288, 입력!$Z$2:$Z$500, 0)) &amp; "", "")</f>
        <v/>
      </c>
      <c r="AA288" s="64">
        <f>MAX(0, 표1[[#This Row],[의무_시설]]-표1[[#This Row],[시설합]])</f>
        <v>0</v>
      </c>
      <c r="AB288" s="17" t="str">
        <f t="shared" si="39"/>
        <v>이행완료</v>
      </c>
      <c r="AC288" s="64" t="str">
        <f>IFERROR(INDEX(입력!$P$2:$P$500, MATCH($BO288, 입력!$Z$2:$Z$500, 0)) &amp; "", "")</f>
        <v/>
      </c>
      <c r="AD288" s="64" t="str">
        <f>IFERROR(INDEX(입력!$Q$2:$Q$500, MATCH($BO288, 입력!$Z$2:$Z$500, 0)) &amp; "", "")</f>
        <v/>
      </c>
      <c r="AE288" s="64" t="str">
        <f>IFERROR(INDEX(입력!$R$2:$R$500, MATCH($BO288, 입력!$Z$2:$Z$500, 0)) &amp; "", "")</f>
        <v/>
      </c>
      <c r="AF288" s="64" t="str">
        <f>IFERROR(INDEX(입력!$S$2:$S$500, MATCH($BO288, 입력!$Z$2:$Z$500, 0)) &amp; "", "")</f>
        <v/>
      </c>
      <c r="AG288" s="64" t="str">
        <f>IFERROR(INDEX(입력!$T$2:$T$500, MATCH($BO288, 입력!$Z$2:$Z$500, 0)) &amp; "", "")</f>
        <v/>
      </c>
      <c r="AH288" s="64" t="str">
        <f>IFERROR(INDEX(입력!$U$2:$U$500, MATCH($BO288, 입력!$Z$2:$Z$500, 0)) &amp; "", "")</f>
        <v/>
      </c>
      <c r="AI288" s="64" t="str">
        <f>IFERROR(INDEX(입력!$V$2:$V$500, MATCH($BO288, 입력!$Z$2:$Z$500, 0)) &amp; "", "")</f>
        <v/>
      </c>
      <c r="AJ288" s="44" t="str">
        <f>IFERROR(INDEX(입력!$W$2:$W$500, MATCH($BO288, 입력!$Z$2:$Z$500, 0)) &amp; "", "")</f>
        <v/>
      </c>
      <c r="AK288" s="44" t="str">
        <f>IFERROR(INDEX(입력!$X$2:$X$500, MATCH($BO288, 입력!$Z$2:$Z$500, 0)) &amp; "", "")</f>
        <v/>
      </c>
      <c r="AL288" s="2"/>
      <c r="AM288" s="17" t="s">
        <v>1650</v>
      </c>
      <c r="AN288" s="101">
        <v>2025</v>
      </c>
      <c r="AO288" s="17" t="s">
        <v>3274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3131</v>
      </c>
      <c r="AZ288" s="71" t="str">
        <f>IFERROR(IF(INDEX(입력!$C$2:$C$500, MATCH($BO288, 입력!$Z$2:$Z$500, 0))="", "", TEXT(INDEX(입력!$C$2:$C$500, MATCH($BO288, 입력!$Z$2:$Z$500, 0)), "yyyy-mm-dd")), "")</f>
        <v/>
      </c>
      <c r="BA288" s="44" t="str">
        <f>IFERROR(INDEX(입력!$B$2:$B$500, MATCH($BO288, 입력!$Z$2:$Z$500, 0)) &amp; "", "")</f>
        <v/>
      </c>
      <c r="BB288" s="83" t="str">
        <f>IFERROR(INDEX(입력!$Y$2:$Y$500, MATCH($BO288, 입력!$Z$2:$Z$500, 0)) &amp; "", "")</f>
        <v/>
      </c>
      <c r="BC288" s="83" t="s">
        <v>3112</v>
      </c>
      <c r="BD288" s="83"/>
      <c r="BE288" s="101"/>
      <c r="BF288" s="101"/>
      <c r="BG288" s="101"/>
      <c r="BH288" s="101"/>
      <c r="BI288" s="101"/>
      <c r="BJ288" s="101"/>
      <c r="BK288" s="110"/>
      <c r="BL288" s="21"/>
      <c r="BM288" s="22">
        <v>1231</v>
      </c>
      <c r="BN288" s="23"/>
      <c r="BO288" s="47" t="s">
        <v>685</v>
      </c>
    </row>
    <row r="289" spans="1:67" x14ac:dyDescent="0.45">
      <c r="A289" s="19">
        <v>288</v>
      </c>
      <c r="B289" s="1" t="s">
        <v>1647</v>
      </c>
      <c r="C289" s="17" t="str">
        <f t="shared" si="35"/>
        <v>이행완료</v>
      </c>
      <c r="D289" s="17" t="str">
        <f t="shared" si="38"/>
        <v/>
      </c>
      <c r="E289" s="2" t="s">
        <v>1912</v>
      </c>
      <c r="F289" s="1" t="s">
        <v>686</v>
      </c>
      <c r="G289" s="1" t="s">
        <v>1913</v>
      </c>
      <c r="H289" s="18" t="s">
        <v>1266</v>
      </c>
      <c r="I289" s="19">
        <v>748</v>
      </c>
      <c r="J289" s="2"/>
      <c r="K289" s="20" t="s">
        <v>2509</v>
      </c>
      <c r="L289" s="20"/>
      <c r="M289" s="17" t="str">
        <f t="shared" si="36"/>
        <v>기축</v>
      </c>
      <c r="N289" s="21"/>
      <c r="O289" s="21"/>
      <c r="P289" s="1">
        <f t="shared" si="32"/>
        <v>15</v>
      </c>
      <c r="Q289" s="1">
        <v>15</v>
      </c>
      <c r="R289" s="64" t="str">
        <f>IFERROR(INDEX(입력!$J$2:$J$500, MATCH($BO289, 입력!$Z$2:$Z$500, 0)) &amp; "", "")</f>
        <v/>
      </c>
      <c r="S289" s="64" t="str">
        <f>IFERROR(INDEX(입력!$K$2:$K$500, MATCH($BO289, 입력!$Z$2:$Z$500, 0)) &amp; "", "")</f>
        <v/>
      </c>
      <c r="T289" s="64">
        <f>MAX(0, 표1[[#This Row],[의무_면수]]-표1[[#This Row],[면수합]])</f>
        <v>0</v>
      </c>
      <c r="U289" s="44" t="str">
        <f t="shared" si="33"/>
        <v>이행완료</v>
      </c>
      <c r="V289" s="1">
        <f t="shared" si="37"/>
        <v>15</v>
      </c>
      <c r="W289" s="1" t="str">
        <f t="shared" si="34"/>
        <v/>
      </c>
      <c r="X289" s="1">
        <v>15</v>
      </c>
      <c r="Y289" s="64" t="str">
        <f>IFERROR(INDEX(입력!$M$2:$M$500, MATCH($BO289, 입력!$Z$2:$Z$500, 0)) &amp; "", "")</f>
        <v/>
      </c>
      <c r="Z289" s="64" t="str">
        <f>IFERROR(INDEX(입력!$N$2:$N$500, MATCH($BO289, 입력!$Z$2:$Z$500, 0)) &amp; "", "")</f>
        <v/>
      </c>
      <c r="AA289" s="64">
        <f>MAX(0, 표1[[#This Row],[의무_시설]]-표1[[#This Row],[시설합]])</f>
        <v>0</v>
      </c>
      <c r="AB289" s="17" t="str">
        <f t="shared" si="39"/>
        <v>이행완료</v>
      </c>
      <c r="AC289" s="64" t="str">
        <f>IFERROR(INDEX(입력!$P$2:$P$500, MATCH($BO289, 입력!$Z$2:$Z$500, 0)) &amp; "", "")</f>
        <v/>
      </c>
      <c r="AD289" s="64" t="str">
        <f>IFERROR(INDEX(입력!$Q$2:$Q$500, MATCH($BO289, 입력!$Z$2:$Z$500, 0)) &amp; "", "")</f>
        <v/>
      </c>
      <c r="AE289" s="64" t="str">
        <f>IFERROR(INDEX(입력!$R$2:$R$500, MATCH($BO289, 입력!$Z$2:$Z$500, 0)) &amp; "", "")</f>
        <v/>
      </c>
      <c r="AF289" s="64" t="str">
        <f>IFERROR(INDEX(입력!$S$2:$S$500, MATCH($BO289, 입력!$Z$2:$Z$500, 0)) &amp; "", "")</f>
        <v/>
      </c>
      <c r="AG289" s="64" t="str">
        <f>IFERROR(INDEX(입력!$T$2:$T$500, MATCH($BO289, 입력!$Z$2:$Z$500, 0)) &amp; "", "")</f>
        <v/>
      </c>
      <c r="AH289" s="64" t="str">
        <f>IFERROR(INDEX(입력!$U$2:$U$500, MATCH($BO289, 입력!$Z$2:$Z$500, 0)) &amp; "", "")</f>
        <v/>
      </c>
      <c r="AI289" s="64" t="str">
        <f>IFERROR(INDEX(입력!$V$2:$V$500, MATCH($BO289, 입력!$Z$2:$Z$500, 0)) &amp; "", "")</f>
        <v/>
      </c>
      <c r="AJ289" s="44" t="str">
        <f>IFERROR(INDEX(입력!$W$2:$W$500, MATCH($BO289, 입력!$Z$2:$Z$500, 0)) &amp; "", "")</f>
        <v/>
      </c>
      <c r="AK289" s="44" t="str">
        <f>IFERROR(INDEX(입력!$X$2:$X$500, MATCH($BO289, 입력!$Z$2:$Z$500, 0)) &amp; "", "")</f>
        <v/>
      </c>
      <c r="AL289" s="2"/>
      <c r="AM289" s="17" t="s">
        <v>1650</v>
      </c>
      <c r="AN289" s="101">
        <v>2025</v>
      </c>
      <c r="AO289" s="17" t="s">
        <v>3275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3137</v>
      </c>
      <c r="AZ289" s="71" t="str">
        <f>IFERROR(IF(INDEX(입력!$C$2:$C$500, MATCH($BO289, 입력!$Z$2:$Z$500, 0))="", "", TEXT(INDEX(입력!$C$2:$C$500, MATCH($BO289, 입력!$Z$2:$Z$500, 0)), "yyyy-mm-dd")), "")</f>
        <v/>
      </c>
      <c r="BA289" s="44" t="str">
        <f>IFERROR(INDEX(입력!$B$2:$B$500, MATCH($BO289, 입력!$Z$2:$Z$500, 0)) &amp; "", "")</f>
        <v/>
      </c>
      <c r="BB289" s="83" t="str">
        <f>IFERROR(INDEX(입력!$Y$2:$Y$500, MATCH($BO289, 입력!$Z$2:$Z$500, 0)) &amp; "", "")</f>
        <v/>
      </c>
      <c r="BC289" s="83" t="s">
        <v>3112</v>
      </c>
      <c r="BD289" s="83"/>
      <c r="BE289" s="101"/>
      <c r="BF289" s="101"/>
      <c r="BG289" s="101"/>
      <c r="BH289" s="101"/>
      <c r="BI289" s="101"/>
      <c r="BJ289" s="101"/>
      <c r="BK289" s="110"/>
      <c r="BL289" s="21"/>
      <c r="BM289" s="22">
        <v>740</v>
      </c>
      <c r="BN289" s="23"/>
      <c r="BO289" s="47" t="s">
        <v>687</v>
      </c>
    </row>
    <row r="290" spans="1:67" x14ac:dyDescent="0.45">
      <c r="A290" s="46">
        <v>289</v>
      </c>
      <c r="B290" s="1" t="s">
        <v>1647</v>
      </c>
      <c r="C290" s="17" t="str">
        <f t="shared" si="35"/>
        <v>이행완료</v>
      </c>
      <c r="D290" s="17" t="str">
        <f t="shared" si="38"/>
        <v/>
      </c>
      <c r="E290" s="2" t="s">
        <v>1914</v>
      </c>
      <c r="F290" s="1" t="s">
        <v>688</v>
      </c>
      <c r="G290" s="1" t="s">
        <v>1915</v>
      </c>
      <c r="H290" s="18" t="s">
        <v>1202</v>
      </c>
      <c r="I290" s="19">
        <v>995</v>
      </c>
      <c r="J290" s="2"/>
      <c r="K290" s="20" t="s">
        <v>2471</v>
      </c>
      <c r="L290" s="20"/>
      <c r="M290" s="17" t="str">
        <f t="shared" si="36"/>
        <v>기축</v>
      </c>
      <c r="N290" s="21"/>
      <c r="O290" s="21"/>
      <c r="P290" s="1">
        <f t="shared" si="32"/>
        <v>20</v>
      </c>
      <c r="Q290" s="1">
        <v>20</v>
      </c>
      <c r="R290" s="64" t="str">
        <f>IFERROR(INDEX(입력!$J$2:$J$500, MATCH($BO290, 입력!$Z$2:$Z$500, 0)) &amp; "", "")</f>
        <v/>
      </c>
      <c r="S290" s="64" t="str">
        <f>IFERROR(INDEX(입력!$K$2:$K$500, MATCH($BO290, 입력!$Z$2:$Z$500, 0)) &amp; "", "")</f>
        <v/>
      </c>
      <c r="T290" s="64">
        <f>MAX(0, 표1[[#This Row],[의무_면수]]-표1[[#This Row],[면수합]])</f>
        <v>0</v>
      </c>
      <c r="U290" s="44" t="str">
        <f t="shared" si="33"/>
        <v>이행완료</v>
      </c>
      <c r="V290" s="1">
        <f t="shared" si="37"/>
        <v>20</v>
      </c>
      <c r="W290" s="1" t="str">
        <f t="shared" si="34"/>
        <v/>
      </c>
      <c r="X290" s="1">
        <v>20</v>
      </c>
      <c r="Y290" s="64" t="str">
        <f>IFERROR(INDEX(입력!$M$2:$M$500, MATCH($BO290, 입력!$Z$2:$Z$500, 0)) &amp; "", "")</f>
        <v/>
      </c>
      <c r="Z290" s="64" t="str">
        <f>IFERROR(INDEX(입력!$N$2:$N$500, MATCH($BO290, 입력!$Z$2:$Z$500, 0)) &amp; "", "")</f>
        <v/>
      </c>
      <c r="AA290" s="64">
        <f>MAX(0, 표1[[#This Row],[의무_시설]]-표1[[#This Row],[시설합]])</f>
        <v>0</v>
      </c>
      <c r="AB290" s="17" t="str">
        <f t="shared" si="39"/>
        <v>이행완료</v>
      </c>
      <c r="AC290" s="64" t="str">
        <f>IFERROR(INDEX(입력!$P$2:$P$500, MATCH($BO290, 입력!$Z$2:$Z$500, 0)) &amp; "", "")</f>
        <v/>
      </c>
      <c r="AD290" s="64" t="str">
        <f>IFERROR(INDEX(입력!$Q$2:$Q$500, MATCH($BO290, 입력!$Z$2:$Z$500, 0)) &amp; "", "")</f>
        <v/>
      </c>
      <c r="AE290" s="64" t="str">
        <f>IFERROR(INDEX(입력!$R$2:$R$500, MATCH($BO290, 입력!$Z$2:$Z$500, 0)) &amp; "", "")</f>
        <v/>
      </c>
      <c r="AF290" s="64" t="str">
        <f>IFERROR(INDEX(입력!$S$2:$S$500, MATCH($BO290, 입력!$Z$2:$Z$500, 0)) &amp; "", "")</f>
        <v/>
      </c>
      <c r="AG290" s="64" t="str">
        <f>IFERROR(INDEX(입력!$T$2:$T$500, MATCH($BO290, 입력!$Z$2:$Z$500, 0)) &amp; "", "")</f>
        <v/>
      </c>
      <c r="AH290" s="64" t="str">
        <f>IFERROR(INDEX(입력!$U$2:$U$500, MATCH($BO290, 입력!$Z$2:$Z$500, 0)) &amp; "", "")</f>
        <v/>
      </c>
      <c r="AI290" s="64" t="str">
        <f>IFERROR(INDEX(입력!$V$2:$V$500, MATCH($BO290, 입력!$Z$2:$Z$500, 0)) &amp; "", "")</f>
        <v/>
      </c>
      <c r="AJ290" s="44" t="str">
        <f>IFERROR(INDEX(입력!$W$2:$W$500, MATCH($BO290, 입력!$Z$2:$Z$500, 0)) &amp; "", "")</f>
        <v/>
      </c>
      <c r="AK290" s="44" t="str">
        <f>IFERROR(INDEX(입력!$X$2:$X$500, MATCH($BO290, 입력!$Z$2:$Z$500, 0)) &amp; "", "")</f>
        <v/>
      </c>
      <c r="AL290" s="2"/>
      <c r="AM290" s="17" t="s">
        <v>1650</v>
      </c>
      <c r="AN290" s="101">
        <v>2025</v>
      </c>
      <c r="AO290" s="17" t="s">
        <v>3274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3131</v>
      </c>
      <c r="AZ290" s="71" t="str">
        <f>IFERROR(IF(INDEX(입력!$C$2:$C$500, MATCH($BO290, 입력!$Z$2:$Z$500, 0))="", "", TEXT(INDEX(입력!$C$2:$C$500, MATCH($BO290, 입력!$Z$2:$Z$500, 0)), "yyyy-mm-dd")), "")</f>
        <v/>
      </c>
      <c r="BA290" s="44" t="str">
        <f>IFERROR(INDEX(입력!$B$2:$B$500, MATCH($BO290, 입력!$Z$2:$Z$500, 0)) &amp; "", "")</f>
        <v/>
      </c>
      <c r="BB290" s="83" t="str">
        <f>IFERROR(INDEX(입력!$Y$2:$Y$500, MATCH($BO290, 입력!$Z$2:$Z$500, 0)) &amp; "", "")</f>
        <v/>
      </c>
      <c r="BC290" s="83" t="s">
        <v>3112</v>
      </c>
      <c r="BD290" s="83"/>
      <c r="BE290" s="101"/>
      <c r="BF290" s="101"/>
      <c r="BG290" s="101"/>
      <c r="BH290" s="101"/>
      <c r="BI290" s="101"/>
      <c r="BJ290" s="101"/>
      <c r="BK290" s="110"/>
      <c r="BL290" s="21"/>
      <c r="BM290" s="22">
        <v>995</v>
      </c>
      <c r="BN290" s="23"/>
      <c r="BO290" s="47" t="s">
        <v>689</v>
      </c>
    </row>
    <row r="291" spans="1:67" x14ac:dyDescent="0.45">
      <c r="A291" s="19">
        <v>290</v>
      </c>
      <c r="B291" s="1" t="s">
        <v>1647</v>
      </c>
      <c r="C291" s="17" t="str">
        <f t="shared" si="35"/>
        <v>이행완료</v>
      </c>
      <c r="D291" s="17" t="str">
        <f t="shared" si="38"/>
        <v/>
      </c>
      <c r="E291" s="2" t="s">
        <v>1916</v>
      </c>
      <c r="F291" s="1" t="s">
        <v>690</v>
      </c>
      <c r="G291" s="1" t="s">
        <v>1917</v>
      </c>
      <c r="H291" s="18" t="s">
        <v>1202</v>
      </c>
      <c r="I291" s="19">
        <v>524</v>
      </c>
      <c r="J291" s="2"/>
      <c r="K291" s="20" t="s">
        <v>2510</v>
      </c>
      <c r="L291" s="20"/>
      <c r="M291" s="17" t="str">
        <f t="shared" si="36"/>
        <v>기축</v>
      </c>
      <c r="N291" s="21"/>
      <c r="O291" s="21"/>
      <c r="P291" s="1">
        <f t="shared" si="32"/>
        <v>10</v>
      </c>
      <c r="Q291" s="1">
        <v>16</v>
      </c>
      <c r="R291" s="64" t="str">
        <f>IFERROR(INDEX(입력!$J$2:$J$500, MATCH($BO291, 입력!$Z$2:$Z$500, 0)) &amp; "", "")</f>
        <v/>
      </c>
      <c r="S291" s="64" t="str">
        <f>IFERROR(INDEX(입력!$K$2:$K$500, MATCH($BO291, 입력!$Z$2:$Z$500, 0)) &amp; "", "")</f>
        <v/>
      </c>
      <c r="T291" s="64">
        <f>MAX(0, 표1[[#This Row],[의무_면수]]-표1[[#This Row],[면수합]])</f>
        <v>0</v>
      </c>
      <c r="U291" s="44" t="str">
        <f t="shared" si="33"/>
        <v>이행완료</v>
      </c>
      <c r="V291" s="1">
        <f t="shared" si="37"/>
        <v>10</v>
      </c>
      <c r="W291" s="1" t="str">
        <f t="shared" si="34"/>
        <v/>
      </c>
      <c r="X291" s="1">
        <v>16</v>
      </c>
      <c r="Y291" s="64" t="str">
        <f>IFERROR(INDEX(입력!$M$2:$M$500, MATCH($BO291, 입력!$Z$2:$Z$500, 0)) &amp; "", "")</f>
        <v/>
      </c>
      <c r="Z291" s="64" t="str">
        <f>IFERROR(INDEX(입력!$N$2:$N$500, MATCH($BO291, 입력!$Z$2:$Z$500, 0)) &amp; "", "")</f>
        <v/>
      </c>
      <c r="AA291" s="64">
        <f>MAX(0, 표1[[#This Row],[의무_시설]]-표1[[#This Row],[시설합]])</f>
        <v>0</v>
      </c>
      <c r="AB291" s="17" t="str">
        <f t="shared" si="39"/>
        <v>이행완료</v>
      </c>
      <c r="AC291" s="64" t="str">
        <f>IFERROR(INDEX(입력!$P$2:$P$500, MATCH($BO291, 입력!$Z$2:$Z$500, 0)) &amp; "", "")</f>
        <v/>
      </c>
      <c r="AD291" s="64" t="str">
        <f>IFERROR(INDEX(입력!$Q$2:$Q$500, MATCH($BO291, 입력!$Z$2:$Z$500, 0)) &amp; "", "")</f>
        <v/>
      </c>
      <c r="AE291" s="64" t="str">
        <f>IFERROR(INDEX(입력!$R$2:$R$500, MATCH($BO291, 입력!$Z$2:$Z$500, 0)) &amp; "", "")</f>
        <v/>
      </c>
      <c r="AF291" s="64" t="str">
        <f>IFERROR(INDEX(입력!$S$2:$S$500, MATCH($BO291, 입력!$Z$2:$Z$500, 0)) &amp; "", "")</f>
        <v/>
      </c>
      <c r="AG291" s="64" t="str">
        <f>IFERROR(INDEX(입력!$T$2:$T$500, MATCH($BO291, 입력!$Z$2:$Z$500, 0)) &amp; "", "")</f>
        <v/>
      </c>
      <c r="AH291" s="64" t="str">
        <f>IFERROR(INDEX(입력!$U$2:$U$500, MATCH($BO291, 입력!$Z$2:$Z$500, 0)) &amp; "", "")</f>
        <v/>
      </c>
      <c r="AI291" s="64" t="str">
        <f>IFERROR(INDEX(입력!$V$2:$V$500, MATCH($BO291, 입력!$Z$2:$Z$500, 0)) &amp; "", "")</f>
        <v/>
      </c>
      <c r="AJ291" s="44" t="str">
        <f>IFERROR(INDEX(입력!$W$2:$W$500, MATCH($BO291, 입력!$Z$2:$Z$500, 0)) &amp; "", "")</f>
        <v/>
      </c>
      <c r="AK291" s="44" t="str">
        <f>IFERROR(INDEX(입력!$X$2:$X$500, MATCH($BO291, 입력!$Z$2:$Z$500, 0)) &amp; "", "")</f>
        <v/>
      </c>
      <c r="AL291" s="2"/>
      <c r="AM291" s="17" t="s">
        <v>1650</v>
      </c>
      <c r="AN291" s="101">
        <v>2025</v>
      </c>
      <c r="AO291" s="17" t="s">
        <v>3274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3137</v>
      </c>
      <c r="AZ291" s="71" t="str">
        <f>IFERROR(IF(INDEX(입력!$C$2:$C$500, MATCH($BO291, 입력!$Z$2:$Z$500, 0))="", "", TEXT(INDEX(입력!$C$2:$C$500, MATCH($BO291, 입력!$Z$2:$Z$500, 0)), "yyyy-mm-dd")), "")</f>
        <v/>
      </c>
      <c r="BA291" s="44" t="str">
        <f>IFERROR(INDEX(입력!$B$2:$B$500, MATCH($BO291, 입력!$Z$2:$Z$500, 0)) &amp; "", "")</f>
        <v/>
      </c>
      <c r="BB291" s="83" t="str">
        <f>IFERROR(INDEX(입력!$Y$2:$Y$500, MATCH($BO291, 입력!$Z$2:$Z$500, 0)) &amp; "", "")</f>
        <v/>
      </c>
      <c r="BC291" s="83" t="s">
        <v>3112</v>
      </c>
      <c r="BD291" s="83"/>
      <c r="BE291" s="101"/>
      <c r="BF291" s="101"/>
      <c r="BG291" s="101"/>
      <c r="BH291" s="101"/>
      <c r="BI291" s="101"/>
      <c r="BJ291" s="101"/>
      <c r="BK291" s="110"/>
      <c r="BL291" s="21"/>
      <c r="BM291" s="22">
        <v>524</v>
      </c>
      <c r="BN291" s="23"/>
      <c r="BO291" s="47" t="s">
        <v>691</v>
      </c>
    </row>
    <row r="292" spans="1:67" x14ac:dyDescent="0.45">
      <c r="A292" s="46">
        <v>291</v>
      </c>
      <c r="B292" s="1" t="s">
        <v>1647</v>
      </c>
      <c r="C292" s="17" t="str">
        <f t="shared" si="35"/>
        <v>이행완료</v>
      </c>
      <c r="D292" s="17" t="str">
        <f t="shared" si="38"/>
        <v>조사완료</v>
      </c>
      <c r="E292" s="2" t="s">
        <v>1918</v>
      </c>
      <c r="F292" s="1" t="s">
        <v>692</v>
      </c>
      <c r="G292" s="1" t="s">
        <v>1919</v>
      </c>
      <c r="H292" s="18" t="s">
        <v>1202</v>
      </c>
      <c r="I292" s="19">
        <v>435</v>
      </c>
      <c r="J292" s="2"/>
      <c r="K292" s="20" t="s">
        <v>2471</v>
      </c>
      <c r="L292" s="20"/>
      <c r="M292" s="17" t="str">
        <f t="shared" si="36"/>
        <v>기축</v>
      </c>
      <c r="N292" s="21"/>
      <c r="O292" s="21"/>
      <c r="P292" s="1">
        <f t="shared" si="32"/>
        <v>9</v>
      </c>
      <c r="Q292" s="1">
        <v>12</v>
      </c>
      <c r="R292" s="64" t="str">
        <f>IFERROR(INDEX(입력!$J$2:$J$500, MATCH($BO292, 입력!$Z$2:$Z$500, 0)) &amp; "", "")</f>
        <v>7</v>
      </c>
      <c r="S292" s="64" t="str">
        <f>IFERROR(INDEX(입력!$K$2:$K$500, MATCH($BO292, 입력!$Z$2:$Z$500, 0)) &amp; "", "")</f>
        <v>5</v>
      </c>
      <c r="T292" s="64">
        <f>MAX(0, 표1[[#This Row],[의무_면수]]-표1[[#This Row],[면수합]])</f>
        <v>0</v>
      </c>
      <c r="U292" s="44" t="str">
        <f t="shared" si="33"/>
        <v>이행완료</v>
      </c>
      <c r="V292" s="1">
        <f t="shared" si="37"/>
        <v>9</v>
      </c>
      <c r="W292" s="1" t="str">
        <f t="shared" si="34"/>
        <v/>
      </c>
      <c r="X292" s="1">
        <v>12</v>
      </c>
      <c r="Y292" s="64" t="str">
        <f>IFERROR(INDEX(입력!$M$2:$M$500, MATCH($BO292, 입력!$Z$2:$Z$500, 0)) &amp; "", "")</f>
        <v/>
      </c>
      <c r="Z292" s="64" t="str">
        <f>IFERROR(INDEX(입력!$N$2:$N$500, MATCH($BO292,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9"/>
        <v>이행완료</v>
      </c>
      <c r="AC292" s="64" t="str">
        <f>IFERROR(INDEX(입력!$P$2:$P$500, MATCH($BO292, 입력!$Z$2:$Z$500, 0)) &amp; "", "")</f>
        <v>357</v>
      </c>
      <c r="AD292" s="64" t="str">
        <f>IFERROR(INDEX(입력!$Q$2:$Q$500, MATCH($BO292, 입력!$Z$2:$Z$500, 0)) &amp; "", "")</f>
        <v>18</v>
      </c>
      <c r="AE292" s="64" t="str">
        <f>IFERROR(INDEX(입력!$R$2:$R$500, MATCH($BO292, 입력!$Z$2:$Z$500, 0)) &amp; "", "")</f>
        <v>여</v>
      </c>
      <c r="AF292" s="64" t="str">
        <f>IFERROR(INDEX(입력!$S$2:$S$500, MATCH($BO292, 입력!$Z$2:$Z$500, 0)) &amp; "", "")</f>
        <v>여</v>
      </c>
      <c r="AG292" s="64" t="str">
        <f>IFERROR(INDEX(입력!$T$2:$T$500, MATCH($BO292, 입력!$Z$2:$Z$500, 0)) &amp; "", "")</f>
        <v>여</v>
      </c>
      <c r="AH292" s="64" t="str">
        <f>IFERROR(INDEX(입력!$U$2:$U$500, MATCH($BO292, 입력!$Z$2:$Z$500, 0)) &amp; "", "")</f>
        <v>3</v>
      </c>
      <c r="AI292" s="64" t="str">
        <f>IFERROR(INDEX(입력!$V$2:$V$500, MATCH($BO292, 입력!$Z$2:$Z$500, 0)) &amp; "", "")</f>
        <v>여</v>
      </c>
      <c r="AJ292" s="44" t="str">
        <f>IFERROR(INDEX(입력!$W$2:$W$500, MATCH($BO292, 입력!$Z$2:$Z$500, 0)) &amp; "", "")</f>
        <v>박문순</v>
      </c>
      <c r="AK292" s="44" t="str">
        <f>IFERROR(INDEX(입력!$X$2:$X$500, MATCH($BO292, 입력!$Z$2:$Z$500, 0)) &amp; "", "")</f>
        <v>961-7451</v>
      </c>
      <c r="AL292" s="2" t="s">
        <v>1920</v>
      </c>
      <c r="AM292" s="17" t="s">
        <v>1650</v>
      </c>
      <c r="AN292" s="101">
        <v>2025</v>
      </c>
      <c r="AO292" s="17" t="s">
        <v>3274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1760</v>
      </c>
      <c r="AW292" s="101"/>
      <c r="AX292" s="119" t="s">
        <v>1787</v>
      </c>
      <c r="AY292" s="83" t="s">
        <v>3137</v>
      </c>
      <c r="AZ292" s="71" t="str">
        <f>IFERROR(IF(INDEX(입력!$C$2:$C$500, MATCH($BO292, 입력!$Z$2:$Z$500, 0))="", "", TEXT(INDEX(입력!$C$2:$C$500, MATCH($BO292, 입력!$Z$2:$Z$500, 0)), "yyyy-mm-dd")), "")</f>
        <v>2026-04-03</v>
      </c>
      <c r="BA292" s="44" t="str">
        <f>IFERROR(INDEX(입력!$B$2:$B$500, MATCH($BO292, 입력!$Z$2:$Z$500, 0)) &amp; "", "")</f>
        <v>정은진</v>
      </c>
      <c r="BB292" s="83" t="str">
        <f>IFERROR(INDEX(입력!$Y$2:$Y$500, MATCH($BO292, 입력!$Z$2:$Z$500, 0)) &amp; "", "")</f>
        <v/>
      </c>
      <c r="BC292" s="83" t="s">
        <v>3112</v>
      </c>
      <c r="BD292" s="83"/>
      <c r="BE292" s="101"/>
      <c r="BF292" s="101"/>
      <c r="BG292" s="101"/>
      <c r="BH292" s="101"/>
      <c r="BI292" s="101"/>
      <c r="BJ292" s="101"/>
      <c r="BK292" s="110"/>
      <c r="BL292" s="21"/>
      <c r="BM292" s="22">
        <v>435</v>
      </c>
      <c r="BN292" s="23"/>
      <c r="BO292" s="47" t="s">
        <v>693</v>
      </c>
    </row>
    <row r="293" spans="1:67" x14ac:dyDescent="0.45">
      <c r="A293" s="19">
        <v>292</v>
      </c>
      <c r="B293" s="1" t="s">
        <v>1647</v>
      </c>
      <c r="C293" s="17" t="str">
        <f t="shared" si="35"/>
        <v>이행완료</v>
      </c>
      <c r="D293" s="17" t="str">
        <f t="shared" si="38"/>
        <v>조사완료</v>
      </c>
      <c r="E293" s="2" t="s">
        <v>1921</v>
      </c>
      <c r="F293" s="1" t="s">
        <v>1922</v>
      </c>
      <c r="G293" s="1" t="s">
        <v>1923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6"/>
        <v>기축</v>
      </c>
      <c r="N293" s="21"/>
      <c r="O293" s="21" t="s">
        <v>3105</v>
      </c>
      <c r="P293" s="1">
        <f t="shared" si="32"/>
        <v>20</v>
      </c>
      <c r="Q293" s="1">
        <v>50</v>
      </c>
      <c r="R293" s="64" t="str">
        <f>IFERROR(INDEX(입력!$J$2:$J$500, MATCH($BO293, 입력!$Z$2:$Z$500, 0)) &amp; "", "")</f>
        <v/>
      </c>
      <c r="S293" s="64" t="str">
        <f>IFERROR(INDEX(입력!$K$2:$K$500, MATCH($BO293, 입력!$Z$2:$Z$500, 0)) &amp; "", "")</f>
        <v>50</v>
      </c>
      <c r="T293" s="64">
        <f>MAX(0, 표1[[#This Row],[의무_면수]]-표1[[#This Row],[면수합]])</f>
        <v>0</v>
      </c>
      <c r="U293" s="44" t="str">
        <f t="shared" si="33"/>
        <v>이행완료</v>
      </c>
      <c r="V293" s="1">
        <f t="shared" si="37"/>
        <v>20</v>
      </c>
      <c r="W293" s="1" t="str">
        <f t="shared" si="34"/>
        <v/>
      </c>
      <c r="X293" s="1">
        <v>50</v>
      </c>
      <c r="Y293" s="64" t="str">
        <f>IFERROR(INDEX(입력!$M$2:$M$500, MATCH($BO293, 입력!$Z$2:$Z$500, 0)) &amp; "", "")</f>
        <v>1</v>
      </c>
      <c r="Z293" s="64" t="str">
        <f>IFERROR(INDEX(입력!$N$2:$N$500, MATCH($BO293,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9"/>
        <v>이행완료</v>
      </c>
      <c r="AC293" s="64" t="str">
        <f>IFERROR(INDEX(입력!$P$2:$P$500, MATCH($BO293, 입력!$Z$2:$Z$500, 0)) &amp; "", "")</f>
        <v>828</v>
      </c>
      <c r="AD293" s="64" t="str">
        <f>IFERROR(INDEX(입력!$Q$2:$Q$500, MATCH($BO293, 입력!$Z$2:$Z$500, 0)) &amp; "", "")</f>
        <v>64</v>
      </c>
      <c r="AE293" s="64" t="str">
        <f>IFERROR(INDEX(입력!$R$2:$R$500, MATCH($BO293, 입력!$Z$2:$Z$500, 0)) &amp; "", "")</f>
        <v>여</v>
      </c>
      <c r="AF293" s="64" t="str">
        <f>IFERROR(INDEX(입력!$S$2:$S$500, MATCH($BO293, 입력!$Z$2:$Z$500, 0)) &amp; "", "")</f>
        <v>여</v>
      </c>
      <c r="AG293" s="64" t="str">
        <f>IFERROR(INDEX(입력!$T$2:$T$500, MATCH($BO293, 입력!$Z$2:$Z$500, 0)) &amp; "", "")</f>
        <v>부</v>
      </c>
      <c r="AH293" s="64" t="str">
        <f>IFERROR(INDEX(입력!$U$2:$U$500, MATCH($BO293, 입력!$Z$2:$Z$500, 0)) &amp; "", "")</f>
        <v/>
      </c>
      <c r="AI293" s="64" t="str">
        <f>IFERROR(INDEX(입력!$V$2:$V$500, MATCH($BO293, 입력!$Z$2:$Z$500, 0)) &amp; "", "")</f>
        <v>여</v>
      </c>
      <c r="AJ293" s="44" t="str">
        <f>IFERROR(INDEX(입력!$W$2:$W$500, MATCH($BO293, 입력!$Z$2:$Z$500, 0)) &amp; "", "")</f>
        <v>정영천</v>
      </c>
      <c r="AK293" s="44" t="str">
        <f>IFERROR(INDEX(입력!$X$2:$X$500, MATCH($BO293, 입력!$Z$2:$Z$500, 0)) &amp; "", "")</f>
        <v>010-9654-8186</v>
      </c>
      <c r="AL293" s="2" t="s">
        <v>2428</v>
      </c>
      <c r="AM293" s="17" t="s">
        <v>1650</v>
      </c>
      <c r="AN293" s="101">
        <v>2025</v>
      </c>
      <c r="AO293" s="17" t="s">
        <v>3275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3132</v>
      </c>
      <c r="AZ293" s="71" t="str">
        <f>IFERROR(IF(INDEX(입력!$C$2:$C$500, MATCH($BO293, 입력!$Z$2:$Z$500, 0))="", "", TEXT(INDEX(입력!$C$2:$C$500, MATCH($BO293, 입력!$Z$2:$Z$500, 0)), "yyyy-mm-dd")), "")</f>
        <v>2026-04-10</v>
      </c>
      <c r="BA293" s="44" t="str">
        <f>IFERROR(INDEX(입력!$B$2:$B$500, MATCH($BO293, 입력!$Z$2:$Z$500, 0)) &amp; "", "")</f>
        <v>이승수</v>
      </c>
      <c r="BB293" s="83" t="str">
        <f>IFERROR(INDEX(입력!$Y$2:$Y$500, MATCH($BO293, 입력!$Z$2:$Z$500, 0)) &amp; "", "")</f>
        <v/>
      </c>
      <c r="BC293" s="83" t="s">
        <v>3112</v>
      </c>
      <c r="BD293" s="83"/>
      <c r="BE293" s="101"/>
      <c r="BF293" s="101"/>
      <c r="BG293" s="101"/>
      <c r="BH293" s="101"/>
      <c r="BI293" s="101"/>
      <c r="BJ293" s="101"/>
      <c r="BK293" s="110"/>
      <c r="BL293" s="21" t="s">
        <v>3100</v>
      </c>
      <c r="BM293" s="22">
        <v>996</v>
      </c>
      <c r="BN293" s="23"/>
      <c r="BO293" s="47" t="s">
        <v>694</v>
      </c>
    </row>
    <row r="294" spans="1:67" x14ac:dyDescent="0.45">
      <c r="A294" s="46">
        <v>293</v>
      </c>
      <c r="B294" s="1" t="s">
        <v>1647</v>
      </c>
      <c r="C294" s="17" t="str">
        <f t="shared" si="35"/>
        <v>이행완료</v>
      </c>
      <c r="D294" s="17" t="str">
        <f t="shared" si="38"/>
        <v>조사완료</v>
      </c>
      <c r="E294" s="2" t="s">
        <v>1924</v>
      </c>
      <c r="F294" s="1" t="s">
        <v>695</v>
      </c>
      <c r="G294" s="1" t="s">
        <v>1925</v>
      </c>
      <c r="H294" s="18" t="s">
        <v>1097</v>
      </c>
      <c r="I294" s="19">
        <v>1202</v>
      </c>
      <c r="J294" s="2"/>
      <c r="K294" s="20" t="s">
        <v>2338</v>
      </c>
      <c r="L294" s="20"/>
      <c r="M294" s="17" t="str">
        <f t="shared" si="36"/>
        <v>기축</v>
      </c>
      <c r="N294" s="21" t="s">
        <v>3844</v>
      </c>
      <c r="O294" s="21"/>
      <c r="P294" s="1">
        <f t="shared" si="32"/>
        <v>24</v>
      </c>
      <c r="Q294" s="1">
        <v>34</v>
      </c>
      <c r="R294" s="64" t="str">
        <f>IFERROR(INDEX(입력!$J$2:$J$500, MATCH($BO294, 입력!$Z$2:$Z$500, 0)) &amp; "", "")</f>
        <v>24</v>
      </c>
      <c r="S294" s="64" t="str">
        <f>IFERROR(INDEX(입력!$K$2:$K$500, MATCH($BO294, 입력!$Z$2:$Z$500, 0)) &amp; "", "")</f>
        <v>10</v>
      </c>
      <c r="T294" s="64">
        <f>MAX(0, 표1[[#This Row],[의무_면수]]-표1[[#This Row],[면수합]])</f>
        <v>0</v>
      </c>
      <c r="U294" s="44" t="str">
        <f t="shared" si="33"/>
        <v>이행완료</v>
      </c>
      <c r="V294" s="1">
        <f t="shared" si="37"/>
        <v>24</v>
      </c>
      <c r="W294" s="1" t="str">
        <f t="shared" si="34"/>
        <v/>
      </c>
      <c r="X294" s="1">
        <v>34</v>
      </c>
      <c r="Y294" s="64" t="str">
        <f>IFERROR(INDEX(입력!$M$2:$M$500, MATCH($BO294, 입력!$Z$2:$Z$500, 0)) &amp; "", "")</f>
        <v/>
      </c>
      <c r="Z294" s="64" t="str">
        <f>IFERROR(INDEX(입력!$N$2:$N$500, MATCH($BO294,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9"/>
        <v>이행완료</v>
      </c>
      <c r="AC294" s="64" t="str">
        <f>IFERROR(INDEX(입력!$P$2:$P$500, MATCH($BO294, 입력!$Z$2:$Z$500, 0)) &amp; "", "")</f>
        <v>1022</v>
      </c>
      <c r="AD294" s="64" t="str">
        <f>IFERROR(INDEX(입력!$Q$2:$Q$500, MATCH($BO294, 입력!$Z$2:$Z$500, 0)) &amp; "", "")</f>
        <v>22</v>
      </c>
      <c r="AE294" s="64" t="str">
        <f>IFERROR(INDEX(입력!$R$2:$R$500, MATCH($BO294, 입력!$Z$2:$Z$500, 0)) &amp; "", "")</f>
        <v>부</v>
      </c>
      <c r="AF294" s="64" t="str">
        <f>IFERROR(INDEX(입력!$S$2:$S$500, MATCH($BO294, 입력!$Z$2:$Z$500, 0)) &amp; "", "")</f>
        <v>부</v>
      </c>
      <c r="AG294" s="64" t="str">
        <f>IFERROR(INDEX(입력!$T$2:$T$500, MATCH($BO294, 입력!$Z$2:$Z$500, 0)) &amp; "", "")</f>
        <v>부</v>
      </c>
      <c r="AH294" s="64" t="str">
        <f>IFERROR(INDEX(입력!$U$2:$U$500, MATCH($BO294, 입력!$Z$2:$Z$500, 0)) &amp; "", "")</f>
        <v/>
      </c>
      <c r="AI294" s="64" t="str">
        <f>IFERROR(INDEX(입력!$V$2:$V$500, MATCH($BO294, 입력!$Z$2:$Z$500, 0)) &amp; "", "")</f>
        <v>여</v>
      </c>
      <c r="AJ294" s="44" t="str">
        <f>IFERROR(INDEX(입력!$W$2:$W$500, MATCH($BO294, 입력!$Z$2:$Z$500, 0)) &amp; "", "")</f>
        <v>박형선</v>
      </c>
      <c r="AK294" s="44" t="str">
        <f>IFERROR(INDEX(입력!$X$2:$X$500, MATCH($BO294, 입력!$Z$2:$Z$500, 0)) &amp; "", "")</f>
        <v>944-9548</v>
      </c>
      <c r="AL294" s="2" t="s">
        <v>1926</v>
      </c>
      <c r="AM294" s="17" t="s">
        <v>1650</v>
      </c>
      <c r="AN294" s="101">
        <v>2025</v>
      </c>
      <c r="AO294" s="17" t="s">
        <v>3277</v>
      </c>
      <c r="AP294" s="101"/>
      <c r="AQ294" s="108"/>
      <c r="AR294" s="119"/>
      <c r="AS294" s="101" t="s">
        <v>3163</v>
      </c>
      <c r="AT294" s="109">
        <v>46034</v>
      </c>
      <c r="AU294" s="101" t="s">
        <v>3141</v>
      </c>
      <c r="AV294" s="108" t="s">
        <v>1927</v>
      </c>
      <c r="AW294" s="101" t="s">
        <v>3293</v>
      </c>
      <c r="AX294" s="101"/>
      <c r="AY294" s="83" t="s">
        <v>3137</v>
      </c>
      <c r="AZ294" s="71" t="str">
        <f>IFERROR(IF(INDEX(입력!$C$2:$C$500, MATCH($BO294, 입력!$Z$2:$Z$500, 0))="", "", TEXT(INDEX(입력!$C$2:$C$500, MATCH($BO294, 입력!$Z$2:$Z$500, 0)), "yyyy-mm-dd")), "")</f>
        <v>2026-04-08</v>
      </c>
      <c r="BA294" s="44" t="str">
        <f>IFERROR(INDEX(입력!$B$2:$B$500, MATCH($BO294, 입력!$Z$2:$Z$500, 0)) &amp; "", "")</f>
        <v>최하영</v>
      </c>
      <c r="BB294" s="83" t="str">
        <f>IFERROR(INDEX(입력!$Y$2:$Y$500, MATCH($BO294, 입력!$Z$2:$Z$500, 0)) &amp; "", "")</f>
        <v>4월중 18기 추가설치진행, 지하10기 철거예정, 임대의무기간 2027년 종료, 49%조기분양전환</v>
      </c>
      <c r="BC294" s="83" t="s">
        <v>3149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3845</v>
      </c>
      <c r="BI294" s="101"/>
      <c r="BJ294" s="101"/>
      <c r="BK294" s="110"/>
      <c r="BL294" s="21" t="s">
        <v>2410</v>
      </c>
      <c r="BM294" s="22">
        <v>1202</v>
      </c>
      <c r="BN294" s="23"/>
      <c r="BO294" s="47" t="s">
        <v>696</v>
      </c>
    </row>
    <row r="295" spans="1:67" x14ac:dyDescent="0.45">
      <c r="A295" s="19">
        <v>294</v>
      </c>
      <c r="B295" s="1" t="s">
        <v>1647</v>
      </c>
      <c r="C295" s="17" t="str">
        <f t="shared" si="35"/>
        <v>이행완료</v>
      </c>
      <c r="D295" s="17" t="str">
        <f t="shared" si="38"/>
        <v/>
      </c>
      <c r="E295" s="2" t="s">
        <v>1928</v>
      </c>
      <c r="F295" s="1" t="s">
        <v>697</v>
      </c>
      <c r="G295" s="1" t="s">
        <v>1929</v>
      </c>
      <c r="H295" s="18" t="s">
        <v>1097</v>
      </c>
      <c r="I295" s="19">
        <v>208</v>
      </c>
      <c r="J295" s="2"/>
      <c r="K295" s="20" t="s">
        <v>2486</v>
      </c>
      <c r="L295" s="20"/>
      <c r="M295" s="17" t="str">
        <f t="shared" si="36"/>
        <v>기축</v>
      </c>
      <c r="N295" s="21"/>
      <c r="O295" s="21"/>
      <c r="P295" s="1">
        <f t="shared" si="32"/>
        <v>4</v>
      </c>
      <c r="Q295" s="1">
        <v>5</v>
      </c>
      <c r="R295" s="64" t="str">
        <f>IFERROR(INDEX(입력!$J$2:$J$500, MATCH($BO295, 입력!$Z$2:$Z$500, 0)) &amp; "", "")</f>
        <v/>
      </c>
      <c r="S295" s="64" t="str">
        <f>IFERROR(INDEX(입력!$K$2:$K$500, MATCH($BO295, 입력!$Z$2:$Z$500, 0)) &amp; "", "")</f>
        <v/>
      </c>
      <c r="T295" s="64">
        <f>MAX(0, 표1[[#This Row],[의무_면수]]-표1[[#This Row],[면수합]])</f>
        <v>0</v>
      </c>
      <c r="U295" s="44" t="str">
        <f t="shared" si="33"/>
        <v>이행완료</v>
      </c>
      <c r="V295" s="1">
        <f t="shared" si="37"/>
        <v>4</v>
      </c>
      <c r="W295" s="1" t="str">
        <f t="shared" si="34"/>
        <v/>
      </c>
      <c r="X295" s="1">
        <v>5</v>
      </c>
      <c r="Y295" s="64" t="str">
        <f>IFERROR(INDEX(입력!$M$2:$M$500, MATCH($BO295, 입력!$Z$2:$Z$500, 0)) &amp; "", "")</f>
        <v/>
      </c>
      <c r="Z295" s="64" t="str">
        <f>IFERROR(INDEX(입력!$N$2:$N$500, MATCH($BO295, 입력!$Z$2:$Z$500, 0)) &amp; "", "")</f>
        <v/>
      </c>
      <c r="AA295" s="64">
        <f>MAX(0, 표1[[#This Row],[의무_시설]]-표1[[#This Row],[시설합]])</f>
        <v>0</v>
      </c>
      <c r="AB295" s="17" t="str">
        <f t="shared" si="39"/>
        <v>이행완료</v>
      </c>
      <c r="AC295" s="64" t="str">
        <f>IFERROR(INDEX(입력!$P$2:$P$500, MATCH($BO295, 입력!$Z$2:$Z$500, 0)) &amp; "", "")</f>
        <v/>
      </c>
      <c r="AD295" s="64" t="str">
        <f>IFERROR(INDEX(입력!$Q$2:$Q$500, MATCH($BO295, 입력!$Z$2:$Z$500, 0)) &amp; "", "")</f>
        <v/>
      </c>
      <c r="AE295" s="64" t="str">
        <f>IFERROR(INDEX(입력!$R$2:$R$500, MATCH($BO295, 입력!$Z$2:$Z$500, 0)) &amp; "", "")</f>
        <v/>
      </c>
      <c r="AF295" s="64" t="str">
        <f>IFERROR(INDEX(입력!$S$2:$S$500, MATCH($BO295, 입력!$Z$2:$Z$500, 0)) &amp; "", "")</f>
        <v/>
      </c>
      <c r="AG295" s="64" t="str">
        <f>IFERROR(INDEX(입력!$T$2:$T$500, MATCH($BO295, 입력!$Z$2:$Z$500, 0)) &amp; "", "")</f>
        <v/>
      </c>
      <c r="AH295" s="64" t="str">
        <f>IFERROR(INDEX(입력!$U$2:$U$500, MATCH($BO295, 입력!$Z$2:$Z$500, 0)) &amp; "", "")</f>
        <v/>
      </c>
      <c r="AI295" s="64" t="str">
        <f>IFERROR(INDEX(입력!$V$2:$V$500, MATCH($BO295, 입력!$Z$2:$Z$500, 0)) &amp; "", "")</f>
        <v/>
      </c>
      <c r="AJ295" s="44" t="str">
        <f>IFERROR(INDEX(입력!$W$2:$W$500, MATCH($BO295, 입력!$Z$2:$Z$500, 0)) &amp; "", "")</f>
        <v/>
      </c>
      <c r="AK295" s="44" t="str">
        <f>IFERROR(INDEX(입력!$X$2:$X$500, MATCH($BO295, 입력!$Z$2:$Z$500, 0)) &amp; "", "")</f>
        <v/>
      </c>
      <c r="AL295" s="2"/>
      <c r="AM295" s="17" t="s">
        <v>1650</v>
      </c>
      <c r="AN295" s="101">
        <v>2025</v>
      </c>
      <c r="AO295" s="17" t="s">
        <v>3274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3137</v>
      </c>
      <c r="AZ295" s="71" t="str">
        <f>IFERROR(IF(INDEX(입력!$C$2:$C$500, MATCH($BO295, 입력!$Z$2:$Z$500, 0))="", "", TEXT(INDEX(입력!$C$2:$C$500, MATCH($BO295, 입력!$Z$2:$Z$500, 0)), "yyyy-mm-dd")), "")</f>
        <v/>
      </c>
      <c r="BA295" s="44" t="str">
        <f>IFERROR(INDEX(입력!$B$2:$B$500, MATCH($BO295, 입력!$Z$2:$Z$500, 0)) &amp; "", "")</f>
        <v/>
      </c>
      <c r="BB295" s="83" t="str">
        <f>IFERROR(INDEX(입력!$Y$2:$Y$500, MATCH($BO295, 입력!$Z$2:$Z$500, 0)) &amp; "", "")</f>
        <v/>
      </c>
      <c r="BC295" s="83" t="s">
        <v>3112</v>
      </c>
      <c r="BD295" s="83"/>
      <c r="BE295" s="101"/>
      <c r="BF295" s="101"/>
      <c r="BG295" s="101"/>
      <c r="BH295" s="101"/>
      <c r="BI295" s="101"/>
      <c r="BJ295" s="101"/>
      <c r="BK295" s="110"/>
      <c r="BL295" s="21"/>
      <c r="BM295" s="22">
        <v>208</v>
      </c>
      <c r="BN295" s="23"/>
      <c r="BO295" s="47" t="s">
        <v>698</v>
      </c>
    </row>
    <row r="296" spans="1:67" x14ac:dyDescent="0.45">
      <c r="A296" s="46">
        <v>295</v>
      </c>
      <c r="B296" s="1" t="s">
        <v>1647</v>
      </c>
      <c r="C296" s="17" t="str">
        <f t="shared" si="35"/>
        <v>이행완료</v>
      </c>
      <c r="D296" s="17" t="str">
        <f t="shared" si="38"/>
        <v/>
      </c>
      <c r="E296" s="2" t="s">
        <v>1930</v>
      </c>
      <c r="F296" s="1" t="s">
        <v>699</v>
      </c>
      <c r="G296" s="1" t="s">
        <v>1931</v>
      </c>
      <c r="H296" s="18" t="s">
        <v>1172</v>
      </c>
      <c r="I296" s="19">
        <v>231</v>
      </c>
      <c r="J296" s="2"/>
      <c r="K296" s="20" t="s">
        <v>2601</v>
      </c>
      <c r="L296" s="20"/>
      <c r="M296" s="17" t="str">
        <f t="shared" si="36"/>
        <v>기축</v>
      </c>
      <c r="N296" s="21"/>
      <c r="O296" s="21"/>
      <c r="P296" s="1">
        <f t="shared" si="32"/>
        <v>5</v>
      </c>
      <c r="Q296" s="1">
        <v>9</v>
      </c>
      <c r="R296" s="64" t="str">
        <f>IFERROR(INDEX(입력!$J$2:$J$500, MATCH($BO296, 입력!$Z$2:$Z$500, 0)) &amp; "", "")</f>
        <v/>
      </c>
      <c r="S296" s="64" t="str">
        <f>IFERROR(INDEX(입력!$K$2:$K$500, MATCH($BO296, 입력!$Z$2:$Z$500, 0)) &amp; "", "")</f>
        <v/>
      </c>
      <c r="T296" s="64">
        <f>MAX(0, 표1[[#This Row],[의무_면수]]-표1[[#This Row],[면수합]])</f>
        <v>0</v>
      </c>
      <c r="U296" s="44" t="str">
        <f t="shared" si="33"/>
        <v>이행완료</v>
      </c>
      <c r="V296" s="1">
        <f t="shared" si="37"/>
        <v>5</v>
      </c>
      <c r="W296" s="1" t="str">
        <f t="shared" si="34"/>
        <v/>
      </c>
      <c r="X296" s="1">
        <v>9</v>
      </c>
      <c r="Y296" s="64" t="str">
        <f>IFERROR(INDEX(입력!$M$2:$M$500, MATCH($BO296, 입력!$Z$2:$Z$500, 0)) &amp; "", "")</f>
        <v/>
      </c>
      <c r="Z296" s="64" t="str">
        <f>IFERROR(INDEX(입력!$N$2:$N$500, MATCH($BO296, 입력!$Z$2:$Z$500, 0)) &amp; "", "")</f>
        <v/>
      </c>
      <c r="AA296" s="64">
        <f>MAX(0, 표1[[#This Row],[의무_시설]]-표1[[#This Row],[시설합]])</f>
        <v>0</v>
      </c>
      <c r="AB296" s="17" t="str">
        <f t="shared" si="39"/>
        <v>이행완료</v>
      </c>
      <c r="AC296" s="64" t="str">
        <f>IFERROR(INDEX(입력!$P$2:$P$500, MATCH($BO296, 입력!$Z$2:$Z$500, 0)) &amp; "", "")</f>
        <v/>
      </c>
      <c r="AD296" s="64" t="str">
        <f>IFERROR(INDEX(입력!$Q$2:$Q$500, MATCH($BO296, 입력!$Z$2:$Z$500, 0)) &amp; "", "")</f>
        <v/>
      </c>
      <c r="AE296" s="64" t="str">
        <f>IFERROR(INDEX(입력!$R$2:$R$500, MATCH($BO296, 입력!$Z$2:$Z$500, 0)) &amp; "", "")</f>
        <v/>
      </c>
      <c r="AF296" s="64" t="str">
        <f>IFERROR(INDEX(입력!$S$2:$S$500, MATCH($BO296, 입력!$Z$2:$Z$500, 0)) &amp; "", "")</f>
        <v/>
      </c>
      <c r="AG296" s="64" t="str">
        <f>IFERROR(INDEX(입력!$T$2:$T$500, MATCH($BO296, 입력!$Z$2:$Z$500, 0)) &amp; "", "")</f>
        <v/>
      </c>
      <c r="AH296" s="64" t="str">
        <f>IFERROR(INDEX(입력!$U$2:$U$500, MATCH($BO296, 입력!$Z$2:$Z$500, 0)) &amp; "", "")</f>
        <v/>
      </c>
      <c r="AI296" s="64" t="str">
        <f>IFERROR(INDEX(입력!$V$2:$V$500, MATCH($BO296, 입력!$Z$2:$Z$500, 0)) &amp; "", "")</f>
        <v/>
      </c>
      <c r="AJ296" s="44" t="str">
        <f>IFERROR(INDEX(입력!$W$2:$W$500, MATCH($BO296, 입력!$Z$2:$Z$500, 0)) &amp; "", "")</f>
        <v/>
      </c>
      <c r="AK296" s="44" t="str">
        <f>IFERROR(INDEX(입력!$X$2:$X$500, MATCH($BO296, 입력!$Z$2:$Z$500, 0)) &amp; "", "")</f>
        <v/>
      </c>
      <c r="AL296" s="2"/>
      <c r="AM296" s="17" t="s">
        <v>1650</v>
      </c>
      <c r="AN296" s="101">
        <v>2025</v>
      </c>
      <c r="AO296" s="17" t="s">
        <v>3274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3132</v>
      </c>
      <c r="AZ296" s="71" t="str">
        <f>IFERROR(IF(INDEX(입력!$C$2:$C$500, MATCH($BO296, 입력!$Z$2:$Z$500, 0))="", "", TEXT(INDEX(입력!$C$2:$C$500, MATCH($BO296, 입력!$Z$2:$Z$500, 0)), "yyyy-mm-dd")), "")</f>
        <v/>
      </c>
      <c r="BA296" s="44" t="str">
        <f>IFERROR(INDEX(입력!$B$2:$B$500, MATCH($BO296, 입력!$Z$2:$Z$500, 0)) &amp; "", "")</f>
        <v/>
      </c>
      <c r="BB296" s="83" t="str">
        <f>IFERROR(INDEX(입력!$Y$2:$Y$500, MATCH($BO296, 입력!$Z$2:$Z$500, 0)) &amp; "", "")</f>
        <v/>
      </c>
      <c r="BC296" s="83" t="s">
        <v>3112</v>
      </c>
      <c r="BD296" s="83"/>
      <c r="BE296" s="101"/>
      <c r="BF296" s="101"/>
      <c r="BG296" s="101"/>
      <c r="BH296" s="101"/>
      <c r="BI296" s="101"/>
      <c r="BJ296" s="101"/>
      <c r="BK296" s="110"/>
      <c r="BL296" s="21"/>
      <c r="BM296" s="22">
        <v>234</v>
      </c>
      <c r="BN296" s="23"/>
      <c r="BO296" s="47" t="s">
        <v>700</v>
      </c>
    </row>
    <row r="297" spans="1:67" x14ac:dyDescent="0.45">
      <c r="A297" s="19">
        <v>296</v>
      </c>
      <c r="B297" s="1" t="s">
        <v>1647</v>
      </c>
      <c r="C297" s="17" t="str">
        <f t="shared" si="35"/>
        <v>이행완료</v>
      </c>
      <c r="D297" s="17" t="str">
        <f t="shared" si="38"/>
        <v/>
      </c>
      <c r="E297" s="2" t="s">
        <v>1932</v>
      </c>
      <c r="F297" s="1" t="s">
        <v>701</v>
      </c>
      <c r="G297" s="1" t="s">
        <v>1933</v>
      </c>
      <c r="H297" s="18" t="s">
        <v>1172</v>
      </c>
      <c r="I297" s="46">
        <v>428</v>
      </c>
      <c r="J297" s="2"/>
      <c r="K297" s="20" t="s">
        <v>2487</v>
      </c>
      <c r="L297" s="20"/>
      <c r="M297" s="17" t="str">
        <f t="shared" si="36"/>
        <v>기축</v>
      </c>
      <c r="N297" s="21"/>
      <c r="O297" s="21"/>
      <c r="P297" s="1">
        <f t="shared" si="32"/>
        <v>9</v>
      </c>
      <c r="Q297" s="1">
        <v>10</v>
      </c>
      <c r="R297" s="64" t="str">
        <f>IFERROR(INDEX(입력!$J$2:$J$500, MATCH($BO297, 입력!$Z$2:$Z$500, 0)) &amp; "", "")</f>
        <v/>
      </c>
      <c r="S297" s="64" t="str">
        <f>IFERROR(INDEX(입력!$K$2:$K$500, MATCH($BO297, 입력!$Z$2:$Z$500, 0)) &amp; "", "")</f>
        <v/>
      </c>
      <c r="T297" s="64">
        <f>MAX(0, 표1[[#This Row],[의무_면수]]-표1[[#This Row],[면수합]])</f>
        <v>0</v>
      </c>
      <c r="U297" s="44" t="str">
        <f t="shared" si="33"/>
        <v>이행완료</v>
      </c>
      <c r="V297" s="1">
        <f t="shared" si="37"/>
        <v>9</v>
      </c>
      <c r="W297" s="1" t="str">
        <f t="shared" si="34"/>
        <v/>
      </c>
      <c r="X297" s="1">
        <v>10</v>
      </c>
      <c r="Y297" s="64" t="str">
        <f>IFERROR(INDEX(입력!$M$2:$M$500, MATCH($BO297, 입력!$Z$2:$Z$500, 0)) &amp; "", "")</f>
        <v/>
      </c>
      <c r="Z297" s="64" t="str">
        <f>IFERROR(INDEX(입력!$N$2:$N$500, MATCH($BO297, 입력!$Z$2:$Z$500, 0)) &amp; "", "")</f>
        <v/>
      </c>
      <c r="AA297" s="64">
        <f>MAX(0, 표1[[#This Row],[의무_시설]]-표1[[#This Row],[시설합]])</f>
        <v>0</v>
      </c>
      <c r="AB297" s="17" t="str">
        <f t="shared" si="39"/>
        <v>이행완료</v>
      </c>
      <c r="AC297" s="64" t="str">
        <f>IFERROR(INDEX(입력!$P$2:$P$500, MATCH($BO297, 입력!$Z$2:$Z$500, 0)) &amp; "", "")</f>
        <v/>
      </c>
      <c r="AD297" s="64" t="str">
        <f>IFERROR(INDEX(입력!$Q$2:$Q$500, MATCH($BO297, 입력!$Z$2:$Z$500, 0)) &amp; "", "")</f>
        <v/>
      </c>
      <c r="AE297" s="64" t="str">
        <f>IFERROR(INDEX(입력!$R$2:$R$500, MATCH($BO297, 입력!$Z$2:$Z$500, 0)) &amp; "", "")</f>
        <v/>
      </c>
      <c r="AF297" s="64" t="str">
        <f>IFERROR(INDEX(입력!$S$2:$S$500, MATCH($BO297, 입력!$Z$2:$Z$500, 0)) &amp; "", "")</f>
        <v/>
      </c>
      <c r="AG297" s="64" t="str">
        <f>IFERROR(INDEX(입력!$T$2:$T$500, MATCH($BO297, 입력!$Z$2:$Z$500, 0)) &amp; "", "")</f>
        <v/>
      </c>
      <c r="AH297" s="64" t="str">
        <f>IFERROR(INDEX(입력!$U$2:$U$500, MATCH($BO297, 입력!$Z$2:$Z$500, 0)) &amp; "", "")</f>
        <v/>
      </c>
      <c r="AI297" s="64" t="str">
        <f>IFERROR(INDEX(입력!$V$2:$V$500, MATCH($BO297, 입력!$Z$2:$Z$500, 0)) &amp; "", "")</f>
        <v/>
      </c>
      <c r="AJ297" s="44" t="str">
        <f>IFERROR(INDEX(입력!$W$2:$W$500, MATCH($BO297, 입력!$Z$2:$Z$500, 0)) &amp; "", "")</f>
        <v/>
      </c>
      <c r="AK297" s="44" t="str">
        <f>IFERROR(INDEX(입력!$X$2:$X$500, MATCH($BO297, 입력!$Z$2:$Z$500, 0)) &amp; "", "")</f>
        <v/>
      </c>
      <c r="AL297" s="2"/>
      <c r="AM297" s="17" t="s">
        <v>1650</v>
      </c>
      <c r="AN297" s="101">
        <v>2025</v>
      </c>
      <c r="AO297" s="17" t="s">
        <v>3274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3137</v>
      </c>
      <c r="AZ297" s="71" t="str">
        <f>IFERROR(IF(INDEX(입력!$C$2:$C$500, MATCH($BO297, 입력!$Z$2:$Z$500, 0))="", "", TEXT(INDEX(입력!$C$2:$C$500, MATCH($BO297, 입력!$Z$2:$Z$500, 0)), "yyyy-mm-dd")), "")</f>
        <v/>
      </c>
      <c r="BA297" s="44" t="str">
        <f>IFERROR(INDEX(입력!$B$2:$B$500, MATCH($BO297, 입력!$Z$2:$Z$500, 0)) &amp; "", "")</f>
        <v/>
      </c>
      <c r="BB297" s="83" t="str">
        <f>IFERROR(INDEX(입력!$Y$2:$Y$500, MATCH($BO297, 입력!$Z$2:$Z$500, 0)) &amp; "", "")</f>
        <v/>
      </c>
      <c r="BC297" s="83" t="s">
        <v>3112</v>
      </c>
      <c r="BD297" s="83"/>
      <c r="BE297" s="101"/>
      <c r="BF297" s="101"/>
      <c r="BG297" s="101"/>
      <c r="BH297" s="101"/>
      <c r="BI297" s="101"/>
      <c r="BJ297" s="101"/>
      <c r="BK297" s="110"/>
      <c r="BL297" s="21"/>
      <c r="BM297" s="22">
        <v>491</v>
      </c>
      <c r="BN297" s="23"/>
      <c r="BO297" s="47" t="s">
        <v>702</v>
      </c>
    </row>
    <row r="298" spans="1:67" x14ac:dyDescent="0.45">
      <c r="A298" s="46">
        <v>297</v>
      </c>
      <c r="B298" s="1" t="s">
        <v>1647</v>
      </c>
      <c r="C298" s="17" t="str">
        <f t="shared" si="35"/>
        <v>이행완료</v>
      </c>
      <c r="D298" s="17" t="str">
        <f t="shared" si="38"/>
        <v/>
      </c>
      <c r="E298" s="2" t="s">
        <v>1934</v>
      </c>
      <c r="F298" s="1" t="s">
        <v>2521</v>
      </c>
      <c r="G298" s="1" t="s">
        <v>1935</v>
      </c>
      <c r="H298" s="18" t="s">
        <v>1172</v>
      </c>
      <c r="I298" s="46">
        <v>230</v>
      </c>
      <c r="J298" s="2"/>
      <c r="K298" s="20" t="s">
        <v>2488</v>
      </c>
      <c r="L298" s="20"/>
      <c r="M298" s="17" t="str">
        <f t="shared" si="36"/>
        <v>기축</v>
      </c>
      <c r="N298" s="21"/>
      <c r="O298" s="21"/>
      <c r="P298" s="1">
        <f t="shared" si="32"/>
        <v>5</v>
      </c>
      <c r="Q298" s="1">
        <v>10</v>
      </c>
      <c r="R298" s="64" t="str">
        <f>IFERROR(INDEX(입력!$J$2:$J$500, MATCH($BO298, 입력!$Z$2:$Z$500, 0)) &amp; "", "")</f>
        <v/>
      </c>
      <c r="S298" s="64" t="str">
        <f>IFERROR(INDEX(입력!$K$2:$K$500, MATCH($BO298, 입력!$Z$2:$Z$500, 0)) &amp; "", "")</f>
        <v/>
      </c>
      <c r="T298" s="64">
        <f>MAX(0, 표1[[#This Row],[의무_면수]]-표1[[#This Row],[면수합]])</f>
        <v>0</v>
      </c>
      <c r="U298" s="44" t="str">
        <f t="shared" si="33"/>
        <v>이행완료</v>
      </c>
      <c r="V298" s="1">
        <f t="shared" si="37"/>
        <v>5</v>
      </c>
      <c r="W298" s="1" t="str">
        <f t="shared" si="34"/>
        <v/>
      </c>
      <c r="X298" s="1">
        <v>10</v>
      </c>
      <c r="Y298" s="64" t="str">
        <f>IFERROR(INDEX(입력!$M$2:$M$500, MATCH($BO298, 입력!$Z$2:$Z$500, 0)) &amp; "", "")</f>
        <v/>
      </c>
      <c r="Z298" s="64" t="str">
        <f>IFERROR(INDEX(입력!$N$2:$N$500, MATCH($BO298, 입력!$Z$2:$Z$500, 0)) &amp; "", "")</f>
        <v/>
      </c>
      <c r="AA298" s="64">
        <f>MAX(0, 표1[[#This Row],[의무_시설]]-표1[[#This Row],[시설합]])</f>
        <v>0</v>
      </c>
      <c r="AB298" s="17" t="str">
        <f t="shared" si="39"/>
        <v>이행완료</v>
      </c>
      <c r="AC298" s="64" t="str">
        <f>IFERROR(INDEX(입력!$P$2:$P$500, MATCH($BO298, 입력!$Z$2:$Z$500, 0)) &amp; "", "")</f>
        <v/>
      </c>
      <c r="AD298" s="64" t="str">
        <f>IFERROR(INDEX(입력!$Q$2:$Q$500, MATCH($BO298, 입력!$Z$2:$Z$500, 0)) &amp; "", "")</f>
        <v/>
      </c>
      <c r="AE298" s="64" t="str">
        <f>IFERROR(INDEX(입력!$R$2:$R$500, MATCH($BO298, 입력!$Z$2:$Z$500, 0)) &amp; "", "")</f>
        <v/>
      </c>
      <c r="AF298" s="64" t="str">
        <f>IFERROR(INDEX(입력!$S$2:$S$500, MATCH($BO298, 입력!$Z$2:$Z$500, 0)) &amp; "", "")</f>
        <v/>
      </c>
      <c r="AG298" s="64" t="str">
        <f>IFERROR(INDEX(입력!$T$2:$T$500, MATCH($BO298, 입력!$Z$2:$Z$500, 0)) &amp; "", "")</f>
        <v/>
      </c>
      <c r="AH298" s="64" t="str">
        <f>IFERROR(INDEX(입력!$U$2:$U$500, MATCH($BO298, 입력!$Z$2:$Z$500, 0)) &amp; "", "")</f>
        <v/>
      </c>
      <c r="AI298" s="64" t="str">
        <f>IFERROR(INDEX(입력!$V$2:$V$500, MATCH($BO298, 입력!$Z$2:$Z$500, 0)) &amp; "", "")</f>
        <v/>
      </c>
      <c r="AJ298" s="44" t="str">
        <f>IFERROR(INDEX(입력!$W$2:$W$500, MATCH($BO298, 입력!$Z$2:$Z$500, 0)) &amp; "", "")</f>
        <v/>
      </c>
      <c r="AK298" s="44" t="str">
        <f>IFERROR(INDEX(입력!$X$2:$X$500, MATCH($BO298, 입력!$Z$2:$Z$500, 0)) &amp; "", "")</f>
        <v/>
      </c>
      <c r="AL298" s="2"/>
      <c r="AM298" s="17" t="s">
        <v>1650</v>
      </c>
      <c r="AN298" s="101">
        <v>2025</v>
      </c>
      <c r="AO298" s="17" t="s">
        <v>3274</v>
      </c>
      <c r="AP298" s="101"/>
      <c r="AQ298" s="108"/>
      <c r="AR298" s="119"/>
      <c r="AS298" s="83" t="s">
        <v>3291</v>
      </c>
      <c r="AT298" s="109">
        <v>46034</v>
      </c>
      <c r="AU298" s="101" t="s">
        <v>3126</v>
      </c>
      <c r="AV298" s="101"/>
      <c r="AW298" s="101" t="s">
        <v>3149</v>
      </c>
      <c r="AX298" s="101" t="s">
        <v>3292</v>
      </c>
      <c r="AY298" s="83" t="s">
        <v>3131</v>
      </c>
      <c r="AZ298" s="71" t="str">
        <f>IFERROR(IF(INDEX(입력!$C$2:$C$500, MATCH($BO298, 입력!$Z$2:$Z$500, 0))="", "", TEXT(INDEX(입력!$C$2:$C$500, MATCH($BO298, 입력!$Z$2:$Z$500, 0)), "yyyy-mm-dd")), "")</f>
        <v/>
      </c>
      <c r="BA298" s="44" t="str">
        <f>IFERROR(INDEX(입력!$B$2:$B$500, MATCH($BO298, 입력!$Z$2:$Z$500, 0)) &amp; "", "")</f>
        <v/>
      </c>
      <c r="BB298" s="83" t="str">
        <f>IFERROR(INDEX(입력!$Y$2:$Y$500, MATCH($BO298, 입력!$Z$2:$Z$500, 0)) &amp; "", "")</f>
        <v/>
      </c>
      <c r="BC298" s="83" t="s">
        <v>3284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3369</v>
      </c>
      <c r="BI298" s="101"/>
      <c r="BJ298" s="101"/>
      <c r="BK298" s="110"/>
      <c r="BL298" s="21"/>
      <c r="BM298" s="22">
        <v>230</v>
      </c>
      <c r="BN298" s="23"/>
      <c r="BO298" s="47" t="s">
        <v>703</v>
      </c>
    </row>
    <row r="299" spans="1:67" x14ac:dyDescent="0.45">
      <c r="A299" s="19">
        <v>298</v>
      </c>
      <c r="B299" s="1" t="s">
        <v>1647</v>
      </c>
      <c r="C299" s="17" t="str">
        <f t="shared" si="35"/>
        <v>이행완료</v>
      </c>
      <c r="D299" s="17" t="str">
        <f t="shared" si="38"/>
        <v>조사완료</v>
      </c>
      <c r="E299" s="2" t="s">
        <v>1936</v>
      </c>
      <c r="F299" s="1" t="s">
        <v>704</v>
      </c>
      <c r="G299" s="1" t="s">
        <v>1937</v>
      </c>
      <c r="H299" s="18" t="s">
        <v>1084</v>
      </c>
      <c r="I299" s="19">
        <v>315</v>
      </c>
      <c r="J299" s="2"/>
      <c r="K299" s="20" t="s">
        <v>1350</v>
      </c>
      <c r="L299" s="20"/>
      <c r="M299" s="17" t="str">
        <f t="shared" si="36"/>
        <v>기축</v>
      </c>
      <c r="N299" s="21"/>
      <c r="O299" s="21"/>
      <c r="P299" s="1">
        <f t="shared" si="32"/>
        <v>6</v>
      </c>
      <c r="Q299" s="1">
        <v>7</v>
      </c>
      <c r="R299" s="64" t="str">
        <f>IFERROR(INDEX(입력!$J$2:$J$500, MATCH($BO299, 입력!$Z$2:$Z$500, 0)) &amp; "", "")</f>
        <v>7</v>
      </c>
      <c r="S299" s="64" t="str">
        <f>IFERROR(INDEX(입력!$K$2:$K$500, MATCH($BO299, 입력!$Z$2:$Z$500, 0)) &amp; "", "")</f>
        <v/>
      </c>
      <c r="T299" s="64">
        <f>MAX(0, 표1[[#This Row],[의무_면수]]-표1[[#This Row],[면수합]])</f>
        <v>0</v>
      </c>
      <c r="U299" s="44" t="str">
        <f t="shared" si="33"/>
        <v>이행완료</v>
      </c>
      <c r="V299" s="1">
        <f t="shared" si="37"/>
        <v>6</v>
      </c>
      <c r="W299" s="1" t="str">
        <f t="shared" si="34"/>
        <v/>
      </c>
      <c r="X299" s="1">
        <v>7</v>
      </c>
      <c r="Y299" s="64" t="str">
        <f>IFERROR(INDEX(입력!$M$2:$M$500, MATCH($BO299, 입력!$Z$2:$Z$500, 0)) &amp; "", "")</f>
        <v/>
      </c>
      <c r="Z299" s="64" t="str">
        <f>IFERROR(INDEX(입력!$N$2:$N$500, MATCH($BO299, 입력!$Z$2:$Z$500, 0)) &amp; "", "")</f>
        <v>7</v>
      </c>
      <c r="AA299" s="64">
        <f>MAX(0, 표1[[#This Row],[의무_시설]]-표1[[#This Row],[시설합]])</f>
        <v>0</v>
      </c>
      <c r="AB299" s="17" t="str">
        <f t="shared" si="39"/>
        <v>이행완료</v>
      </c>
      <c r="AC299" s="64" t="str">
        <f>IFERROR(INDEX(입력!$P$2:$P$500, MATCH($BO299, 입력!$Z$2:$Z$500, 0)) &amp; "", "")</f>
        <v>408</v>
      </c>
      <c r="AD299" s="64" t="str">
        <f>IFERROR(INDEX(입력!$Q$2:$Q$500, MATCH($BO299, 입력!$Z$2:$Z$500, 0)) &amp; "", "")</f>
        <v>12</v>
      </c>
      <c r="AE299" s="64" t="str">
        <f>IFERROR(INDEX(입력!$R$2:$R$500, MATCH($BO299, 입력!$Z$2:$Z$500, 0)) &amp; "", "")</f>
        <v>여</v>
      </c>
      <c r="AF299" s="64" t="str">
        <f>IFERROR(INDEX(입력!$S$2:$S$500, MATCH($BO299, 입력!$Z$2:$Z$500, 0)) &amp; "", "")</f>
        <v>여</v>
      </c>
      <c r="AG299" s="64" t="str">
        <f>IFERROR(INDEX(입력!$T$2:$T$500, MATCH($BO299, 입력!$Z$2:$Z$500, 0)) &amp; "", "")</f>
        <v>부</v>
      </c>
      <c r="AH299" s="64" t="str">
        <f>IFERROR(INDEX(입력!$U$2:$U$500, MATCH($BO299, 입력!$Z$2:$Z$500, 0)) &amp; "", "")</f>
        <v/>
      </c>
      <c r="AI299" s="64" t="str">
        <f>IFERROR(INDEX(입력!$V$2:$V$500, MATCH($BO299, 입력!$Z$2:$Z$500, 0)) &amp; "", "")</f>
        <v>여</v>
      </c>
      <c r="AJ299" s="44" t="str">
        <f>IFERROR(INDEX(입력!$W$2:$W$500, MATCH($BO299, 입력!$Z$2:$Z$500, 0)) &amp; "", "")</f>
        <v>이성제</v>
      </c>
      <c r="AK299" s="44" t="str">
        <f>IFERROR(INDEX(입력!$X$2:$X$500, MATCH($BO299, 입력!$Z$2:$Z$500, 0)) &amp; "", "")</f>
        <v>955-0496</v>
      </c>
      <c r="AL299" s="2" t="s">
        <v>1938</v>
      </c>
      <c r="AM299" s="17" t="s">
        <v>1650</v>
      </c>
      <c r="AN299" s="101">
        <v>2025</v>
      </c>
      <c r="AO299" s="17" t="s">
        <v>3275</v>
      </c>
      <c r="AP299" s="118"/>
      <c r="AQ299" s="21"/>
      <c r="AR299" s="119"/>
      <c r="AS299" s="101" t="s">
        <v>3125</v>
      </c>
      <c r="AT299" s="109">
        <v>46034</v>
      </c>
      <c r="AU299" s="101" t="s">
        <v>3141</v>
      </c>
      <c r="AV299" s="21" t="s">
        <v>1743</v>
      </c>
      <c r="AW299" s="101"/>
      <c r="AX299" s="119" t="s">
        <v>1939</v>
      </c>
      <c r="AY299" s="83" t="s">
        <v>3131</v>
      </c>
      <c r="AZ299" s="71" t="str">
        <f>IFERROR(IF(INDEX(입력!$C$2:$C$500, MATCH($BO299, 입력!$Z$2:$Z$500, 0))="", "", TEXT(INDEX(입력!$C$2:$C$500, MATCH($BO299, 입력!$Z$2:$Z$500, 0)), "yyyy-mm-dd")), "")</f>
        <v>2026-04-10</v>
      </c>
      <c r="BA299" s="44" t="str">
        <f>IFERROR(INDEX(입력!$B$2:$B$500, MATCH($BO299, 입력!$Z$2:$Z$500, 0)) &amp; "", "")</f>
        <v>정은진</v>
      </c>
      <c r="BB299" s="83" t="str">
        <f>IFERROR(INDEX(입력!$Y$2:$Y$500, MATCH($BO299, 입력!$Z$2:$Z$500, 0)) &amp; "", "")</f>
        <v/>
      </c>
      <c r="BC299" s="83" t="s">
        <v>3112</v>
      </c>
      <c r="BD299" s="83"/>
      <c r="BE299" s="101"/>
      <c r="BF299" s="101"/>
      <c r="BG299" s="101"/>
      <c r="BH299" s="101"/>
      <c r="BI299" s="101"/>
      <c r="BJ299" s="101"/>
      <c r="BK299" s="110"/>
      <c r="BL299" s="21"/>
      <c r="BM299" s="22">
        <v>300</v>
      </c>
      <c r="BN299" s="23"/>
      <c r="BO299" s="47" t="s">
        <v>705</v>
      </c>
    </row>
    <row r="300" spans="1:67" x14ac:dyDescent="0.45">
      <c r="A300" s="46">
        <v>299</v>
      </c>
      <c r="B300" s="1" t="s">
        <v>1647</v>
      </c>
      <c r="C300" s="17" t="str">
        <f t="shared" si="35"/>
        <v>이행완료</v>
      </c>
      <c r="D300" s="17" t="str">
        <f t="shared" si="38"/>
        <v/>
      </c>
      <c r="E300" s="2" t="s">
        <v>1940</v>
      </c>
      <c r="F300" s="1" t="s">
        <v>706</v>
      </c>
      <c r="G300" s="1" t="s">
        <v>1941</v>
      </c>
      <c r="H300" s="18" t="s">
        <v>1084</v>
      </c>
      <c r="I300" s="19">
        <v>455</v>
      </c>
      <c r="J300" s="2"/>
      <c r="K300" s="20" t="s">
        <v>2489</v>
      </c>
      <c r="L300" s="20"/>
      <c r="M300" s="17" t="str">
        <f t="shared" si="36"/>
        <v>기축</v>
      </c>
      <c r="N300" s="21"/>
      <c r="O300" s="21"/>
      <c r="P300" s="1">
        <f t="shared" si="32"/>
        <v>9</v>
      </c>
      <c r="Q300" s="1">
        <v>9</v>
      </c>
      <c r="R300" s="64" t="str">
        <f>IFERROR(INDEX(입력!$J$2:$J$500, MATCH($BO300, 입력!$Z$2:$Z$500, 0)) &amp; "", "")</f>
        <v/>
      </c>
      <c r="S300" s="64" t="str">
        <f>IFERROR(INDEX(입력!$K$2:$K$500, MATCH($BO300, 입력!$Z$2:$Z$500, 0)) &amp; "", "")</f>
        <v/>
      </c>
      <c r="T300" s="64">
        <f>MAX(0, 표1[[#This Row],[의무_면수]]-표1[[#This Row],[면수합]])</f>
        <v>0</v>
      </c>
      <c r="U300" s="44" t="str">
        <f t="shared" si="33"/>
        <v>이행완료</v>
      </c>
      <c r="V300" s="1">
        <f t="shared" si="37"/>
        <v>9</v>
      </c>
      <c r="W300" s="1" t="str">
        <f t="shared" si="34"/>
        <v/>
      </c>
      <c r="X300" s="1">
        <v>9</v>
      </c>
      <c r="Y300" s="64" t="str">
        <f>IFERROR(INDEX(입력!$M$2:$M$500, MATCH($BO300, 입력!$Z$2:$Z$500, 0)) &amp; "", "")</f>
        <v/>
      </c>
      <c r="Z300" s="64" t="str">
        <f>IFERROR(INDEX(입력!$N$2:$N$500, MATCH($BO300, 입력!$Z$2:$Z$500, 0)) &amp; "", "")</f>
        <v/>
      </c>
      <c r="AA300" s="64">
        <f>MAX(0, 표1[[#This Row],[의무_시설]]-표1[[#This Row],[시설합]])</f>
        <v>0</v>
      </c>
      <c r="AB300" s="17" t="str">
        <f t="shared" si="39"/>
        <v>이행완료</v>
      </c>
      <c r="AC300" s="64" t="str">
        <f>IFERROR(INDEX(입력!$P$2:$P$500, MATCH($BO300, 입력!$Z$2:$Z$500, 0)) &amp; "", "")</f>
        <v/>
      </c>
      <c r="AD300" s="64" t="str">
        <f>IFERROR(INDEX(입력!$Q$2:$Q$500, MATCH($BO300, 입력!$Z$2:$Z$500, 0)) &amp; "", "")</f>
        <v/>
      </c>
      <c r="AE300" s="64" t="str">
        <f>IFERROR(INDEX(입력!$R$2:$R$500, MATCH($BO300, 입력!$Z$2:$Z$500, 0)) &amp; "", "")</f>
        <v/>
      </c>
      <c r="AF300" s="64" t="str">
        <f>IFERROR(INDEX(입력!$S$2:$S$500, MATCH($BO300, 입력!$Z$2:$Z$500, 0)) &amp; "", "")</f>
        <v/>
      </c>
      <c r="AG300" s="64" t="str">
        <f>IFERROR(INDEX(입력!$T$2:$T$500, MATCH($BO300, 입력!$Z$2:$Z$500, 0)) &amp; "", "")</f>
        <v/>
      </c>
      <c r="AH300" s="64" t="str">
        <f>IFERROR(INDEX(입력!$U$2:$U$500, MATCH($BO300, 입력!$Z$2:$Z$500, 0)) &amp; "", "")</f>
        <v/>
      </c>
      <c r="AI300" s="64" t="str">
        <f>IFERROR(INDEX(입력!$V$2:$V$500, MATCH($BO300, 입력!$Z$2:$Z$500, 0)) &amp; "", "")</f>
        <v/>
      </c>
      <c r="AJ300" s="44" t="str">
        <f>IFERROR(INDEX(입력!$W$2:$W$500, MATCH($BO300, 입력!$Z$2:$Z$500, 0)) &amp; "", "")</f>
        <v/>
      </c>
      <c r="AK300" s="44" t="str">
        <f>IFERROR(INDEX(입력!$X$2:$X$500, MATCH($BO300, 입력!$Z$2:$Z$500, 0)) &amp; "", "")</f>
        <v/>
      </c>
      <c r="AL300" s="2" t="s">
        <v>1942</v>
      </c>
      <c r="AM300" s="17" t="s">
        <v>1650</v>
      </c>
      <c r="AN300" s="101">
        <v>2025</v>
      </c>
      <c r="AO300" s="17" t="s">
        <v>3274</v>
      </c>
      <c r="AP300" s="118"/>
      <c r="AQ300" s="21"/>
      <c r="AR300" s="119"/>
      <c r="AS300" s="17" t="s">
        <v>1943</v>
      </c>
      <c r="AT300" s="101"/>
      <c r="AU300" s="17"/>
      <c r="AV300" s="119" t="s">
        <v>1944</v>
      </c>
      <c r="AW300" s="21"/>
      <c r="AX300" s="119"/>
      <c r="AY300" s="83" t="s">
        <v>3137</v>
      </c>
      <c r="AZ300" s="71" t="str">
        <f>IFERROR(IF(INDEX(입력!$C$2:$C$500, MATCH($BO300, 입력!$Z$2:$Z$500, 0))="", "", TEXT(INDEX(입력!$C$2:$C$500, MATCH($BO300, 입력!$Z$2:$Z$500, 0)), "yyyy-mm-dd")), "")</f>
        <v/>
      </c>
      <c r="BA300" s="44" t="str">
        <f>IFERROR(INDEX(입력!$B$2:$B$500, MATCH($BO300, 입력!$Z$2:$Z$500, 0)) &amp; "", "")</f>
        <v/>
      </c>
      <c r="BB300" s="83" t="str">
        <f>IFERROR(INDEX(입력!$Y$2:$Y$500, MATCH($BO300, 입력!$Z$2:$Z$500, 0)) &amp; "", "")</f>
        <v/>
      </c>
      <c r="BC300" s="83" t="s">
        <v>3112</v>
      </c>
      <c r="BD300" s="83"/>
      <c r="BE300" s="101"/>
      <c r="BF300" s="101"/>
      <c r="BG300" s="101"/>
      <c r="BH300" s="101"/>
      <c r="BI300" s="101"/>
      <c r="BJ300" s="101"/>
      <c r="BK300" s="110"/>
      <c r="BL300" s="21"/>
      <c r="BM300" s="22">
        <v>459</v>
      </c>
      <c r="BN300" s="23"/>
      <c r="BO300" s="47" t="s">
        <v>707</v>
      </c>
    </row>
    <row r="301" spans="1:67" x14ac:dyDescent="0.45">
      <c r="A301" s="19">
        <v>300</v>
      </c>
      <c r="B301" s="1" t="s">
        <v>1647</v>
      </c>
      <c r="C301" s="17" t="str">
        <f t="shared" si="35"/>
        <v>이행완료</v>
      </c>
      <c r="D301" s="17" t="str">
        <f t="shared" si="38"/>
        <v/>
      </c>
      <c r="E301" s="2" t="s">
        <v>1945</v>
      </c>
      <c r="F301" s="1" t="s">
        <v>708</v>
      </c>
      <c r="G301" s="11" t="s">
        <v>1946</v>
      </c>
      <c r="H301" s="18" t="s">
        <v>1621</v>
      </c>
      <c r="I301" s="46"/>
      <c r="J301" s="2">
        <v>256</v>
      </c>
      <c r="K301" s="20" t="s">
        <v>2490</v>
      </c>
      <c r="L301" s="20"/>
      <c r="M301" s="17" t="str">
        <f t="shared" si="36"/>
        <v>기축</v>
      </c>
      <c r="N301" s="21"/>
      <c r="O301" s="21"/>
      <c r="P301" s="1">
        <f t="shared" si="32"/>
        <v>5</v>
      </c>
      <c r="Q301" s="1">
        <v>5</v>
      </c>
      <c r="R301" s="64" t="str">
        <f>IFERROR(INDEX(입력!$J$2:$J$500, MATCH($BO301, 입력!$Z$2:$Z$500, 0)) &amp; "", "")</f>
        <v/>
      </c>
      <c r="S301" s="64" t="str">
        <f>IFERROR(INDEX(입력!$K$2:$K$500, MATCH($BO301, 입력!$Z$2:$Z$500, 0)) &amp; "", "")</f>
        <v/>
      </c>
      <c r="T301" s="64">
        <f>MAX(0, 표1[[#This Row],[의무_면수]]-표1[[#This Row],[면수합]])</f>
        <v>0</v>
      </c>
      <c r="U301" s="44" t="str">
        <f t="shared" si="33"/>
        <v>이행완료</v>
      </c>
      <c r="V301" s="1">
        <f t="shared" si="37"/>
        <v>5</v>
      </c>
      <c r="W301" s="1" t="str">
        <f t="shared" si="34"/>
        <v/>
      </c>
      <c r="X301" s="1">
        <v>5</v>
      </c>
      <c r="Y301" s="64" t="str">
        <f>IFERROR(INDEX(입력!$M$2:$M$500, MATCH($BO301, 입력!$Z$2:$Z$500, 0)) &amp; "", "")</f>
        <v/>
      </c>
      <c r="Z301" s="64" t="str">
        <f>IFERROR(INDEX(입력!$N$2:$N$500, MATCH($BO301, 입력!$Z$2:$Z$500, 0)) &amp; "", "")</f>
        <v/>
      </c>
      <c r="AA301" s="64">
        <f>MAX(0, 표1[[#This Row],[의무_시설]]-표1[[#This Row],[시설합]])</f>
        <v>0</v>
      </c>
      <c r="AB301" s="17" t="str">
        <f t="shared" si="39"/>
        <v>이행완료</v>
      </c>
      <c r="AC301" s="64" t="str">
        <f>IFERROR(INDEX(입력!$P$2:$P$500, MATCH($BO301, 입력!$Z$2:$Z$500, 0)) &amp; "", "")</f>
        <v/>
      </c>
      <c r="AD301" s="64" t="str">
        <f>IFERROR(INDEX(입력!$Q$2:$Q$500, MATCH($BO301, 입력!$Z$2:$Z$500, 0)) &amp; "", "")</f>
        <v/>
      </c>
      <c r="AE301" s="64" t="str">
        <f>IFERROR(INDEX(입력!$R$2:$R$500, MATCH($BO301, 입력!$Z$2:$Z$500, 0)) &amp; "", "")</f>
        <v/>
      </c>
      <c r="AF301" s="64" t="str">
        <f>IFERROR(INDEX(입력!$S$2:$S$500, MATCH($BO301, 입력!$Z$2:$Z$500, 0)) &amp; "", "")</f>
        <v/>
      </c>
      <c r="AG301" s="64" t="str">
        <f>IFERROR(INDEX(입력!$T$2:$T$500, MATCH($BO301, 입력!$Z$2:$Z$500, 0)) &amp; "", "")</f>
        <v/>
      </c>
      <c r="AH301" s="64" t="str">
        <f>IFERROR(INDEX(입력!$U$2:$U$500, MATCH($BO301, 입력!$Z$2:$Z$500, 0)) &amp; "", "")</f>
        <v/>
      </c>
      <c r="AI301" s="64" t="str">
        <f>IFERROR(INDEX(입력!$V$2:$V$500, MATCH($BO301, 입력!$Z$2:$Z$500, 0)) &amp; "", "")</f>
        <v/>
      </c>
      <c r="AJ301" s="44" t="str">
        <f>IFERROR(INDEX(입력!$W$2:$W$500, MATCH($BO301, 입력!$Z$2:$Z$500, 0)) &amp; "", "")</f>
        <v/>
      </c>
      <c r="AK301" s="44" t="str">
        <f>IFERROR(INDEX(입력!$X$2:$X$500, MATCH($BO301, 입력!$Z$2:$Z$500, 0)) &amp; "", "")</f>
        <v/>
      </c>
      <c r="AL301" s="2"/>
      <c r="AM301" s="17" t="s">
        <v>1650</v>
      </c>
      <c r="AN301" s="101">
        <v>2025</v>
      </c>
      <c r="AO301" s="17" t="s">
        <v>3275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3137</v>
      </c>
      <c r="AZ301" s="71" t="str">
        <f>IFERROR(IF(INDEX(입력!$C$2:$C$500, MATCH($BO301, 입력!$Z$2:$Z$500, 0))="", "", TEXT(INDEX(입력!$C$2:$C$500, MATCH($BO301, 입력!$Z$2:$Z$500, 0)), "yyyy-mm-dd")), "")</f>
        <v/>
      </c>
      <c r="BA301" s="44" t="str">
        <f>IFERROR(INDEX(입력!$B$2:$B$500, MATCH($BO301, 입력!$Z$2:$Z$500, 0)) &amp; "", "")</f>
        <v/>
      </c>
      <c r="BB301" s="83" t="str">
        <f>IFERROR(INDEX(입력!$Y$2:$Y$500, MATCH($BO301, 입력!$Z$2:$Z$500, 0)) &amp; "", "")</f>
        <v/>
      </c>
      <c r="BC301" s="83" t="s">
        <v>3112</v>
      </c>
      <c r="BD301" s="83"/>
      <c r="BE301" s="101"/>
      <c r="BF301" s="101"/>
      <c r="BG301" s="101"/>
      <c r="BH301" s="101"/>
      <c r="BI301" s="101"/>
      <c r="BJ301" s="101"/>
      <c r="BK301" s="110"/>
      <c r="BL301" s="21"/>
      <c r="BM301" s="22">
        <v>256</v>
      </c>
      <c r="BN301" s="23"/>
      <c r="BO301" s="47" t="s">
        <v>709</v>
      </c>
    </row>
    <row r="302" spans="1:67" x14ac:dyDescent="0.45">
      <c r="A302" s="46">
        <v>301</v>
      </c>
      <c r="B302" s="1" t="s">
        <v>1647</v>
      </c>
      <c r="C302" s="17" t="str">
        <f t="shared" si="35"/>
        <v>이행완료</v>
      </c>
      <c r="D302" s="17" t="str">
        <f t="shared" si="38"/>
        <v/>
      </c>
      <c r="E302" s="2" t="s">
        <v>1947</v>
      </c>
      <c r="F302" s="1" t="s">
        <v>2575</v>
      </c>
      <c r="G302" s="1" t="s">
        <v>1655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6"/>
        <v>기축</v>
      </c>
      <c r="N302" s="21"/>
      <c r="O302" s="21"/>
      <c r="P302" s="1">
        <f t="shared" si="32"/>
        <v>10</v>
      </c>
      <c r="Q302" s="1">
        <v>21</v>
      </c>
      <c r="R302" s="64" t="str">
        <f>IFERROR(INDEX(입력!$J$2:$J$500, MATCH($BO302, 입력!$Z$2:$Z$500, 0)) &amp; "", "")</f>
        <v/>
      </c>
      <c r="S302" s="64" t="str">
        <f>IFERROR(INDEX(입력!$K$2:$K$500, MATCH($BO302, 입력!$Z$2:$Z$500, 0)) &amp; "", "")</f>
        <v/>
      </c>
      <c r="T302" s="64">
        <f>MAX(0, 표1[[#This Row],[의무_면수]]-표1[[#This Row],[면수합]])</f>
        <v>0</v>
      </c>
      <c r="U302" s="44" t="str">
        <f t="shared" si="33"/>
        <v>이행완료</v>
      </c>
      <c r="V302" s="1">
        <f t="shared" si="37"/>
        <v>10</v>
      </c>
      <c r="W302" s="1" t="str">
        <f t="shared" si="34"/>
        <v/>
      </c>
      <c r="X302" s="1">
        <v>21</v>
      </c>
      <c r="Y302" s="64" t="str">
        <f>IFERROR(INDEX(입력!$M$2:$M$500, MATCH($BO302, 입력!$Z$2:$Z$500, 0)) &amp; "", "")</f>
        <v/>
      </c>
      <c r="Z302" s="64" t="str">
        <f>IFERROR(INDEX(입력!$N$2:$N$500, MATCH($BO302, 입력!$Z$2:$Z$500, 0)) &amp; "", "")</f>
        <v/>
      </c>
      <c r="AA302" s="64">
        <f>MAX(0, 표1[[#This Row],[의무_시설]]-표1[[#This Row],[시설합]])</f>
        <v>0</v>
      </c>
      <c r="AB302" s="17" t="str">
        <f t="shared" si="39"/>
        <v>이행완료</v>
      </c>
      <c r="AC302" s="64" t="str">
        <f>IFERROR(INDEX(입력!$P$2:$P$500, MATCH($BO302, 입력!$Z$2:$Z$500, 0)) &amp; "", "")</f>
        <v/>
      </c>
      <c r="AD302" s="64" t="str">
        <f>IFERROR(INDEX(입력!$Q$2:$Q$500, MATCH($BO302, 입력!$Z$2:$Z$500, 0)) &amp; "", "")</f>
        <v/>
      </c>
      <c r="AE302" s="64" t="str">
        <f>IFERROR(INDEX(입력!$R$2:$R$500, MATCH($BO302, 입력!$Z$2:$Z$500, 0)) &amp; "", "")</f>
        <v/>
      </c>
      <c r="AF302" s="64" t="str">
        <f>IFERROR(INDEX(입력!$S$2:$S$500, MATCH($BO302, 입력!$Z$2:$Z$500, 0)) &amp; "", "")</f>
        <v/>
      </c>
      <c r="AG302" s="64" t="str">
        <f>IFERROR(INDEX(입력!$T$2:$T$500, MATCH($BO302, 입력!$Z$2:$Z$500, 0)) &amp; "", "")</f>
        <v/>
      </c>
      <c r="AH302" s="64" t="str">
        <f>IFERROR(INDEX(입력!$U$2:$U$500, MATCH($BO302, 입력!$Z$2:$Z$500, 0)) &amp; "", "")</f>
        <v/>
      </c>
      <c r="AI302" s="64" t="str">
        <f>IFERROR(INDEX(입력!$V$2:$V$500, MATCH($BO302, 입력!$Z$2:$Z$500, 0)) &amp; "", "")</f>
        <v/>
      </c>
      <c r="AJ302" s="44" t="str">
        <f>IFERROR(INDEX(입력!$W$2:$W$500, MATCH($BO302, 입력!$Z$2:$Z$500, 0)) &amp; "", "")</f>
        <v/>
      </c>
      <c r="AK302" s="44" t="str">
        <f>IFERROR(INDEX(입력!$X$2:$X$500, MATCH($BO302, 입력!$Z$2:$Z$500, 0)) &amp; "", "")</f>
        <v/>
      </c>
      <c r="AL302" s="2"/>
      <c r="AM302" s="17" t="s">
        <v>1650</v>
      </c>
      <c r="AN302" s="101">
        <v>2025</v>
      </c>
      <c r="AO302" s="17" t="s">
        <v>3275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3137</v>
      </c>
      <c r="AZ302" s="71" t="str">
        <f>IFERROR(IF(INDEX(입력!$C$2:$C$500, MATCH($BO302, 입력!$Z$2:$Z$500, 0))="", "", TEXT(INDEX(입력!$C$2:$C$500, MATCH($BO302, 입력!$Z$2:$Z$500, 0)), "yyyy-mm-dd")), "")</f>
        <v/>
      </c>
      <c r="BA302" s="44" t="str">
        <f>IFERROR(INDEX(입력!$B$2:$B$500, MATCH($BO302, 입력!$Z$2:$Z$500, 0)) &amp; "", "")</f>
        <v/>
      </c>
      <c r="BB302" s="83" t="str">
        <f>IFERROR(INDEX(입력!$Y$2:$Y$500, MATCH($BO302, 입력!$Z$2:$Z$500, 0)) &amp; "", "")</f>
        <v/>
      </c>
      <c r="BC302" s="83" t="s">
        <v>3112</v>
      </c>
      <c r="BD302" s="83"/>
      <c r="BE302" s="101"/>
      <c r="BF302" s="101"/>
      <c r="BG302" s="101"/>
      <c r="BH302" s="101"/>
      <c r="BI302" s="101"/>
      <c r="BJ302" s="101"/>
      <c r="BK302" s="110"/>
      <c r="BL302" s="21"/>
      <c r="BM302" s="22">
        <v>505</v>
      </c>
      <c r="BN302" s="23"/>
      <c r="BO302" s="47" t="s">
        <v>710</v>
      </c>
    </row>
    <row r="303" spans="1:67" x14ac:dyDescent="0.45">
      <c r="A303" s="19">
        <v>302</v>
      </c>
      <c r="B303" s="1" t="s">
        <v>1647</v>
      </c>
      <c r="C303" s="17" t="str">
        <f t="shared" si="35"/>
        <v>미이행</v>
      </c>
      <c r="D303" s="17" t="str">
        <f t="shared" si="38"/>
        <v>조사완료</v>
      </c>
      <c r="E303" s="2" t="s">
        <v>1948</v>
      </c>
      <c r="F303" s="1" t="s">
        <v>711</v>
      </c>
      <c r="G303" s="1" t="s">
        <v>1949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6"/>
        <v>기축</v>
      </c>
      <c r="N303" s="21" t="s">
        <v>2394</v>
      </c>
      <c r="O303" s="21"/>
      <c r="P303" s="1">
        <f t="shared" si="32"/>
        <v>19</v>
      </c>
      <c r="Q303" s="1">
        <v>8</v>
      </c>
      <c r="R303" s="64" t="str">
        <f>IFERROR(INDEX(입력!$J$2:$J$500, MATCH($BO303, 입력!$Z$2:$Z$500, 0)) &amp; "", "")</f>
        <v>8</v>
      </c>
      <c r="S303" s="64" t="str">
        <f>IFERROR(INDEX(입력!$K$2:$K$500, MATCH($BO303, 입력!$Z$2:$Z$500, 0)) &amp; "", "")</f>
        <v/>
      </c>
      <c r="T303" s="64">
        <f>MAX(0, 표1[[#This Row],[의무_면수]]-표1[[#This Row],[면수합]])</f>
        <v>11</v>
      </c>
      <c r="U303" s="44" t="str">
        <f t="shared" si="33"/>
        <v>미이행</v>
      </c>
      <c r="V303" s="1">
        <f t="shared" si="37"/>
        <v>8</v>
      </c>
      <c r="W303" s="1" t="str">
        <f t="shared" si="34"/>
        <v/>
      </c>
      <c r="X303" s="1">
        <v>8</v>
      </c>
      <c r="Y303" s="64" t="str">
        <f>IFERROR(INDEX(입력!$M$2:$M$500, MATCH($BO303, 입력!$Z$2:$Z$500, 0)) &amp; "", "")</f>
        <v/>
      </c>
      <c r="Z303" s="64" t="str">
        <f>IFERROR(INDEX(입력!$N$2:$N$500, MATCH($BO303, 입력!$Z$2:$Z$500, 0)) &amp; "", "")</f>
        <v>8</v>
      </c>
      <c r="AA303" s="64">
        <f>MAX(0, 표1[[#This Row],[의무_시설]]-표1[[#This Row],[시설합]])</f>
        <v>0</v>
      </c>
      <c r="AB303" s="17" t="str">
        <f t="shared" si="39"/>
        <v>이행완료</v>
      </c>
      <c r="AC303" s="64" t="str">
        <f>IFERROR(INDEX(입력!$P$2:$P$500, MATCH($BO303, 입력!$Z$2:$Z$500, 0)) &amp; "", "")</f>
        <v>1485</v>
      </c>
      <c r="AD303" s="64" t="str">
        <f>IFERROR(INDEX(입력!$Q$2:$Q$500, MATCH($BO303, 입력!$Z$2:$Z$500, 0)) &amp; "", "")</f>
        <v>1</v>
      </c>
      <c r="AE303" s="64" t="str">
        <f>IFERROR(INDEX(입력!$R$2:$R$500, MATCH($BO303, 입력!$Z$2:$Z$500, 0)) &amp; "", "")</f>
        <v>여</v>
      </c>
      <c r="AF303" s="64" t="str">
        <f>IFERROR(INDEX(입력!$S$2:$S$500, MATCH($BO303, 입력!$Z$2:$Z$500, 0)) &amp; "", "")</f>
        <v>여</v>
      </c>
      <c r="AG303" s="64" t="str">
        <f>IFERROR(INDEX(입력!$T$2:$T$500, MATCH($BO303, 입력!$Z$2:$Z$500, 0)) &amp; "", "")</f>
        <v/>
      </c>
      <c r="AH303" s="64" t="str">
        <f>IFERROR(INDEX(입력!$U$2:$U$500, MATCH($BO303, 입력!$Z$2:$Z$500, 0)) &amp; "", "")</f>
        <v/>
      </c>
      <c r="AI303" s="64" t="str">
        <f>IFERROR(INDEX(입력!$V$2:$V$500, MATCH($BO303, 입력!$Z$2:$Z$500, 0)) &amp; "", "")</f>
        <v>여</v>
      </c>
      <c r="AJ303" s="44" t="str">
        <f>IFERROR(INDEX(입력!$W$2:$W$500, MATCH($BO303, 입력!$Z$2:$Z$500, 0)) &amp; "", "")</f>
        <v>송화석</v>
      </c>
      <c r="AK303" s="44" t="str">
        <f>IFERROR(INDEX(입력!$X$2:$X$500, MATCH($BO303, 입력!$Z$2:$Z$500, 0)) &amp; "", "")</f>
        <v>010-2650-1326</v>
      </c>
      <c r="AL303" s="2" t="s">
        <v>2423</v>
      </c>
      <c r="AM303" s="17" t="s">
        <v>1650</v>
      </c>
      <c r="AN303" s="101">
        <v>2025</v>
      </c>
      <c r="AO303" s="17" t="s">
        <v>3275</v>
      </c>
      <c r="AP303" s="101"/>
      <c r="AQ303" s="108"/>
      <c r="AR303" s="119"/>
      <c r="AS303" s="114" t="s">
        <v>3294</v>
      </c>
      <c r="AT303" s="109">
        <v>46034</v>
      </c>
      <c r="AU303" s="101" t="s">
        <v>3126</v>
      </c>
      <c r="AV303" s="101"/>
      <c r="AW303" s="101" t="s">
        <v>3149</v>
      </c>
      <c r="AX303" s="101" t="s">
        <v>3290</v>
      </c>
      <c r="AY303" s="83" t="s">
        <v>3137</v>
      </c>
      <c r="AZ303" s="71" t="str">
        <f>IFERROR(IF(INDEX(입력!$C$2:$C$500, MATCH($BO303, 입력!$Z$2:$Z$500, 0))="", "", TEXT(INDEX(입력!$C$2:$C$500, MATCH($BO303, 입력!$Z$2:$Z$500, 0)), "yyyy-mm-dd")), "")</f>
        <v>2026-04-03</v>
      </c>
      <c r="BA303" s="44" t="str">
        <f>IFERROR(INDEX(입력!$B$2:$B$500, MATCH($BO303, 입력!$Z$2:$Z$500, 0)) &amp; "", "")</f>
        <v>노기섭</v>
      </c>
      <c r="BB303" s="83" t="str">
        <f>IFERROR(INDEX(입력!$Y$2:$Y$500, MATCH($BO303, 입력!$Z$2:$Z$500, 0)) &amp; "", "")</f>
        <v/>
      </c>
      <c r="BC303" s="83" t="s">
        <v>3150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3998</v>
      </c>
      <c r="BI303" s="101" t="s">
        <v>3975</v>
      </c>
      <c r="BJ303" s="101"/>
      <c r="BK303" s="110"/>
      <c r="BL303" s="21" t="s">
        <v>2395</v>
      </c>
      <c r="BM303" s="22">
        <v>376</v>
      </c>
      <c r="BN303" s="23"/>
      <c r="BO303" s="47" t="s">
        <v>712</v>
      </c>
    </row>
    <row r="304" spans="1:67" x14ac:dyDescent="0.45">
      <c r="A304" s="46">
        <v>303</v>
      </c>
      <c r="B304" s="1" t="s">
        <v>1647</v>
      </c>
      <c r="C304" s="17" t="str">
        <f t="shared" si="35"/>
        <v>이행완료</v>
      </c>
      <c r="D304" s="17" t="str">
        <f t="shared" si="38"/>
        <v/>
      </c>
      <c r="E304" s="2" t="s">
        <v>1950</v>
      </c>
      <c r="F304" s="1" t="s">
        <v>713</v>
      </c>
      <c r="G304" s="1" t="s">
        <v>1951</v>
      </c>
      <c r="H304" s="18" t="s">
        <v>1566</v>
      </c>
      <c r="I304" s="46">
        <v>238</v>
      </c>
      <c r="J304" s="2"/>
      <c r="K304" s="20" t="s">
        <v>2602</v>
      </c>
      <c r="L304" s="20"/>
      <c r="M304" s="17" t="str">
        <f t="shared" si="36"/>
        <v>기축</v>
      </c>
      <c r="N304" s="21"/>
      <c r="O304" s="21"/>
      <c r="P304" s="1">
        <f t="shared" si="32"/>
        <v>5</v>
      </c>
      <c r="Q304" s="1">
        <v>5</v>
      </c>
      <c r="R304" s="64" t="str">
        <f>IFERROR(INDEX(입력!$J$2:$J$500, MATCH($BO304, 입력!$Z$2:$Z$500, 0)) &amp; "", "")</f>
        <v/>
      </c>
      <c r="S304" s="64" t="str">
        <f>IFERROR(INDEX(입력!$K$2:$K$500, MATCH($BO304, 입력!$Z$2:$Z$500, 0)) &amp; "", "")</f>
        <v/>
      </c>
      <c r="T304" s="64">
        <f>MAX(0, 표1[[#This Row],[의무_면수]]-표1[[#This Row],[면수합]])</f>
        <v>0</v>
      </c>
      <c r="U304" s="44" t="str">
        <f t="shared" si="33"/>
        <v>이행완료</v>
      </c>
      <c r="V304" s="1">
        <f t="shared" si="37"/>
        <v>5</v>
      </c>
      <c r="W304" s="1" t="str">
        <f t="shared" si="34"/>
        <v/>
      </c>
      <c r="X304" s="1">
        <v>5</v>
      </c>
      <c r="Y304" s="64" t="str">
        <f>IFERROR(INDEX(입력!$M$2:$M$500, MATCH($BO304, 입력!$Z$2:$Z$500, 0)) &amp; "", "")</f>
        <v/>
      </c>
      <c r="Z304" s="64" t="str">
        <f>IFERROR(INDEX(입력!$N$2:$N$500, MATCH($BO304, 입력!$Z$2:$Z$500, 0)) &amp; "", "")</f>
        <v/>
      </c>
      <c r="AA304" s="64">
        <f>MAX(0, 표1[[#This Row],[의무_시설]]-표1[[#This Row],[시설합]])</f>
        <v>0</v>
      </c>
      <c r="AB304" s="17" t="str">
        <f t="shared" si="39"/>
        <v>이행완료</v>
      </c>
      <c r="AC304" s="64" t="str">
        <f>IFERROR(INDEX(입력!$P$2:$P$500, MATCH($BO304, 입력!$Z$2:$Z$500, 0)) &amp; "", "")</f>
        <v/>
      </c>
      <c r="AD304" s="64" t="str">
        <f>IFERROR(INDEX(입력!$Q$2:$Q$500, MATCH($BO304, 입력!$Z$2:$Z$500, 0)) &amp; "", "")</f>
        <v/>
      </c>
      <c r="AE304" s="64" t="str">
        <f>IFERROR(INDEX(입력!$R$2:$R$500, MATCH($BO304, 입력!$Z$2:$Z$500, 0)) &amp; "", "")</f>
        <v/>
      </c>
      <c r="AF304" s="64" t="str">
        <f>IFERROR(INDEX(입력!$S$2:$S$500, MATCH($BO304, 입력!$Z$2:$Z$500, 0)) &amp; "", "")</f>
        <v/>
      </c>
      <c r="AG304" s="64" t="str">
        <f>IFERROR(INDEX(입력!$T$2:$T$500, MATCH($BO304, 입력!$Z$2:$Z$500, 0)) &amp; "", "")</f>
        <v/>
      </c>
      <c r="AH304" s="64" t="str">
        <f>IFERROR(INDEX(입력!$U$2:$U$500, MATCH($BO304, 입력!$Z$2:$Z$500, 0)) &amp; "", "")</f>
        <v/>
      </c>
      <c r="AI304" s="64" t="str">
        <f>IFERROR(INDEX(입력!$V$2:$V$500, MATCH($BO304, 입력!$Z$2:$Z$500, 0)) &amp; "", "")</f>
        <v/>
      </c>
      <c r="AJ304" s="44" t="str">
        <f>IFERROR(INDEX(입력!$W$2:$W$500, MATCH($BO304, 입력!$Z$2:$Z$500, 0)) &amp; "", "")</f>
        <v/>
      </c>
      <c r="AK304" s="44" t="str">
        <f>IFERROR(INDEX(입력!$X$2:$X$500, MATCH($BO304, 입력!$Z$2:$Z$500, 0)) &amp; "", "")</f>
        <v/>
      </c>
      <c r="AL304" s="2"/>
      <c r="AM304" s="17" t="s">
        <v>1650</v>
      </c>
      <c r="AN304" s="101">
        <v>2025</v>
      </c>
      <c r="AO304" s="17" t="s">
        <v>3275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3132</v>
      </c>
      <c r="AZ304" s="71" t="str">
        <f>IFERROR(IF(INDEX(입력!$C$2:$C$500, MATCH($BO304, 입력!$Z$2:$Z$500, 0))="", "", TEXT(INDEX(입력!$C$2:$C$500, MATCH($BO304, 입력!$Z$2:$Z$500, 0)), "yyyy-mm-dd")), "")</f>
        <v/>
      </c>
      <c r="BA304" s="44" t="str">
        <f>IFERROR(INDEX(입력!$B$2:$B$500, MATCH($BO304, 입력!$Z$2:$Z$500, 0)) &amp; "", "")</f>
        <v/>
      </c>
      <c r="BB304" s="83" t="str">
        <f>IFERROR(INDEX(입력!$Y$2:$Y$500, MATCH($BO304, 입력!$Z$2:$Z$500, 0)) &amp; "", "")</f>
        <v/>
      </c>
      <c r="BC304" s="83" t="s">
        <v>3112</v>
      </c>
      <c r="BD304" s="83"/>
      <c r="BE304" s="101"/>
      <c r="BF304" s="101"/>
      <c r="BG304" s="101"/>
      <c r="BH304" s="101"/>
      <c r="BI304" s="101"/>
      <c r="BJ304" s="101"/>
      <c r="BK304" s="110"/>
      <c r="BL304" s="21"/>
      <c r="BM304" s="22">
        <v>238</v>
      </c>
      <c r="BN304" s="23"/>
      <c r="BO304" s="47" t="s">
        <v>714</v>
      </c>
    </row>
    <row r="305" spans="1:67" x14ac:dyDescent="0.45">
      <c r="A305" s="19">
        <v>304</v>
      </c>
      <c r="B305" s="1" t="s">
        <v>1647</v>
      </c>
      <c r="C305" s="17" t="str">
        <f t="shared" si="35"/>
        <v>이행완료</v>
      </c>
      <c r="D305" s="17" t="str">
        <f t="shared" si="38"/>
        <v/>
      </c>
      <c r="E305" s="2" t="s">
        <v>1952</v>
      </c>
      <c r="F305" s="1" t="s">
        <v>715</v>
      </c>
      <c r="G305" s="1" t="s">
        <v>1953</v>
      </c>
      <c r="H305" s="18" t="s">
        <v>1566</v>
      </c>
      <c r="I305" s="46">
        <v>231</v>
      </c>
      <c r="J305" s="2"/>
      <c r="K305" s="20" t="s">
        <v>2491</v>
      </c>
      <c r="L305" s="20"/>
      <c r="M305" s="17" t="str">
        <f t="shared" si="36"/>
        <v>기축</v>
      </c>
      <c r="N305" s="21"/>
      <c r="O305" s="21"/>
      <c r="P305" s="1">
        <f t="shared" si="32"/>
        <v>5</v>
      </c>
      <c r="Q305" s="1">
        <v>6</v>
      </c>
      <c r="R305" s="64" t="str">
        <f>IFERROR(INDEX(입력!$J$2:$J$500, MATCH($BO305, 입력!$Z$2:$Z$500, 0)) &amp; "", "")</f>
        <v/>
      </c>
      <c r="S305" s="64" t="str">
        <f>IFERROR(INDEX(입력!$K$2:$K$500, MATCH($BO305, 입력!$Z$2:$Z$500, 0)) &amp; "", "")</f>
        <v/>
      </c>
      <c r="T305" s="64">
        <f>MAX(0, 표1[[#This Row],[의무_면수]]-표1[[#This Row],[면수합]])</f>
        <v>0</v>
      </c>
      <c r="U305" s="44" t="str">
        <f t="shared" si="33"/>
        <v>이행완료</v>
      </c>
      <c r="V305" s="1">
        <f t="shared" si="37"/>
        <v>5</v>
      </c>
      <c r="W305" s="1" t="str">
        <f t="shared" si="34"/>
        <v/>
      </c>
      <c r="X305" s="1">
        <v>6</v>
      </c>
      <c r="Y305" s="64" t="str">
        <f>IFERROR(INDEX(입력!$M$2:$M$500, MATCH($BO305, 입력!$Z$2:$Z$500, 0)) &amp; "", "")</f>
        <v/>
      </c>
      <c r="Z305" s="64" t="str">
        <f>IFERROR(INDEX(입력!$N$2:$N$500, MATCH($BO305, 입력!$Z$2:$Z$500, 0)) &amp; "", "")</f>
        <v/>
      </c>
      <c r="AA305" s="64">
        <f>MAX(0, 표1[[#This Row],[의무_시설]]-표1[[#This Row],[시설합]])</f>
        <v>0</v>
      </c>
      <c r="AB305" s="17" t="str">
        <f t="shared" si="39"/>
        <v>이행완료</v>
      </c>
      <c r="AC305" s="64" t="str">
        <f>IFERROR(INDEX(입력!$P$2:$P$500, MATCH($BO305, 입력!$Z$2:$Z$500, 0)) &amp; "", "")</f>
        <v/>
      </c>
      <c r="AD305" s="64" t="str">
        <f>IFERROR(INDEX(입력!$Q$2:$Q$500, MATCH($BO305, 입력!$Z$2:$Z$500, 0)) &amp; "", "")</f>
        <v/>
      </c>
      <c r="AE305" s="64" t="str">
        <f>IFERROR(INDEX(입력!$R$2:$R$500, MATCH($BO305, 입력!$Z$2:$Z$500, 0)) &amp; "", "")</f>
        <v/>
      </c>
      <c r="AF305" s="64" t="str">
        <f>IFERROR(INDEX(입력!$S$2:$S$500, MATCH($BO305, 입력!$Z$2:$Z$500, 0)) &amp; "", "")</f>
        <v/>
      </c>
      <c r="AG305" s="64" t="str">
        <f>IFERROR(INDEX(입력!$T$2:$T$500, MATCH($BO305, 입력!$Z$2:$Z$500, 0)) &amp; "", "")</f>
        <v/>
      </c>
      <c r="AH305" s="64" t="str">
        <f>IFERROR(INDEX(입력!$U$2:$U$500, MATCH($BO305, 입력!$Z$2:$Z$500, 0)) &amp; "", "")</f>
        <v/>
      </c>
      <c r="AI305" s="64" t="str">
        <f>IFERROR(INDEX(입력!$V$2:$V$500, MATCH($BO305, 입력!$Z$2:$Z$500, 0)) &amp; "", "")</f>
        <v/>
      </c>
      <c r="AJ305" s="44" t="str">
        <f>IFERROR(INDEX(입력!$W$2:$W$500, MATCH($BO305, 입력!$Z$2:$Z$500, 0)) &amp; "", "")</f>
        <v/>
      </c>
      <c r="AK305" s="44" t="str">
        <f>IFERROR(INDEX(입력!$X$2:$X$500, MATCH($BO305, 입력!$Z$2:$Z$500, 0)) &amp; "", "")</f>
        <v/>
      </c>
      <c r="AL305" s="2"/>
      <c r="AM305" s="17" t="s">
        <v>1650</v>
      </c>
      <c r="AN305" s="101">
        <v>2025</v>
      </c>
      <c r="AO305" s="17" t="s">
        <v>3274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3137</v>
      </c>
      <c r="AZ305" s="71" t="str">
        <f>IFERROR(IF(INDEX(입력!$C$2:$C$500, MATCH($BO305, 입력!$Z$2:$Z$500, 0))="", "", TEXT(INDEX(입력!$C$2:$C$500, MATCH($BO305, 입력!$Z$2:$Z$500, 0)), "yyyy-mm-dd")), "")</f>
        <v/>
      </c>
      <c r="BA305" s="44" t="str">
        <f>IFERROR(INDEX(입력!$B$2:$B$500, MATCH($BO305, 입력!$Z$2:$Z$500, 0)) &amp; "", "")</f>
        <v/>
      </c>
      <c r="BB305" s="83" t="str">
        <f>IFERROR(INDEX(입력!$Y$2:$Y$500, MATCH($BO305, 입력!$Z$2:$Z$500, 0)) &amp; "", "")</f>
        <v/>
      </c>
      <c r="BC305" s="83" t="s">
        <v>3112</v>
      </c>
      <c r="BD305" s="83"/>
      <c r="BE305" s="101"/>
      <c r="BF305" s="101"/>
      <c r="BG305" s="101"/>
      <c r="BH305" s="101"/>
      <c r="BI305" s="101"/>
      <c r="BJ305" s="101"/>
      <c r="BK305" s="110"/>
      <c r="BL305" s="21"/>
      <c r="BM305" s="22">
        <v>250</v>
      </c>
      <c r="BN305" s="23"/>
      <c r="BO305" s="47" t="s">
        <v>716</v>
      </c>
    </row>
    <row r="306" spans="1:67" x14ac:dyDescent="0.45">
      <c r="A306" s="46">
        <v>305</v>
      </c>
      <c r="B306" s="1" t="s">
        <v>1647</v>
      </c>
      <c r="C306" s="17" t="str">
        <f t="shared" si="35"/>
        <v>이행완료</v>
      </c>
      <c r="D306" s="17" t="str">
        <f t="shared" si="38"/>
        <v/>
      </c>
      <c r="E306" s="2" t="s">
        <v>1954</v>
      </c>
      <c r="F306" s="1" t="s">
        <v>717</v>
      </c>
      <c r="G306" s="1" t="s">
        <v>1955</v>
      </c>
      <c r="H306" s="18" t="s">
        <v>1133</v>
      </c>
      <c r="I306" s="46">
        <v>369</v>
      </c>
      <c r="J306" s="2"/>
      <c r="K306" s="20" t="s">
        <v>2603</v>
      </c>
      <c r="L306" s="20"/>
      <c r="M306" s="17" t="str">
        <f t="shared" si="36"/>
        <v>기축</v>
      </c>
      <c r="N306" s="21"/>
      <c r="O306" s="21"/>
      <c r="P306" s="1">
        <f t="shared" si="32"/>
        <v>7</v>
      </c>
      <c r="Q306" s="1">
        <v>8</v>
      </c>
      <c r="R306" s="64" t="str">
        <f>IFERROR(INDEX(입력!$J$2:$J$500, MATCH($BO306, 입력!$Z$2:$Z$500, 0)) &amp; "", "")</f>
        <v/>
      </c>
      <c r="S306" s="64" t="str">
        <f>IFERROR(INDEX(입력!$K$2:$K$500, MATCH($BO306, 입력!$Z$2:$Z$500, 0)) &amp; "", "")</f>
        <v/>
      </c>
      <c r="T306" s="64">
        <f>MAX(0, 표1[[#This Row],[의무_면수]]-표1[[#This Row],[면수합]])</f>
        <v>0</v>
      </c>
      <c r="U306" s="44" t="str">
        <f t="shared" si="33"/>
        <v>이행완료</v>
      </c>
      <c r="V306" s="1">
        <f t="shared" si="37"/>
        <v>7</v>
      </c>
      <c r="W306" s="1" t="str">
        <f t="shared" si="34"/>
        <v/>
      </c>
      <c r="X306" s="1">
        <v>8</v>
      </c>
      <c r="Y306" s="64" t="str">
        <f>IFERROR(INDEX(입력!$M$2:$M$500, MATCH($BO306, 입력!$Z$2:$Z$500, 0)) &amp; "", "")</f>
        <v/>
      </c>
      <c r="Z306" s="64" t="str">
        <f>IFERROR(INDEX(입력!$N$2:$N$500, MATCH($BO306, 입력!$Z$2:$Z$500, 0)) &amp; "", "")</f>
        <v/>
      </c>
      <c r="AA306" s="64">
        <f>MAX(0, 표1[[#This Row],[의무_시설]]-표1[[#This Row],[시설합]])</f>
        <v>0</v>
      </c>
      <c r="AB306" s="17" t="str">
        <f t="shared" si="39"/>
        <v>이행완료</v>
      </c>
      <c r="AC306" s="64" t="str">
        <f>IFERROR(INDEX(입력!$P$2:$P$500, MATCH($BO306, 입력!$Z$2:$Z$500, 0)) &amp; "", "")</f>
        <v/>
      </c>
      <c r="AD306" s="64" t="str">
        <f>IFERROR(INDEX(입력!$Q$2:$Q$500, MATCH($BO306, 입력!$Z$2:$Z$500, 0)) &amp; "", "")</f>
        <v/>
      </c>
      <c r="AE306" s="64" t="str">
        <f>IFERROR(INDEX(입력!$R$2:$R$500, MATCH($BO306, 입력!$Z$2:$Z$500, 0)) &amp; "", "")</f>
        <v/>
      </c>
      <c r="AF306" s="64" t="str">
        <f>IFERROR(INDEX(입력!$S$2:$S$500, MATCH($BO306, 입력!$Z$2:$Z$500, 0)) &amp; "", "")</f>
        <v/>
      </c>
      <c r="AG306" s="64" t="str">
        <f>IFERROR(INDEX(입력!$T$2:$T$500, MATCH($BO306, 입력!$Z$2:$Z$500, 0)) &amp; "", "")</f>
        <v/>
      </c>
      <c r="AH306" s="64" t="str">
        <f>IFERROR(INDEX(입력!$U$2:$U$500, MATCH($BO306, 입력!$Z$2:$Z$500, 0)) &amp; "", "")</f>
        <v/>
      </c>
      <c r="AI306" s="64" t="str">
        <f>IFERROR(INDEX(입력!$V$2:$V$500, MATCH($BO306, 입력!$Z$2:$Z$500, 0)) &amp; "", "")</f>
        <v/>
      </c>
      <c r="AJ306" s="44" t="str">
        <f>IFERROR(INDEX(입력!$W$2:$W$500, MATCH($BO306, 입력!$Z$2:$Z$500, 0)) &amp; "", "")</f>
        <v/>
      </c>
      <c r="AK306" s="44" t="str">
        <f>IFERROR(INDEX(입력!$X$2:$X$500, MATCH($BO306, 입력!$Z$2:$Z$500, 0)) &amp; "", "")</f>
        <v/>
      </c>
      <c r="AL306" s="2"/>
      <c r="AM306" s="17" t="s">
        <v>1650</v>
      </c>
      <c r="AN306" s="101">
        <v>2025</v>
      </c>
      <c r="AO306" s="17" t="s">
        <v>3275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3137</v>
      </c>
      <c r="AZ306" s="71" t="str">
        <f>IFERROR(IF(INDEX(입력!$C$2:$C$500, MATCH($BO306, 입력!$Z$2:$Z$500, 0))="", "", TEXT(INDEX(입력!$C$2:$C$500, MATCH($BO306, 입력!$Z$2:$Z$500, 0)), "yyyy-mm-dd")), "")</f>
        <v/>
      </c>
      <c r="BA306" s="44" t="str">
        <f>IFERROR(INDEX(입력!$B$2:$B$500, MATCH($BO306, 입력!$Z$2:$Z$500, 0)) &amp; "", "")</f>
        <v/>
      </c>
      <c r="BB306" s="83" t="str">
        <f>IFERROR(INDEX(입력!$Y$2:$Y$500, MATCH($BO306, 입력!$Z$2:$Z$500, 0)) &amp; "", "")</f>
        <v/>
      </c>
      <c r="BC306" s="83" t="s">
        <v>3112</v>
      </c>
      <c r="BD306" s="83"/>
      <c r="BE306" s="101"/>
      <c r="BF306" s="101"/>
      <c r="BG306" s="101"/>
      <c r="BH306" s="101"/>
      <c r="BI306" s="101"/>
      <c r="BJ306" s="101"/>
      <c r="BK306" s="110"/>
      <c r="BL306" s="21"/>
      <c r="BM306" s="22">
        <v>381</v>
      </c>
      <c r="BN306" s="23"/>
      <c r="BO306" s="47" t="s">
        <v>718</v>
      </c>
    </row>
    <row r="307" spans="1:67" x14ac:dyDescent="0.45">
      <c r="A307" s="19">
        <v>306</v>
      </c>
      <c r="B307" s="1" t="s">
        <v>1647</v>
      </c>
      <c r="C307" s="17" t="str">
        <f t="shared" si="35"/>
        <v>이행완료</v>
      </c>
      <c r="D307" s="17" t="str">
        <f t="shared" si="38"/>
        <v/>
      </c>
      <c r="E307" s="2" t="s">
        <v>1956</v>
      </c>
      <c r="F307" s="1" t="s">
        <v>719</v>
      </c>
      <c r="G307" s="1" t="s">
        <v>1957</v>
      </c>
      <c r="H307" s="18" t="s">
        <v>1133</v>
      </c>
      <c r="I307" s="46">
        <v>352</v>
      </c>
      <c r="J307" s="2"/>
      <c r="K307" s="20" t="s">
        <v>2604</v>
      </c>
      <c r="L307" s="20"/>
      <c r="M307" s="17" t="str">
        <f t="shared" si="36"/>
        <v>기축</v>
      </c>
      <c r="N307" s="21"/>
      <c r="O307" s="21"/>
      <c r="P307" s="1">
        <f t="shared" si="32"/>
        <v>7</v>
      </c>
      <c r="Q307" s="1">
        <v>9</v>
      </c>
      <c r="R307" s="64" t="str">
        <f>IFERROR(INDEX(입력!$J$2:$J$500, MATCH($BO307, 입력!$Z$2:$Z$500, 0)) &amp; "", "")</f>
        <v/>
      </c>
      <c r="S307" s="64" t="str">
        <f>IFERROR(INDEX(입력!$K$2:$K$500, MATCH($BO307, 입력!$Z$2:$Z$500, 0)) &amp; "", "")</f>
        <v/>
      </c>
      <c r="T307" s="64">
        <f>MAX(0, 표1[[#This Row],[의무_면수]]-표1[[#This Row],[면수합]])</f>
        <v>0</v>
      </c>
      <c r="U307" s="44" t="str">
        <f t="shared" si="33"/>
        <v>이행완료</v>
      </c>
      <c r="V307" s="1">
        <f t="shared" si="37"/>
        <v>7</v>
      </c>
      <c r="W307" s="1" t="str">
        <f t="shared" si="34"/>
        <v/>
      </c>
      <c r="X307" s="1">
        <v>9</v>
      </c>
      <c r="Y307" s="64" t="str">
        <f>IFERROR(INDEX(입력!$M$2:$M$500, MATCH($BO307, 입력!$Z$2:$Z$500, 0)) &amp; "", "")</f>
        <v/>
      </c>
      <c r="Z307" s="64" t="str">
        <f>IFERROR(INDEX(입력!$N$2:$N$500, MATCH($BO307, 입력!$Z$2:$Z$500, 0)) &amp; "", "")</f>
        <v/>
      </c>
      <c r="AA307" s="64">
        <f>MAX(0, 표1[[#This Row],[의무_시설]]-표1[[#This Row],[시설합]])</f>
        <v>0</v>
      </c>
      <c r="AB307" s="17" t="str">
        <f t="shared" si="39"/>
        <v>이행완료</v>
      </c>
      <c r="AC307" s="64" t="str">
        <f>IFERROR(INDEX(입력!$P$2:$P$500, MATCH($BO307, 입력!$Z$2:$Z$500, 0)) &amp; "", "")</f>
        <v/>
      </c>
      <c r="AD307" s="64" t="str">
        <f>IFERROR(INDEX(입력!$Q$2:$Q$500, MATCH($BO307, 입력!$Z$2:$Z$500, 0)) &amp; "", "")</f>
        <v/>
      </c>
      <c r="AE307" s="64" t="str">
        <f>IFERROR(INDEX(입력!$R$2:$R$500, MATCH($BO307, 입력!$Z$2:$Z$500, 0)) &amp; "", "")</f>
        <v/>
      </c>
      <c r="AF307" s="64" t="str">
        <f>IFERROR(INDEX(입력!$S$2:$S$500, MATCH($BO307, 입력!$Z$2:$Z$500, 0)) &amp; "", "")</f>
        <v/>
      </c>
      <c r="AG307" s="64" t="str">
        <f>IFERROR(INDEX(입력!$T$2:$T$500, MATCH($BO307, 입력!$Z$2:$Z$500, 0)) &amp; "", "")</f>
        <v/>
      </c>
      <c r="AH307" s="64" t="str">
        <f>IFERROR(INDEX(입력!$U$2:$U$500, MATCH($BO307, 입력!$Z$2:$Z$500, 0)) &amp; "", "")</f>
        <v/>
      </c>
      <c r="AI307" s="64" t="str">
        <f>IFERROR(INDEX(입력!$V$2:$V$500, MATCH($BO307, 입력!$Z$2:$Z$500, 0)) &amp; "", "")</f>
        <v/>
      </c>
      <c r="AJ307" s="44" t="str">
        <f>IFERROR(INDEX(입력!$W$2:$W$500, MATCH($BO307, 입력!$Z$2:$Z$500, 0)) &amp; "", "")</f>
        <v/>
      </c>
      <c r="AK307" s="44" t="str">
        <f>IFERROR(INDEX(입력!$X$2:$X$500, MATCH($BO307, 입력!$Z$2:$Z$500, 0)) &amp; "", "")</f>
        <v/>
      </c>
      <c r="AL307" s="2"/>
      <c r="AM307" s="17" t="s">
        <v>1650</v>
      </c>
      <c r="AN307" s="101">
        <v>2025</v>
      </c>
      <c r="AO307" s="17" t="s">
        <v>3275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3131</v>
      </c>
      <c r="AZ307" s="71" t="str">
        <f>IFERROR(IF(INDEX(입력!$C$2:$C$500, MATCH($BO307, 입력!$Z$2:$Z$500, 0))="", "", TEXT(INDEX(입력!$C$2:$C$500, MATCH($BO307, 입력!$Z$2:$Z$500, 0)), "yyyy-mm-dd")), "")</f>
        <v/>
      </c>
      <c r="BA307" s="44" t="str">
        <f>IFERROR(INDEX(입력!$B$2:$B$500, MATCH($BO307, 입력!$Z$2:$Z$500, 0)) &amp; "", "")</f>
        <v/>
      </c>
      <c r="BB307" s="83" t="str">
        <f>IFERROR(INDEX(입력!$Y$2:$Y$500, MATCH($BO307, 입력!$Z$2:$Z$500, 0)) &amp; "", "")</f>
        <v/>
      </c>
      <c r="BC307" s="83" t="s">
        <v>3112</v>
      </c>
      <c r="BD307" s="83"/>
      <c r="BE307" s="101"/>
      <c r="BF307" s="101"/>
      <c r="BG307" s="101"/>
      <c r="BH307" s="101"/>
      <c r="BI307" s="101"/>
      <c r="BJ307" s="101"/>
      <c r="BK307" s="110"/>
      <c r="BL307" s="21"/>
      <c r="BM307" s="22">
        <v>340</v>
      </c>
      <c r="BN307" s="23"/>
      <c r="BO307" s="47" t="s">
        <v>720</v>
      </c>
    </row>
    <row r="308" spans="1:67" x14ac:dyDescent="0.45">
      <c r="A308" s="46">
        <v>307</v>
      </c>
      <c r="B308" s="1" t="s">
        <v>1647</v>
      </c>
      <c r="C308" s="17" t="str">
        <f t="shared" si="35"/>
        <v>이행완료</v>
      </c>
      <c r="D308" s="17" t="str">
        <f t="shared" si="38"/>
        <v/>
      </c>
      <c r="E308" s="2" t="s">
        <v>1958</v>
      </c>
      <c r="F308" s="1" t="s">
        <v>721</v>
      </c>
      <c r="G308" s="1" t="s">
        <v>1959</v>
      </c>
      <c r="H308" s="18" t="s">
        <v>1133</v>
      </c>
      <c r="I308" s="46">
        <v>434</v>
      </c>
      <c r="J308" s="2"/>
      <c r="K308" s="20" t="s">
        <v>2605</v>
      </c>
      <c r="L308" s="20"/>
      <c r="M308" s="17" t="str">
        <f t="shared" si="36"/>
        <v>기축</v>
      </c>
      <c r="N308" s="21"/>
      <c r="O308" s="21"/>
      <c r="P308" s="1">
        <f t="shared" si="32"/>
        <v>9</v>
      </c>
      <c r="Q308" s="1">
        <v>9</v>
      </c>
      <c r="R308" s="64" t="str">
        <f>IFERROR(INDEX(입력!$J$2:$J$500, MATCH($BO308, 입력!$Z$2:$Z$500, 0)) &amp; "", "")</f>
        <v/>
      </c>
      <c r="S308" s="64" t="str">
        <f>IFERROR(INDEX(입력!$K$2:$K$500, MATCH($BO308, 입력!$Z$2:$Z$500, 0)) &amp; "", "")</f>
        <v/>
      </c>
      <c r="T308" s="64">
        <f>MAX(0, 표1[[#This Row],[의무_면수]]-표1[[#This Row],[면수합]])</f>
        <v>0</v>
      </c>
      <c r="U308" s="44" t="str">
        <f t="shared" si="33"/>
        <v>이행완료</v>
      </c>
      <c r="V308" s="1">
        <f t="shared" si="37"/>
        <v>9</v>
      </c>
      <c r="W308" s="1" t="str">
        <f t="shared" si="34"/>
        <v/>
      </c>
      <c r="X308" s="1">
        <v>9</v>
      </c>
      <c r="Y308" s="64" t="str">
        <f>IFERROR(INDEX(입력!$M$2:$M$500, MATCH($BO308, 입력!$Z$2:$Z$500, 0)) &amp; "", "")</f>
        <v/>
      </c>
      <c r="Z308" s="64" t="str">
        <f>IFERROR(INDEX(입력!$N$2:$N$500, MATCH($BO308, 입력!$Z$2:$Z$500, 0)) &amp; "", "")</f>
        <v/>
      </c>
      <c r="AA308" s="64">
        <f>MAX(0, 표1[[#This Row],[의무_시설]]-표1[[#This Row],[시설합]])</f>
        <v>0</v>
      </c>
      <c r="AB308" s="17" t="str">
        <f t="shared" si="39"/>
        <v>이행완료</v>
      </c>
      <c r="AC308" s="64" t="str">
        <f>IFERROR(INDEX(입력!$P$2:$P$500, MATCH($BO308, 입력!$Z$2:$Z$500, 0)) &amp; "", "")</f>
        <v/>
      </c>
      <c r="AD308" s="64" t="str">
        <f>IFERROR(INDEX(입력!$Q$2:$Q$500, MATCH($BO308, 입력!$Z$2:$Z$500, 0)) &amp; "", "")</f>
        <v/>
      </c>
      <c r="AE308" s="64" t="str">
        <f>IFERROR(INDEX(입력!$R$2:$R$500, MATCH($BO308, 입력!$Z$2:$Z$500, 0)) &amp; "", "")</f>
        <v/>
      </c>
      <c r="AF308" s="64" t="str">
        <f>IFERROR(INDEX(입력!$S$2:$S$500, MATCH($BO308, 입력!$Z$2:$Z$500, 0)) &amp; "", "")</f>
        <v/>
      </c>
      <c r="AG308" s="64" t="str">
        <f>IFERROR(INDEX(입력!$T$2:$T$500, MATCH($BO308, 입력!$Z$2:$Z$500, 0)) &amp; "", "")</f>
        <v/>
      </c>
      <c r="AH308" s="64" t="str">
        <f>IFERROR(INDEX(입력!$U$2:$U$500, MATCH($BO308, 입력!$Z$2:$Z$500, 0)) &amp; "", "")</f>
        <v/>
      </c>
      <c r="AI308" s="64" t="str">
        <f>IFERROR(INDEX(입력!$V$2:$V$500, MATCH($BO308, 입력!$Z$2:$Z$500, 0)) &amp; "", "")</f>
        <v/>
      </c>
      <c r="AJ308" s="44" t="str">
        <f>IFERROR(INDEX(입력!$W$2:$W$500, MATCH($BO308, 입력!$Z$2:$Z$500, 0)) &amp; "", "")</f>
        <v/>
      </c>
      <c r="AK308" s="44" t="str">
        <f>IFERROR(INDEX(입력!$X$2:$X$500, MATCH($BO308, 입력!$Z$2:$Z$500, 0)) &amp; "", "")</f>
        <v/>
      </c>
      <c r="AL308" s="2"/>
      <c r="AM308" s="17" t="s">
        <v>1650</v>
      </c>
      <c r="AN308" s="101">
        <v>2025</v>
      </c>
      <c r="AO308" s="17" t="s">
        <v>3277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3137</v>
      </c>
      <c r="AZ308" s="71" t="str">
        <f>IFERROR(IF(INDEX(입력!$C$2:$C$500, MATCH($BO308, 입력!$Z$2:$Z$500, 0))="", "", TEXT(INDEX(입력!$C$2:$C$500, MATCH($BO308, 입력!$Z$2:$Z$500, 0)), "yyyy-mm-dd")), "")</f>
        <v/>
      </c>
      <c r="BA308" s="44" t="str">
        <f>IFERROR(INDEX(입력!$B$2:$B$500, MATCH($BO308, 입력!$Z$2:$Z$500, 0)) &amp; "", "")</f>
        <v/>
      </c>
      <c r="BB308" s="83" t="str">
        <f>IFERROR(INDEX(입력!$Y$2:$Y$500, MATCH($BO308, 입력!$Z$2:$Z$500, 0)) &amp; "", "")</f>
        <v/>
      </c>
      <c r="BC308" s="83" t="s">
        <v>3112</v>
      </c>
      <c r="BD308" s="83"/>
      <c r="BE308" s="101"/>
      <c r="BF308" s="101"/>
      <c r="BG308" s="101"/>
      <c r="BH308" s="101"/>
      <c r="BI308" s="101"/>
      <c r="BJ308" s="101"/>
      <c r="BK308" s="110"/>
      <c r="BL308" s="21"/>
      <c r="BM308" s="22">
        <v>421</v>
      </c>
      <c r="BN308" s="23"/>
      <c r="BO308" s="47" t="s">
        <v>722</v>
      </c>
    </row>
    <row r="309" spans="1:67" x14ac:dyDescent="0.45">
      <c r="A309" s="19">
        <v>308</v>
      </c>
      <c r="B309" s="1" t="s">
        <v>1647</v>
      </c>
      <c r="C309" s="17" t="str">
        <f t="shared" si="35"/>
        <v>이행완료</v>
      </c>
      <c r="D309" s="17" t="str">
        <f t="shared" si="38"/>
        <v/>
      </c>
      <c r="E309" s="2" t="s">
        <v>1960</v>
      </c>
      <c r="F309" s="1" t="s">
        <v>723</v>
      </c>
      <c r="G309" s="1" t="s">
        <v>1961</v>
      </c>
      <c r="H309" s="18" t="s">
        <v>1172</v>
      </c>
      <c r="I309" s="46"/>
      <c r="J309" s="2">
        <v>276</v>
      </c>
      <c r="K309" s="20">
        <v>34466</v>
      </c>
      <c r="L309" s="20"/>
      <c r="M309" s="17" t="str">
        <f t="shared" si="36"/>
        <v>기축</v>
      </c>
      <c r="N309" s="21"/>
      <c r="O309" s="21"/>
      <c r="P309" s="1">
        <f t="shared" si="32"/>
        <v>6</v>
      </c>
      <c r="Q309" s="1">
        <v>6</v>
      </c>
      <c r="R309" s="64" t="str">
        <f>IFERROR(INDEX(입력!$J$2:$J$500, MATCH($BO309, 입력!$Z$2:$Z$500, 0)) &amp; "", "")</f>
        <v/>
      </c>
      <c r="S309" s="64" t="str">
        <f>IFERROR(INDEX(입력!$K$2:$K$500, MATCH($BO309, 입력!$Z$2:$Z$500, 0)) &amp; "", "")</f>
        <v/>
      </c>
      <c r="T309" s="64">
        <f>MAX(0, 표1[[#This Row],[의무_면수]]-표1[[#This Row],[면수합]])</f>
        <v>0</v>
      </c>
      <c r="U309" s="44" t="str">
        <f t="shared" si="33"/>
        <v>이행완료</v>
      </c>
      <c r="V309" s="1">
        <f t="shared" si="37"/>
        <v>6</v>
      </c>
      <c r="W309" s="1" t="str">
        <f t="shared" si="34"/>
        <v/>
      </c>
      <c r="X309" s="1">
        <v>6</v>
      </c>
      <c r="Y309" s="64" t="str">
        <f>IFERROR(INDEX(입력!$M$2:$M$500, MATCH($BO309, 입력!$Z$2:$Z$500, 0)) &amp; "", "")</f>
        <v/>
      </c>
      <c r="Z309" s="64" t="str">
        <f>IFERROR(INDEX(입력!$N$2:$N$500, MATCH($BO309, 입력!$Z$2:$Z$500, 0)) &amp; "", "")</f>
        <v/>
      </c>
      <c r="AA309" s="64">
        <f>MAX(0, 표1[[#This Row],[의무_시설]]-표1[[#This Row],[시설합]])</f>
        <v>0</v>
      </c>
      <c r="AB309" s="17" t="str">
        <f t="shared" si="39"/>
        <v>이행완료</v>
      </c>
      <c r="AC309" s="64" t="str">
        <f>IFERROR(INDEX(입력!$P$2:$P$500, MATCH($BO309, 입력!$Z$2:$Z$500, 0)) &amp; "", "")</f>
        <v/>
      </c>
      <c r="AD309" s="64" t="str">
        <f>IFERROR(INDEX(입력!$Q$2:$Q$500, MATCH($BO309, 입력!$Z$2:$Z$500, 0)) &amp; "", "")</f>
        <v/>
      </c>
      <c r="AE309" s="64" t="str">
        <f>IFERROR(INDEX(입력!$R$2:$R$500, MATCH($BO309, 입력!$Z$2:$Z$500, 0)) &amp; "", "")</f>
        <v/>
      </c>
      <c r="AF309" s="64" t="str">
        <f>IFERROR(INDEX(입력!$S$2:$S$500, MATCH($BO309, 입력!$Z$2:$Z$500, 0)) &amp; "", "")</f>
        <v/>
      </c>
      <c r="AG309" s="64" t="str">
        <f>IFERROR(INDEX(입력!$T$2:$T$500, MATCH($BO309, 입력!$Z$2:$Z$500, 0)) &amp; "", "")</f>
        <v/>
      </c>
      <c r="AH309" s="64" t="str">
        <f>IFERROR(INDEX(입력!$U$2:$U$500, MATCH($BO309, 입력!$Z$2:$Z$500, 0)) &amp; "", "")</f>
        <v/>
      </c>
      <c r="AI309" s="64" t="str">
        <f>IFERROR(INDEX(입력!$V$2:$V$500, MATCH($BO309, 입력!$Z$2:$Z$500, 0)) &amp; "", "")</f>
        <v/>
      </c>
      <c r="AJ309" s="44" t="str">
        <f>IFERROR(INDEX(입력!$W$2:$W$500, MATCH($BO309, 입력!$Z$2:$Z$500, 0)) &amp; "", "")</f>
        <v/>
      </c>
      <c r="AK309" s="44" t="str">
        <f>IFERROR(INDEX(입력!$X$2:$X$500, MATCH($BO309, 입력!$Z$2:$Z$500, 0)) &amp; "", "")</f>
        <v/>
      </c>
      <c r="AL309" s="2"/>
      <c r="AM309" s="17" t="s">
        <v>1650</v>
      </c>
      <c r="AN309" s="101">
        <v>2025</v>
      </c>
      <c r="AO309" s="17" t="s">
        <v>3275</v>
      </c>
      <c r="AP309" s="101"/>
      <c r="AQ309" s="108"/>
      <c r="AR309" s="119"/>
      <c r="AS309" s="83" t="s">
        <v>3291</v>
      </c>
      <c r="AT309" s="109">
        <v>46034</v>
      </c>
      <c r="AU309" s="101" t="s">
        <v>3141</v>
      </c>
      <c r="AV309" s="101"/>
      <c r="AW309" s="101" t="s">
        <v>3149</v>
      </c>
      <c r="AX309" s="101" t="s">
        <v>3292</v>
      </c>
      <c r="AY309" s="83" t="s">
        <v>3137</v>
      </c>
      <c r="AZ309" s="71" t="str">
        <f>IFERROR(IF(INDEX(입력!$C$2:$C$500, MATCH($BO309, 입력!$Z$2:$Z$500, 0))="", "", TEXT(INDEX(입력!$C$2:$C$500, MATCH($BO309, 입력!$Z$2:$Z$500, 0)), "yyyy-mm-dd")), "")</f>
        <v/>
      </c>
      <c r="BA309" s="44" t="str">
        <f>IFERROR(INDEX(입력!$B$2:$B$500, MATCH($BO309, 입력!$Z$2:$Z$500, 0)) &amp; "", "")</f>
        <v/>
      </c>
      <c r="BB309" s="83" t="str">
        <f>IFERROR(INDEX(입력!$Y$2:$Y$500, MATCH($BO309, 입력!$Z$2:$Z$500, 0)) &amp; "", "")</f>
        <v/>
      </c>
      <c r="BC309" s="83" t="s">
        <v>3284</v>
      </c>
      <c r="BD309" s="83"/>
      <c r="BE309" s="83" t="s">
        <v>3370</v>
      </c>
      <c r="BF309" s="109">
        <v>46153</v>
      </c>
      <c r="BG309" s="101" t="s">
        <v>1059</v>
      </c>
      <c r="BH309" s="101" t="s">
        <v>3371</v>
      </c>
      <c r="BI309" s="101"/>
      <c r="BJ309" s="101"/>
      <c r="BK309" s="110"/>
      <c r="BL309" s="21"/>
      <c r="BM309" s="22">
        <v>276</v>
      </c>
      <c r="BN309" s="23"/>
      <c r="BO309" s="47" t="s">
        <v>724</v>
      </c>
    </row>
    <row r="310" spans="1:67" x14ac:dyDescent="0.45">
      <c r="A310" s="46">
        <v>309</v>
      </c>
      <c r="B310" s="1" t="s">
        <v>1647</v>
      </c>
      <c r="C310" s="17" t="str">
        <f t="shared" si="35"/>
        <v>이행완료</v>
      </c>
      <c r="D310" s="17" t="str">
        <f t="shared" si="38"/>
        <v/>
      </c>
      <c r="E310" s="2" t="s">
        <v>1962</v>
      </c>
      <c r="F310" s="1" t="s">
        <v>725</v>
      </c>
      <c r="G310" s="1" t="s">
        <v>1963</v>
      </c>
      <c r="H310" s="18" t="s">
        <v>1172</v>
      </c>
      <c r="I310" s="19">
        <v>455</v>
      </c>
      <c r="J310" s="2"/>
      <c r="K310" s="20" t="s">
        <v>2492</v>
      </c>
      <c r="L310" s="20"/>
      <c r="M310" s="17" t="str">
        <f t="shared" si="36"/>
        <v>기축</v>
      </c>
      <c r="N310" s="21"/>
      <c r="O310" s="21"/>
      <c r="P310" s="1">
        <f t="shared" si="32"/>
        <v>9</v>
      </c>
      <c r="Q310" s="1">
        <v>10</v>
      </c>
      <c r="R310" s="64" t="str">
        <f>IFERROR(INDEX(입력!$J$2:$J$500, MATCH($BO310, 입력!$Z$2:$Z$500, 0)) &amp; "", "")</f>
        <v/>
      </c>
      <c r="S310" s="64" t="str">
        <f>IFERROR(INDEX(입력!$K$2:$K$500, MATCH($BO310, 입력!$Z$2:$Z$500, 0)) &amp; "", "")</f>
        <v/>
      </c>
      <c r="T310" s="64">
        <f>MAX(0, 표1[[#This Row],[의무_면수]]-표1[[#This Row],[면수합]])</f>
        <v>0</v>
      </c>
      <c r="U310" s="44" t="str">
        <f t="shared" si="33"/>
        <v>이행완료</v>
      </c>
      <c r="V310" s="1">
        <f t="shared" si="37"/>
        <v>9</v>
      </c>
      <c r="W310" s="1" t="str">
        <f t="shared" si="34"/>
        <v/>
      </c>
      <c r="X310" s="1">
        <v>10</v>
      </c>
      <c r="Y310" s="64" t="str">
        <f>IFERROR(INDEX(입력!$M$2:$M$500, MATCH($BO310, 입력!$Z$2:$Z$500, 0)) &amp; "", "")</f>
        <v/>
      </c>
      <c r="Z310" s="64" t="str">
        <f>IFERROR(INDEX(입력!$N$2:$N$500, MATCH($BO310, 입력!$Z$2:$Z$500, 0)) &amp; "", "")</f>
        <v/>
      </c>
      <c r="AA310" s="64">
        <f>MAX(0, 표1[[#This Row],[의무_시설]]-표1[[#This Row],[시설합]])</f>
        <v>0</v>
      </c>
      <c r="AB310" s="17" t="str">
        <f t="shared" si="39"/>
        <v>이행완료</v>
      </c>
      <c r="AC310" s="64" t="str">
        <f>IFERROR(INDEX(입력!$P$2:$P$500, MATCH($BO310, 입력!$Z$2:$Z$500, 0)) &amp; "", "")</f>
        <v/>
      </c>
      <c r="AD310" s="64" t="str">
        <f>IFERROR(INDEX(입력!$Q$2:$Q$500, MATCH($BO310, 입력!$Z$2:$Z$500, 0)) &amp; "", "")</f>
        <v/>
      </c>
      <c r="AE310" s="64" t="str">
        <f>IFERROR(INDEX(입력!$R$2:$R$500, MATCH($BO310, 입력!$Z$2:$Z$500, 0)) &amp; "", "")</f>
        <v/>
      </c>
      <c r="AF310" s="64" t="str">
        <f>IFERROR(INDEX(입력!$S$2:$S$500, MATCH($BO310, 입력!$Z$2:$Z$500, 0)) &amp; "", "")</f>
        <v/>
      </c>
      <c r="AG310" s="64" t="str">
        <f>IFERROR(INDEX(입력!$T$2:$T$500, MATCH($BO310, 입력!$Z$2:$Z$500, 0)) &amp; "", "")</f>
        <v/>
      </c>
      <c r="AH310" s="64" t="str">
        <f>IFERROR(INDEX(입력!$U$2:$U$500, MATCH($BO310, 입력!$Z$2:$Z$500, 0)) &amp; "", "")</f>
        <v/>
      </c>
      <c r="AI310" s="64" t="str">
        <f>IFERROR(INDEX(입력!$V$2:$V$500, MATCH($BO310, 입력!$Z$2:$Z$500, 0)) &amp; "", "")</f>
        <v/>
      </c>
      <c r="AJ310" s="44" t="str">
        <f>IFERROR(INDEX(입력!$W$2:$W$500, MATCH($BO310, 입력!$Z$2:$Z$500, 0)) &amp; "", "")</f>
        <v/>
      </c>
      <c r="AK310" s="44" t="str">
        <f>IFERROR(INDEX(입력!$X$2:$X$500, MATCH($BO310, 입력!$Z$2:$Z$500, 0)) &amp; "", "")</f>
        <v/>
      </c>
      <c r="AL310" s="2"/>
      <c r="AM310" s="17" t="s">
        <v>1650</v>
      </c>
      <c r="AN310" s="101">
        <v>2025</v>
      </c>
      <c r="AO310" s="17" t="s">
        <v>3274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3137</v>
      </c>
      <c r="AZ310" s="71" t="str">
        <f>IFERROR(IF(INDEX(입력!$C$2:$C$500, MATCH($BO310, 입력!$Z$2:$Z$500, 0))="", "", TEXT(INDEX(입력!$C$2:$C$500, MATCH($BO310, 입력!$Z$2:$Z$500, 0)), "yyyy-mm-dd")), "")</f>
        <v/>
      </c>
      <c r="BA310" s="44" t="str">
        <f>IFERROR(INDEX(입력!$B$2:$B$500, MATCH($BO310, 입력!$Z$2:$Z$500, 0)) &amp; "", "")</f>
        <v/>
      </c>
      <c r="BB310" s="83" t="str">
        <f>IFERROR(INDEX(입력!$Y$2:$Y$500, MATCH($BO310, 입력!$Z$2:$Z$500, 0)) &amp; "", "")</f>
        <v/>
      </c>
      <c r="BC310" s="83" t="s">
        <v>3112</v>
      </c>
      <c r="BD310" s="83"/>
      <c r="BE310" s="101"/>
      <c r="BF310" s="101"/>
      <c r="BG310" s="101"/>
      <c r="BH310" s="101"/>
      <c r="BI310" s="101"/>
      <c r="BJ310" s="101"/>
      <c r="BK310" s="110"/>
      <c r="BL310" s="21"/>
      <c r="BM310" s="22">
        <v>473</v>
      </c>
      <c r="BN310" s="23"/>
      <c r="BO310" s="47" t="s">
        <v>726</v>
      </c>
    </row>
    <row r="311" spans="1:67" x14ac:dyDescent="0.45">
      <c r="A311" s="19">
        <v>310</v>
      </c>
      <c r="B311" s="1" t="s">
        <v>1647</v>
      </c>
      <c r="C311" s="17" t="str">
        <f t="shared" si="35"/>
        <v>이행완료</v>
      </c>
      <c r="D311" s="17" t="str">
        <f t="shared" si="38"/>
        <v/>
      </c>
      <c r="E311" s="2" t="s">
        <v>1964</v>
      </c>
      <c r="F311" s="1" t="s">
        <v>727</v>
      </c>
      <c r="G311" s="1" t="s">
        <v>1965</v>
      </c>
      <c r="H311" s="18" t="s">
        <v>1172</v>
      </c>
      <c r="I311" s="19">
        <v>227</v>
      </c>
      <c r="J311" s="2"/>
      <c r="K311" s="20" t="s">
        <v>2493</v>
      </c>
      <c r="L311" s="20"/>
      <c r="M311" s="17" t="str">
        <f t="shared" si="36"/>
        <v>기축</v>
      </c>
      <c r="N311" s="21"/>
      <c r="O311" s="21"/>
      <c r="P311" s="1">
        <f t="shared" si="32"/>
        <v>5</v>
      </c>
      <c r="Q311" s="1">
        <v>12</v>
      </c>
      <c r="R311" s="64" t="str">
        <f>IFERROR(INDEX(입력!$J$2:$J$500, MATCH($BO311, 입력!$Z$2:$Z$500, 0)) &amp; "", "")</f>
        <v/>
      </c>
      <c r="S311" s="64" t="str">
        <f>IFERROR(INDEX(입력!$K$2:$K$500, MATCH($BO311, 입력!$Z$2:$Z$500, 0)) &amp; "", "")</f>
        <v/>
      </c>
      <c r="T311" s="64">
        <f>MAX(0, 표1[[#This Row],[의무_면수]]-표1[[#This Row],[면수합]])</f>
        <v>0</v>
      </c>
      <c r="U311" s="44" t="str">
        <f t="shared" si="33"/>
        <v>이행완료</v>
      </c>
      <c r="V311" s="1">
        <f t="shared" si="37"/>
        <v>5</v>
      </c>
      <c r="W311" s="1" t="str">
        <f t="shared" si="34"/>
        <v/>
      </c>
      <c r="X311" s="1">
        <v>12</v>
      </c>
      <c r="Y311" s="64" t="str">
        <f>IFERROR(INDEX(입력!$M$2:$M$500, MATCH($BO311, 입력!$Z$2:$Z$500, 0)) &amp; "", "")</f>
        <v/>
      </c>
      <c r="Z311" s="64" t="str">
        <f>IFERROR(INDEX(입력!$N$2:$N$500, MATCH($BO311, 입력!$Z$2:$Z$500, 0)) &amp; "", "")</f>
        <v/>
      </c>
      <c r="AA311" s="64">
        <f>MAX(0, 표1[[#This Row],[의무_시설]]-표1[[#This Row],[시설합]])</f>
        <v>0</v>
      </c>
      <c r="AB311" s="17" t="str">
        <f t="shared" si="39"/>
        <v>이행완료</v>
      </c>
      <c r="AC311" s="64" t="str">
        <f>IFERROR(INDEX(입력!$P$2:$P$500, MATCH($BO311, 입력!$Z$2:$Z$500, 0)) &amp; "", "")</f>
        <v/>
      </c>
      <c r="AD311" s="64" t="str">
        <f>IFERROR(INDEX(입력!$Q$2:$Q$500, MATCH($BO311, 입력!$Z$2:$Z$500, 0)) &amp; "", "")</f>
        <v/>
      </c>
      <c r="AE311" s="64" t="str">
        <f>IFERROR(INDEX(입력!$R$2:$R$500, MATCH($BO311, 입력!$Z$2:$Z$500, 0)) &amp; "", "")</f>
        <v/>
      </c>
      <c r="AF311" s="64" t="str">
        <f>IFERROR(INDEX(입력!$S$2:$S$500, MATCH($BO311, 입력!$Z$2:$Z$500, 0)) &amp; "", "")</f>
        <v/>
      </c>
      <c r="AG311" s="64" t="str">
        <f>IFERROR(INDEX(입력!$T$2:$T$500, MATCH($BO311, 입력!$Z$2:$Z$500, 0)) &amp; "", "")</f>
        <v/>
      </c>
      <c r="AH311" s="64" t="str">
        <f>IFERROR(INDEX(입력!$U$2:$U$500, MATCH($BO311, 입력!$Z$2:$Z$500, 0)) &amp; "", "")</f>
        <v/>
      </c>
      <c r="AI311" s="64" t="str">
        <f>IFERROR(INDEX(입력!$V$2:$V$500, MATCH($BO311, 입력!$Z$2:$Z$500, 0)) &amp; "", "")</f>
        <v/>
      </c>
      <c r="AJ311" s="44" t="str">
        <f>IFERROR(INDEX(입력!$W$2:$W$500, MATCH($BO311, 입력!$Z$2:$Z$500, 0)) &amp; "", "")</f>
        <v/>
      </c>
      <c r="AK311" s="44" t="str">
        <f>IFERROR(INDEX(입력!$X$2:$X$500, MATCH($BO311, 입력!$Z$2:$Z$500, 0)) &amp; "", "")</f>
        <v/>
      </c>
      <c r="AL311" s="2"/>
      <c r="AM311" s="17" t="s">
        <v>1650</v>
      </c>
      <c r="AN311" s="101">
        <v>2025</v>
      </c>
      <c r="AO311" s="17" t="s">
        <v>3274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3131</v>
      </c>
      <c r="AZ311" s="71" t="str">
        <f>IFERROR(IF(INDEX(입력!$C$2:$C$500, MATCH($BO311, 입력!$Z$2:$Z$500, 0))="", "", TEXT(INDEX(입력!$C$2:$C$500, MATCH($BO311, 입력!$Z$2:$Z$500, 0)), "yyyy-mm-dd")), "")</f>
        <v/>
      </c>
      <c r="BA311" s="44" t="str">
        <f>IFERROR(INDEX(입력!$B$2:$B$500, MATCH($BO311, 입력!$Z$2:$Z$500, 0)) &amp; "", "")</f>
        <v/>
      </c>
      <c r="BB311" s="83" t="str">
        <f>IFERROR(INDEX(입력!$Y$2:$Y$500, MATCH($BO311, 입력!$Z$2:$Z$500, 0)) &amp; "", "")</f>
        <v/>
      </c>
      <c r="BC311" s="83" t="s">
        <v>3112</v>
      </c>
      <c r="BD311" s="83"/>
      <c r="BE311" s="101"/>
      <c r="BF311" s="101"/>
      <c r="BG311" s="101"/>
      <c r="BH311" s="101"/>
      <c r="BI311" s="101"/>
      <c r="BJ311" s="101"/>
      <c r="BK311" s="110"/>
      <c r="BL311" s="21"/>
      <c r="BM311" s="22">
        <v>227</v>
      </c>
      <c r="BN311" s="23"/>
      <c r="BO311" s="47" t="s">
        <v>728</v>
      </c>
    </row>
    <row r="312" spans="1:67" x14ac:dyDescent="0.45">
      <c r="A312" s="46">
        <v>311</v>
      </c>
      <c r="B312" s="1" t="s">
        <v>1647</v>
      </c>
      <c r="C312" s="17" t="str">
        <f t="shared" si="35"/>
        <v>이행완료</v>
      </c>
      <c r="D312" s="17" t="str">
        <f t="shared" si="38"/>
        <v/>
      </c>
      <c r="E312" s="2" t="s">
        <v>1966</v>
      </c>
      <c r="F312" s="1" t="s">
        <v>729</v>
      </c>
      <c r="G312" s="1" t="s">
        <v>1967</v>
      </c>
      <c r="H312" s="18" t="s">
        <v>1266</v>
      </c>
      <c r="I312" s="19">
        <v>423</v>
      </c>
      <c r="J312" s="2"/>
      <c r="K312" s="20" t="s">
        <v>2563</v>
      </c>
      <c r="L312" s="20"/>
      <c r="M312" s="17" t="str">
        <f t="shared" si="36"/>
        <v>기축</v>
      </c>
      <c r="N312" s="21"/>
      <c r="O312" s="21"/>
      <c r="P312" s="1">
        <f t="shared" si="32"/>
        <v>8</v>
      </c>
      <c r="Q312" s="1">
        <v>15</v>
      </c>
      <c r="R312" s="64" t="str">
        <f>IFERROR(INDEX(입력!$J$2:$J$500, MATCH($BO312, 입력!$Z$2:$Z$500, 0)) &amp; "", "")</f>
        <v/>
      </c>
      <c r="S312" s="64" t="str">
        <f>IFERROR(INDEX(입력!$K$2:$K$500, MATCH($BO312, 입력!$Z$2:$Z$500, 0)) &amp; "", "")</f>
        <v/>
      </c>
      <c r="T312" s="64">
        <f>MAX(0, 표1[[#This Row],[의무_면수]]-표1[[#This Row],[면수합]])</f>
        <v>0</v>
      </c>
      <c r="U312" s="44" t="str">
        <f t="shared" si="33"/>
        <v>이행완료</v>
      </c>
      <c r="V312" s="1">
        <f t="shared" si="37"/>
        <v>8</v>
      </c>
      <c r="W312" s="1" t="str">
        <f t="shared" si="34"/>
        <v/>
      </c>
      <c r="X312" s="1">
        <v>15</v>
      </c>
      <c r="Y312" s="64" t="str">
        <f>IFERROR(INDEX(입력!$M$2:$M$500, MATCH($BO312, 입력!$Z$2:$Z$500, 0)) &amp; "", "")</f>
        <v/>
      </c>
      <c r="Z312" s="64" t="str">
        <f>IFERROR(INDEX(입력!$N$2:$N$500, MATCH($BO312, 입력!$Z$2:$Z$500, 0)) &amp; "", "")</f>
        <v/>
      </c>
      <c r="AA312" s="64">
        <f>MAX(0, 표1[[#This Row],[의무_시설]]-표1[[#This Row],[시설합]])</f>
        <v>0</v>
      </c>
      <c r="AB312" s="17" t="str">
        <f t="shared" si="39"/>
        <v>이행완료</v>
      </c>
      <c r="AC312" s="64" t="str">
        <f>IFERROR(INDEX(입력!$P$2:$P$500, MATCH($BO312, 입력!$Z$2:$Z$500, 0)) &amp; "", "")</f>
        <v/>
      </c>
      <c r="AD312" s="64" t="str">
        <f>IFERROR(INDEX(입력!$Q$2:$Q$500, MATCH($BO312, 입력!$Z$2:$Z$500, 0)) &amp; "", "")</f>
        <v/>
      </c>
      <c r="AE312" s="64" t="str">
        <f>IFERROR(INDEX(입력!$R$2:$R$500, MATCH($BO312, 입력!$Z$2:$Z$500, 0)) &amp; "", "")</f>
        <v/>
      </c>
      <c r="AF312" s="64" t="str">
        <f>IFERROR(INDEX(입력!$S$2:$S$500, MATCH($BO312, 입력!$Z$2:$Z$500, 0)) &amp; "", "")</f>
        <v/>
      </c>
      <c r="AG312" s="64" t="str">
        <f>IFERROR(INDEX(입력!$T$2:$T$500, MATCH($BO312, 입력!$Z$2:$Z$500, 0)) &amp; "", "")</f>
        <v/>
      </c>
      <c r="AH312" s="64" t="str">
        <f>IFERROR(INDEX(입력!$U$2:$U$500, MATCH($BO312, 입력!$Z$2:$Z$500, 0)) &amp; "", "")</f>
        <v/>
      </c>
      <c r="AI312" s="64" t="str">
        <f>IFERROR(INDEX(입력!$V$2:$V$500, MATCH($BO312, 입력!$Z$2:$Z$500, 0)) &amp; "", "")</f>
        <v/>
      </c>
      <c r="AJ312" s="44" t="str">
        <f>IFERROR(INDEX(입력!$W$2:$W$500, MATCH($BO312, 입력!$Z$2:$Z$500, 0)) &amp; "", "")</f>
        <v/>
      </c>
      <c r="AK312" s="44" t="str">
        <f>IFERROR(INDEX(입력!$X$2:$X$500, MATCH($BO312, 입력!$Z$2:$Z$500, 0)) &amp; "", "")</f>
        <v/>
      </c>
      <c r="AL312" s="2"/>
      <c r="AM312" s="17" t="s">
        <v>1650</v>
      </c>
      <c r="AN312" s="101">
        <v>2025</v>
      </c>
      <c r="AO312" s="17" t="s">
        <v>3274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3137</v>
      </c>
      <c r="AZ312" s="71" t="str">
        <f>IFERROR(IF(INDEX(입력!$C$2:$C$500, MATCH($BO312, 입력!$Z$2:$Z$500, 0))="", "", TEXT(INDEX(입력!$C$2:$C$500, MATCH($BO312, 입력!$Z$2:$Z$500, 0)), "yyyy-mm-dd")), "")</f>
        <v/>
      </c>
      <c r="BA312" s="44" t="str">
        <f>IFERROR(INDEX(입력!$B$2:$B$500, MATCH($BO312, 입력!$Z$2:$Z$500, 0)) &amp; "", "")</f>
        <v/>
      </c>
      <c r="BB312" s="83" t="str">
        <f>IFERROR(INDEX(입력!$Y$2:$Y$500, MATCH($BO312, 입력!$Z$2:$Z$500, 0)) &amp; "", "")</f>
        <v/>
      </c>
      <c r="BC312" s="83" t="s">
        <v>3112</v>
      </c>
      <c r="BD312" s="83"/>
      <c r="BE312" s="101"/>
      <c r="BF312" s="101"/>
      <c r="BG312" s="101"/>
      <c r="BH312" s="101"/>
      <c r="BI312" s="101"/>
      <c r="BJ312" s="101"/>
      <c r="BK312" s="110"/>
      <c r="BL312" s="21"/>
      <c r="BM312" s="22">
        <v>423</v>
      </c>
      <c r="BN312" s="23"/>
      <c r="BO312" s="47" t="s">
        <v>730</v>
      </c>
    </row>
    <row r="313" spans="1:67" x14ac:dyDescent="0.45">
      <c r="A313" s="19">
        <v>312</v>
      </c>
      <c r="B313" s="1" t="s">
        <v>1647</v>
      </c>
      <c r="C313" s="17" t="str">
        <f t="shared" si="35"/>
        <v>이행완료</v>
      </c>
      <c r="D313" s="17" t="str">
        <f t="shared" si="38"/>
        <v>조사완료</v>
      </c>
      <c r="E313" s="2" t="s">
        <v>1968</v>
      </c>
      <c r="F313" s="1" t="s">
        <v>731</v>
      </c>
      <c r="G313" s="1" t="s">
        <v>1969</v>
      </c>
      <c r="H313" s="18" t="s">
        <v>1266</v>
      </c>
      <c r="I313" s="19">
        <v>357</v>
      </c>
      <c r="J313" s="2"/>
      <c r="K313" s="20" t="s">
        <v>2420</v>
      </c>
      <c r="L313" s="20"/>
      <c r="M313" s="17" t="str">
        <f t="shared" si="36"/>
        <v>기축</v>
      </c>
      <c r="N313" s="21" t="s">
        <v>1057</v>
      </c>
      <c r="O313" s="21"/>
      <c r="P313" s="1">
        <f t="shared" si="32"/>
        <v>18</v>
      </c>
      <c r="Q313" s="1">
        <v>18</v>
      </c>
      <c r="R313" s="64" t="str">
        <f>IFERROR(INDEX(입력!$J$2:$J$500, MATCH($BO313, 입력!$Z$2:$Z$500, 0)) &amp; "", "")</f>
        <v>18</v>
      </c>
      <c r="S313" s="64" t="str">
        <f>IFERROR(INDEX(입력!$K$2:$K$500, MATCH($BO313, 입력!$Z$2:$Z$500, 0)) &amp; "", "")</f>
        <v/>
      </c>
      <c r="T313" s="64">
        <f>MAX(0, 표1[[#This Row],[의무_면수]]-표1[[#This Row],[면수합]])</f>
        <v>0</v>
      </c>
      <c r="U313" s="44" t="str">
        <f t="shared" si="33"/>
        <v>이행완료</v>
      </c>
      <c r="V313" s="1">
        <f t="shared" si="37"/>
        <v>7</v>
      </c>
      <c r="W313" s="1" t="str">
        <f t="shared" si="34"/>
        <v/>
      </c>
      <c r="X313" s="1">
        <v>7</v>
      </c>
      <c r="Y313" s="64" t="str">
        <f>IFERROR(INDEX(입력!$M$2:$M$500, MATCH($BO313, 입력!$Z$2:$Z$500, 0)) &amp; "", "")</f>
        <v/>
      </c>
      <c r="Z313" s="64" t="str">
        <f>IFERROR(INDEX(입력!$N$2:$N$500, MATCH($BO313, 입력!$Z$2:$Z$500, 0)) &amp; "", "")</f>
        <v>7</v>
      </c>
      <c r="AA313" s="64">
        <f>MAX(0, 표1[[#This Row],[의무_시설]]-표1[[#This Row],[시설합]])</f>
        <v>0</v>
      </c>
      <c r="AB313" s="17" t="str">
        <f t="shared" si="39"/>
        <v>이행완료</v>
      </c>
      <c r="AC313" s="64" t="str">
        <f>IFERROR(INDEX(입력!$P$2:$P$500, MATCH($BO313, 입력!$Z$2:$Z$500, 0)) &amp; "", "")</f>
        <v>390</v>
      </c>
      <c r="AD313" s="64" t="str">
        <f>IFERROR(INDEX(입력!$Q$2:$Q$500, MATCH($BO313, 입력!$Z$2:$Z$500, 0)) &amp; "", "")</f>
        <v>4</v>
      </c>
      <c r="AE313" s="64" t="str">
        <f>IFERROR(INDEX(입력!$R$2:$R$500, MATCH($BO313, 입력!$Z$2:$Z$500, 0)) &amp; "", "")</f>
        <v>여</v>
      </c>
      <c r="AF313" s="64" t="str">
        <f>IFERROR(INDEX(입력!$S$2:$S$500, MATCH($BO313, 입력!$Z$2:$Z$500, 0)) &amp; "", "")</f>
        <v>여</v>
      </c>
      <c r="AG313" s="64" t="str">
        <f>IFERROR(INDEX(입력!$T$2:$T$500, MATCH($BO313, 입력!$Z$2:$Z$500, 0)) &amp; "", "")</f>
        <v>여</v>
      </c>
      <c r="AH313" s="64" t="str">
        <f>IFERROR(INDEX(입력!$U$2:$U$500, MATCH($BO313, 입력!$Z$2:$Z$500, 0)) &amp; "", "")</f>
        <v>3</v>
      </c>
      <c r="AI313" s="64" t="str">
        <f>IFERROR(INDEX(입력!$V$2:$V$500, MATCH($BO313, 입력!$Z$2:$Z$500, 0)) &amp; "", "")</f>
        <v>여</v>
      </c>
      <c r="AJ313" s="44" t="str">
        <f>IFERROR(INDEX(입력!$W$2:$W$500, MATCH($BO313, 입력!$Z$2:$Z$500, 0)) &amp; "", "")</f>
        <v>정상용</v>
      </c>
      <c r="AK313" s="44" t="str">
        <f>IFERROR(INDEX(입력!$X$2:$X$500, MATCH($BO313, 입력!$Z$2:$Z$500, 0)) &amp; "", "")</f>
        <v>961-2122</v>
      </c>
      <c r="AL313" s="2" t="s">
        <v>1970</v>
      </c>
      <c r="AM313" s="17" t="s">
        <v>1650</v>
      </c>
      <c r="AN313" s="101">
        <v>2025</v>
      </c>
      <c r="AO313" s="17" t="s">
        <v>3274</v>
      </c>
      <c r="AP313" s="118"/>
      <c r="AQ313" s="21"/>
      <c r="AR313" s="119"/>
      <c r="AS313" s="101" t="s">
        <v>3163</v>
      </c>
      <c r="AT313" s="109">
        <v>46034</v>
      </c>
      <c r="AU313" s="101" t="s">
        <v>3141</v>
      </c>
      <c r="AV313" s="21" t="s">
        <v>1927</v>
      </c>
      <c r="AW313" s="101"/>
      <c r="AX313" s="119" t="s">
        <v>1971</v>
      </c>
      <c r="AY313" s="83" t="s">
        <v>3137</v>
      </c>
      <c r="AZ313" s="71" t="str">
        <f>IFERROR(IF(INDEX(입력!$C$2:$C$500, MATCH($BO313, 입력!$Z$2:$Z$500, 0))="", "", TEXT(INDEX(입력!$C$2:$C$500, MATCH($BO313, 입력!$Z$2:$Z$500, 0)), "yyyy-mm-dd")), "")</f>
        <v>2026-04-06</v>
      </c>
      <c r="BA313" s="44" t="str">
        <f>IFERROR(INDEX(입력!$B$2:$B$500, MATCH($BO313, 입력!$Z$2:$Z$500, 0)) &amp; "", "")</f>
        <v>노기섭</v>
      </c>
      <c r="BB313" s="83" t="str">
        <f>IFERROR(INDEX(입력!$Y$2:$Y$500, MATCH($BO313, 입력!$Z$2:$Z$500, 0)) &amp; "", "")</f>
        <v/>
      </c>
      <c r="BC313" s="83" t="s">
        <v>3112</v>
      </c>
      <c r="BD313" s="83"/>
      <c r="BE313" s="101"/>
      <c r="BF313" s="101"/>
      <c r="BG313" s="101"/>
      <c r="BH313" s="101"/>
      <c r="BI313" s="101"/>
      <c r="BJ313" s="101"/>
      <c r="BK313" s="110"/>
      <c r="BL313" s="21" t="s">
        <v>2410</v>
      </c>
      <c r="BM313" s="22">
        <v>357</v>
      </c>
      <c r="BN313" s="23"/>
      <c r="BO313" s="47" t="s">
        <v>732</v>
      </c>
    </row>
    <row r="314" spans="1:67" x14ac:dyDescent="0.45">
      <c r="A314" s="46">
        <v>313</v>
      </c>
      <c r="B314" s="1" t="s">
        <v>1647</v>
      </c>
      <c r="C314" s="17" t="str">
        <f t="shared" si="35"/>
        <v>이행완료</v>
      </c>
      <c r="D314" s="17" t="str">
        <f t="shared" si="38"/>
        <v/>
      </c>
      <c r="E314" s="2" t="s">
        <v>1972</v>
      </c>
      <c r="F314" s="1" t="s">
        <v>733</v>
      </c>
      <c r="G314" s="1" t="s">
        <v>1973</v>
      </c>
      <c r="H314" s="18" t="s">
        <v>1133</v>
      </c>
      <c r="I314" s="19">
        <v>385</v>
      </c>
      <c r="J314" s="2"/>
      <c r="K314" s="20">
        <v>35149</v>
      </c>
      <c r="L314" s="20"/>
      <c r="M314" s="17" t="str">
        <f t="shared" si="36"/>
        <v>기축</v>
      </c>
      <c r="N314" s="21"/>
      <c r="O314" s="21"/>
      <c r="P314" s="1">
        <f t="shared" si="32"/>
        <v>8</v>
      </c>
      <c r="Q314" s="1">
        <v>8</v>
      </c>
      <c r="R314" s="64" t="str">
        <f>IFERROR(INDEX(입력!$J$2:$J$500, MATCH($BO314, 입력!$Z$2:$Z$500, 0)) &amp; "", "")</f>
        <v/>
      </c>
      <c r="S314" s="64" t="str">
        <f>IFERROR(INDEX(입력!$K$2:$K$500, MATCH($BO314, 입력!$Z$2:$Z$500, 0)) &amp; "", "")</f>
        <v/>
      </c>
      <c r="T314" s="64">
        <f>MAX(0, 표1[[#This Row],[의무_면수]]-표1[[#This Row],[면수합]])</f>
        <v>0</v>
      </c>
      <c r="U314" s="44" t="str">
        <f t="shared" si="33"/>
        <v>이행완료</v>
      </c>
      <c r="V314" s="1">
        <f t="shared" si="37"/>
        <v>8</v>
      </c>
      <c r="W314" s="1" t="str">
        <f t="shared" si="34"/>
        <v/>
      </c>
      <c r="X314" s="1">
        <v>8</v>
      </c>
      <c r="Y314" s="64" t="str">
        <f>IFERROR(INDEX(입력!$M$2:$M$500, MATCH($BO314, 입력!$Z$2:$Z$500, 0)) &amp; "", "")</f>
        <v/>
      </c>
      <c r="Z314" s="64" t="str">
        <f>IFERROR(INDEX(입력!$N$2:$N$500, MATCH($BO314, 입력!$Z$2:$Z$500, 0)) &amp; "", "")</f>
        <v/>
      </c>
      <c r="AA314" s="64">
        <f>MAX(0, 표1[[#This Row],[의무_시설]]-표1[[#This Row],[시설합]])</f>
        <v>0</v>
      </c>
      <c r="AB314" s="17" t="str">
        <f t="shared" si="39"/>
        <v>이행완료</v>
      </c>
      <c r="AC314" s="64" t="str">
        <f>IFERROR(INDEX(입력!$P$2:$P$500, MATCH($BO314, 입력!$Z$2:$Z$500, 0)) &amp; "", "")</f>
        <v/>
      </c>
      <c r="AD314" s="64" t="str">
        <f>IFERROR(INDEX(입력!$Q$2:$Q$500, MATCH($BO314, 입력!$Z$2:$Z$500, 0)) &amp; "", "")</f>
        <v/>
      </c>
      <c r="AE314" s="64" t="str">
        <f>IFERROR(INDEX(입력!$R$2:$R$500, MATCH($BO314, 입력!$Z$2:$Z$500, 0)) &amp; "", "")</f>
        <v/>
      </c>
      <c r="AF314" s="64" t="str">
        <f>IFERROR(INDEX(입력!$S$2:$S$500, MATCH($BO314, 입력!$Z$2:$Z$500, 0)) &amp; "", "")</f>
        <v/>
      </c>
      <c r="AG314" s="64" t="str">
        <f>IFERROR(INDEX(입력!$T$2:$T$500, MATCH($BO314, 입력!$Z$2:$Z$500, 0)) &amp; "", "")</f>
        <v/>
      </c>
      <c r="AH314" s="64" t="str">
        <f>IFERROR(INDEX(입력!$U$2:$U$500, MATCH($BO314, 입력!$Z$2:$Z$500, 0)) &amp; "", "")</f>
        <v/>
      </c>
      <c r="AI314" s="64" t="str">
        <f>IFERROR(INDEX(입력!$V$2:$V$500, MATCH($BO314, 입력!$Z$2:$Z$500, 0)) &amp; "", "")</f>
        <v/>
      </c>
      <c r="AJ314" s="44" t="str">
        <f>IFERROR(INDEX(입력!$W$2:$W$500, MATCH($BO314, 입력!$Z$2:$Z$500, 0)) &amp; "", "")</f>
        <v/>
      </c>
      <c r="AK314" s="44" t="str">
        <f>IFERROR(INDEX(입력!$X$2:$X$500, MATCH($BO314, 입력!$Z$2:$Z$500, 0)) &amp; "", "")</f>
        <v/>
      </c>
      <c r="AL314" s="2"/>
      <c r="AM314" s="17" t="s">
        <v>1650</v>
      </c>
      <c r="AN314" s="101">
        <v>2025</v>
      </c>
      <c r="AO314" s="17" t="s">
        <v>3275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3131</v>
      </c>
      <c r="AZ314" s="71" t="str">
        <f>IFERROR(IF(INDEX(입력!$C$2:$C$500, MATCH($BO314, 입력!$Z$2:$Z$500, 0))="", "", TEXT(INDEX(입력!$C$2:$C$500, MATCH($BO314, 입력!$Z$2:$Z$500, 0)), "yyyy-mm-dd")), "")</f>
        <v/>
      </c>
      <c r="BA314" s="44" t="str">
        <f>IFERROR(INDEX(입력!$B$2:$B$500, MATCH($BO314, 입력!$Z$2:$Z$500, 0)) &amp; "", "")</f>
        <v/>
      </c>
      <c r="BB314" s="83" t="str">
        <f>IFERROR(INDEX(입력!$Y$2:$Y$500, MATCH($BO314, 입력!$Z$2:$Z$500, 0)) &amp; "", "")</f>
        <v/>
      </c>
      <c r="BC314" s="83" t="s">
        <v>3112</v>
      </c>
      <c r="BD314" s="83"/>
      <c r="BE314" s="101"/>
      <c r="BF314" s="101"/>
      <c r="BG314" s="101"/>
      <c r="BH314" s="101"/>
      <c r="BI314" s="101"/>
      <c r="BJ314" s="101"/>
      <c r="BK314" s="110"/>
      <c r="BL314" s="21"/>
      <c r="BM314" s="22">
        <v>369</v>
      </c>
      <c r="BN314" s="23"/>
      <c r="BO314" s="47" t="s">
        <v>734</v>
      </c>
    </row>
    <row r="315" spans="1:67" x14ac:dyDescent="0.45">
      <c r="A315" s="19">
        <v>314</v>
      </c>
      <c r="B315" s="1" t="s">
        <v>1647</v>
      </c>
      <c r="C315" s="17" t="str">
        <f t="shared" si="35"/>
        <v>이행완료</v>
      </c>
      <c r="D315" s="17" t="str">
        <f t="shared" si="38"/>
        <v/>
      </c>
      <c r="E315" s="2" t="s">
        <v>1974</v>
      </c>
      <c r="F315" s="1" t="s">
        <v>735</v>
      </c>
      <c r="G315" s="1" t="s">
        <v>1975</v>
      </c>
      <c r="H315" s="18" t="s">
        <v>1566</v>
      </c>
      <c r="I315" s="19">
        <v>353</v>
      </c>
      <c r="J315" s="2"/>
      <c r="K315" s="20" t="s">
        <v>2560</v>
      </c>
      <c r="L315" s="20"/>
      <c r="M315" s="17" t="str">
        <f t="shared" si="36"/>
        <v>기축</v>
      </c>
      <c r="N315" s="21"/>
      <c r="O315" s="21"/>
      <c r="P315" s="1">
        <f t="shared" si="32"/>
        <v>7</v>
      </c>
      <c r="Q315" s="1">
        <v>10</v>
      </c>
      <c r="R315" s="64" t="str">
        <f>IFERROR(INDEX(입력!$J$2:$J$500, MATCH($BO315, 입력!$Z$2:$Z$500, 0)) &amp; "", "")</f>
        <v/>
      </c>
      <c r="S315" s="64" t="str">
        <f>IFERROR(INDEX(입력!$K$2:$K$500, MATCH($BO315, 입력!$Z$2:$Z$500, 0)) &amp; "", "")</f>
        <v/>
      </c>
      <c r="T315" s="64">
        <f>MAX(0, 표1[[#This Row],[의무_면수]]-표1[[#This Row],[면수합]])</f>
        <v>0</v>
      </c>
      <c r="U315" s="44" t="str">
        <f t="shared" si="33"/>
        <v>이행완료</v>
      </c>
      <c r="V315" s="1">
        <f t="shared" si="37"/>
        <v>7</v>
      </c>
      <c r="W315" s="1" t="str">
        <f t="shared" si="34"/>
        <v/>
      </c>
      <c r="X315" s="1">
        <v>10</v>
      </c>
      <c r="Y315" s="64" t="str">
        <f>IFERROR(INDEX(입력!$M$2:$M$500, MATCH($BO315, 입력!$Z$2:$Z$500, 0)) &amp; "", "")</f>
        <v/>
      </c>
      <c r="Z315" s="64" t="str">
        <f>IFERROR(INDEX(입력!$N$2:$N$500, MATCH($BO315, 입력!$Z$2:$Z$500, 0)) &amp; "", "")</f>
        <v/>
      </c>
      <c r="AA315" s="64">
        <f>MAX(0, 표1[[#This Row],[의무_시설]]-표1[[#This Row],[시설합]])</f>
        <v>0</v>
      </c>
      <c r="AB315" s="17" t="str">
        <f t="shared" si="39"/>
        <v>이행완료</v>
      </c>
      <c r="AC315" s="64" t="str">
        <f>IFERROR(INDEX(입력!$P$2:$P$500, MATCH($BO315, 입력!$Z$2:$Z$500, 0)) &amp; "", "")</f>
        <v/>
      </c>
      <c r="AD315" s="64" t="str">
        <f>IFERROR(INDEX(입력!$Q$2:$Q$500, MATCH($BO315, 입력!$Z$2:$Z$500, 0)) &amp; "", "")</f>
        <v/>
      </c>
      <c r="AE315" s="64" t="str">
        <f>IFERROR(INDEX(입력!$R$2:$R$500, MATCH($BO315, 입력!$Z$2:$Z$500, 0)) &amp; "", "")</f>
        <v/>
      </c>
      <c r="AF315" s="64" t="str">
        <f>IFERROR(INDEX(입력!$S$2:$S$500, MATCH($BO315, 입력!$Z$2:$Z$500, 0)) &amp; "", "")</f>
        <v/>
      </c>
      <c r="AG315" s="64" t="str">
        <f>IFERROR(INDEX(입력!$T$2:$T$500, MATCH($BO315, 입력!$Z$2:$Z$500, 0)) &amp; "", "")</f>
        <v/>
      </c>
      <c r="AH315" s="64" t="str">
        <f>IFERROR(INDEX(입력!$U$2:$U$500, MATCH($BO315, 입력!$Z$2:$Z$500, 0)) &amp; "", "")</f>
        <v/>
      </c>
      <c r="AI315" s="64" t="str">
        <f>IFERROR(INDEX(입력!$V$2:$V$500, MATCH($BO315, 입력!$Z$2:$Z$500, 0)) &amp; "", "")</f>
        <v/>
      </c>
      <c r="AJ315" s="44" t="str">
        <f>IFERROR(INDEX(입력!$W$2:$W$500, MATCH($BO315, 입력!$Z$2:$Z$500, 0)) &amp; "", "")</f>
        <v/>
      </c>
      <c r="AK315" s="44" t="str">
        <f>IFERROR(INDEX(입력!$X$2:$X$500, MATCH($BO315, 입력!$Z$2:$Z$500, 0)) &amp; "", "")</f>
        <v/>
      </c>
      <c r="AL315" s="2"/>
      <c r="AM315" s="17" t="s">
        <v>1650</v>
      </c>
      <c r="AN315" s="101">
        <v>2025</v>
      </c>
      <c r="AO315" s="17" t="s">
        <v>3274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3132</v>
      </c>
      <c r="AZ315" s="71" t="str">
        <f>IFERROR(IF(INDEX(입력!$C$2:$C$500, MATCH($BO315, 입력!$Z$2:$Z$500, 0))="", "", TEXT(INDEX(입력!$C$2:$C$500, MATCH($BO315, 입력!$Z$2:$Z$500, 0)), "yyyy-mm-dd")), "")</f>
        <v/>
      </c>
      <c r="BA315" s="44" t="str">
        <f>IFERROR(INDEX(입력!$B$2:$B$500, MATCH($BO315, 입력!$Z$2:$Z$500, 0)) &amp; "", "")</f>
        <v/>
      </c>
      <c r="BB315" s="83" t="str">
        <f>IFERROR(INDEX(입력!$Y$2:$Y$500, MATCH($BO315, 입력!$Z$2:$Z$500, 0)) &amp; "", "")</f>
        <v/>
      </c>
      <c r="BC315" s="83" t="s">
        <v>3112</v>
      </c>
      <c r="BD315" s="83"/>
      <c r="BE315" s="101"/>
      <c r="BF315" s="101"/>
      <c r="BG315" s="101"/>
      <c r="BH315" s="101"/>
      <c r="BI315" s="101"/>
      <c r="BJ315" s="101"/>
      <c r="BK315" s="110"/>
      <c r="BL315" s="21"/>
      <c r="BM315" s="22">
        <v>353</v>
      </c>
      <c r="BN315" s="23"/>
      <c r="BO315" s="47" t="s">
        <v>736</v>
      </c>
    </row>
    <row r="316" spans="1:67" x14ac:dyDescent="0.45">
      <c r="A316" s="46">
        <v>315</v>
      </c>
      <c r="B316" s="1" t="s">
        <v>1647</v>
      </c>
      <c r="C316" s="17" t="str">
        <f t="shared" si="35"/>
        <v>이행완료</v>
      </c>
      <c r="D316" s="17" t="str">
        <f t="shared" si="38"/>
        <v/>
      </c>
      <c r="E316" s="2" t="s">
        <v>1976</v>
      </c>
      <c r="F316" s="1" t="s">
        <v>737</v>
      </c>
      <c r="G316" s="1" t="s">
        <v>1977</v>
      </c>
      <c r="H316" s="18" t="s">
        <v>1566</v>
      </c>
      <c r="I316" s="19">
        <v>421</v>
      </c>
      <c r="J316" s="2"/>
      <c r="K316" s="20">
        <v>34873</v>
      </c>
      <c r="L316" s="20"/>
      <c r="M316" s="17" t="str">
        <f t="shared" si="36"/>
        <v>기축</v>
      </c>
      <c r="N316" s="21"/>
      <c r="O316" s="21"/>
      <c r="P316" s="1">
        <f t="shared" si="32"/>
        <v>8</v>
      </c>
      <c r="Q316" s="1">
        <v>9</v>
      </c>
      <c r="R316" s="64" t="str">
        <f>IFERROR(INDEX(입력!$J$2:$J$500, MATCH($BO316, 입력!$Z$2:$Z$500, 0)) &amp; "", "")</f>
        <v/>
      </c>
      <c r="S316" s="64" t="str">
        <f>IFERROR(INDEX(입력!$K$2:$K$500, MATCH($BO316, 입력!$Z$2:$Z$500, 0)) &amp; "", "")</f>
        <v/>
      </c>
      <c r="T316" s="64">
        <f>MAX(0, 표1[[#This Row],[의무_면수]]-표1[[#This Row],[면수합]])</f>
        <v>0</v>
      </c>
      <c r="U316" s="44" t="str">
        <f t="shared" si="33"/>
        <v>이행완료</v>
      </c>
      <c r="V316" s="1">
        <f t="shared" si="37"/>
        <v>8</v>
      </c>
      <c r="W316" s="1" t="str">
        <f t="shared" si="34"/>
        <v/>
      </c>
      <c r="X316" s="1">
        <v>9</v>
      </c>
      <c r="Y316" s="64" t="str">
        <f>IFERROR(INDEX(입력!$M$2:$M$500, MATCH($BO316, 입력!$Z$2:$Z$500, 0)) &amp; "", "")</f>
        <v/>
      </c>
      <c r="Z316" s="64" t="str">
        <f>IFERROR(INDEX(입력!$N$2:$N$500, MATCH($BO316, 입력!$Z$2:$Z$500, 0)) &amp; "", "")</f>
        <v/>
      </c>
      <c r="AA316" s="64">
        <f>MAX(0, 표1[[#This Row],[의무_시설]]-표1[[#This Row],[시설합]])</f>
        <v>0</v>
      </c>
      <c r="AB316" s="17" t="str">
        <f t="shared" si="39"/>
        <v>이행완료</v>
      </c>
      <c r="AC316" s="64" t="str">
        <f>IFERROR(INDEX(입력!$P$2:$P$500, MATCH($BO316, 입력!$Z$2:$Z$500, 0)) &amp; "", "")</f>
        <v/>
      </c>
      <c r="AD316" s="64" t="str">
        <f>IFERROR(INDEX(입력!$Q$2:$Q$500, MATCH($BO316, 입력!$Z$2:$Z$500, 0)) &amp; "", "")</f>
        <v/>
      </c>
      <c r="AE316" s="64" t="str">
        <f>IFERROR(INDEX(입력!$R$2:$R$500, MATCH($BO316, 입력!$Z$2:$Z$500, 0)) &amp; "", "")</f>
        <v/>
      </c>
      <c r="AF316" s="64" t="str">
        <f>IFERROR(INDEX(입력!$S$2:$S$500, MATCH($BO316, 입력!$Z$2:$Z$500, 0)) &amp; "", "")</f>
        <v/>
      </c>
      <c r="AG316" s="64" t="str">
        <f>IFERROR(INDEX(입력!$T$2:$T$500, MATCH($BO316, 입력!$Z$2:$Z$500, 0)) &amp; "", "")</f>
        <v/>
      </c>
      <c r="AH316" s="64" t="str">
        <f>IFERROR(INDEX(입력!$U$2:$U$500, MATCH($BO316, 입력!$Z$2:$Z$500, 0)) &amp; "", "")</f>
        <v/>
      </c>
      <c r="AI316" s="64" t="str">
        <f>IFERROR(INDEX(입력!$V$2:$V$500, MATCH($BO316, 입력!$Z$2:$Z$500, 0)) &amp; "", "")</f>
        <v/>
      </c>
      <c r="AJ316" s="44" t="str">
        <f>IFERROR(INDEX(입력!$W$2:$W$500, MATCH($BO316, 입력!$Z$2:$Z$500, 0)) &amp; "", "")</f>
        <v/>
      </c>
      <c r="AK316" s="44" t="str">
        <f>IFERROR(INDEX(입력!$X$2:$X$500, MATCH($BO316, 입력!$Z$2:$Z$500, 0)) &amp; "", "")</f>
        <v/>
      </c>
      <c r="AL316" s="2"/>
      <c r="AM316" s="17" t="s">
        <v>1650</v>
      </c>
      <c r="AN316" s="101">
        <v>2025</v>
      </c>
      <c r="AO316" s="17" t="s">
        <v>3274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3137</v>
      </c>
      <c r="AZ316" s="71" t="str">
        <f>IFERROR(IF(INDEX(입력!$C$2:$C$500, MATCH($BO316, 입력!$Z$2:$Z$500, 0))="", "", TEXT(INDEX(입력!$C$2:$C$500, MATCH($BO316, 입력!$Z$2:$Z$500, 0)), "yyyy-mm-dd")), "")</f>
        <v/>
      </c>
      <c r="BA316" s="44" t="str">
        <f>IFERROR(INDEX(입력!$B$2:$B$500, MATCH($BO316, 입력!$Z$2:$Z$500, 0)) &amp; "", "")</f>
        <v/>
      </c>
      <c r="BB316" s="83" t="str">
        <f>IFERROR(INDEX(입력!$Y$2:$Y$500, MATCH($BO316, 입력!$Z$2:$Z$500, 0)) &amp; "", "")</f>
        <v/>
      </c>
      <c r="BC316" s="83" t="s">
        <v>3112</v>
      </c>
      <c r="BD316" s="83"/>
      <c r="BE316" s="101"/>
      <c r="BF316" s="101"/>
      <c r="BG316" s="101"/>
      <c r="BH316" s="101"/>
      <c r="BI316" s="101"/>
      <c r="BJ316" s="101"/>
      <c r="BK316" s="110"/>
      <c r="BL316" s="21"/>
      <c r="BM316" s="22">
        <v>414</v>
      </c>
      <c r="BN316" s="23"/>
      <c r="BO316" s="47" t="s">
        <v>738</v>
      </c>
    </row>
    <row r="317" spans="1:67" x14ac:dyDescent="0.45">
      <c r="A317" s="19">
        <v>316</v>
      </c>
      <c r="B317" s="1" t="s">
        <v>1647</v>
      </c>
      <c r="C317" s="17" t="str">
        <f t="shared" si="35"/>
        <v>이행완료</v>
      </c>
      <c r="D317" s="17" t="str">
        <f t="shared" si="38"/>
        <v/>
      </c>
      <c r="E317" s="2" t="s">
        <v>1978</v>
      </c>
      <c r="F317" s="1" t="s">
        <v>739</v>
      </c>
      <c r="G317" s="1" t="s">
        <v>1979</v>
      </c>
      <c r="H317" s="18" t="s">
        <v>1097</v>
      </c>
      <c r="I317" s="19">
        <v>320</v>
      </c>
      <c r="J317" s="2"/>
      <c r="K317" s="20" t="s">
        <v>2494</v>
      </c>
      <c r="L317" s="20"/>
      <c r="M317" s="17" t="str">
        <f t="shared" si="36"/>
        <v>기축</v>
      </c>
      <c r="N317" s="21"/>
      <c r="O317" s="21"/>
      <c r="P317" s="1">
        <f t="shared" si="32"/>
        <v>6</v>
      </c>
      <c r="Q317" s="1">
        <v>9</v>
      </c>
      <c r="R317" s="64" t="str">
        <f>IFERROR(INDEX(입력!$J$2:$J$500, MATCH($BO317, 입력!$Z$2:$Z$500, 0)) &amp; "", "")</f>
        <v/>
      </c>
      <c r="S317" s="64" t="str">
        <f>IFERROR(INDEX(입력!$K$2:$K$500, MATCH($BO317, 입력!$Z$2:$Z$500, 0)) &amp; "", "")</f>
        <v/>
      </c>
      <c r="T317" s="64">
        <f>MAX(0, 표1[[#This Row],[의무_면수]]-표1[[#This Row],[면수합]])</f>
        <v>0</v>
      </c>
      <c r="U317" s="44" t="str">
        <f t="shared" si="33"/>
        <v>이행완료</v>
      </c>
      <c r="V317" s="1">
        <f t="shared" si="37"/>
        <v>6</v>
      </c>
      <c r="W317" s="1" t="str">
        <f t="shared" si="34"/>
        <v/>
      </c>
      <c r="X317" s="1">
        <v>9</v>
      </c>
      <c r="Y317" s="64" t="str">
        <f>IFERROR(INDEX(입력!$M$2:$M$500, MATCH($BO317, 입력!$Z$2:$Z$500, 0)) &amp; "", "")</f>
        <v/>
      </c>
      <c r="Z317" s="64" t="str">
        <f>IFERROR(INDEX(입력!$N$2:$N$500, MATCH($BO317, 입력!$Z$2:$Z$500, 0)) &amp; "", "")</f>
        <v/>
      </c>
      <c r="AA317" s="64">
        <f>MAX(0, 표1[[#This Row],[의무_시설]]-표1[[#This Row],[시설합]])</f>
        <v>0</v>
      </c>
      <c r="AB317" s="17" t="str">
        <f t="shared" si="39"/>
        <v>이행완료</v>
      </c>
      <c r="AC317" s="64" t="str">
        <f>IFERROR(INDEX(입력!$P$2:$P$500, MATCH($BO317, 입력!$Z$2:$Z$500, 0)) &amp; "", "")</f>
        <v/>
      </c>
      <c r="AD317" s="64" t="str">
        <f>IFERROR(INDEX(입력!$Q$2:$Q$500, MATCH($BO317, 입력!$Z$2:$Z$500, 0)) &amp; "", "")</f>
        <v/>
      </c>
      <c r="AE317" s="64" t="str">
        <f>IFERROR(INDEX(입력!$R$2:$R$500, MATCH($BO317, 입력!$Z$2:$Z$500, 0)) &amp; "", "")</f>
        <v/>
      </c>
      <c r="AF317" s="64" t="str">
        <f>IFERROR(INDEX(입력!$S$2:$S$500, MATCH($BO317, 입력!$Z$2:$Z$500, 0)) &amp; "", "")</f>
        <v/>
      </c>
      <c r="AG317" s="64" t="str">
        <f>IFERROR(INDEX(입력!$T$2:$T$500, MATCH($BO317, 입력!$Z$2:$Z$500, 0)) &amp; "", "")</f>
        <v/>
      </c>
      <c r="AH317" s="64" t="str">
        <f>IFERROR(INDEX(입력!$U$2:$U$500, MATCH($BO317, 입력!$Z$2:$Z$500, 0)) &amp; "", "")</f>
        <v/>
      </c>
      <c r="AI317" s="64" t="str">
        <f>IFERROR(INDEX(입력!$V$2:$V$500, MATCH($BO317, 입력!$Z$2:$Z$500, 0)) &amp; "", "")</f>
        <v/>
      </c>
      <c r="AJ317" s="44" t="str">
        <f>IFERROR(INDEX(입력!$W$2:$W$500, MATCH($BO317, 입력!$Z$2:$Z$500, 0)) &amp; "", "")</f>
        <v/>
      </c>
      <c r="AK317" s="44" t="str">
        <f>IFERROR(INDEX(입력!$X$2:$X$500, MATCH($BO317, 입력!$Z$2:$Z$500, 0)) &amp; "", "")</f>
        <v/>
      </c>
      <c r="AL317" s="2"/>
      <c r="AM317" s="17" t="s">
        <v>1650</v>
      </c>
      <c r="AN317" s="101">
        <v>2025</v>
      </c>
      <c r="AO317" s="17" t="s">
        <v>3277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3137</v>
      </c>
      <c r="AZ317" s="71" t="str">
        <f>IFERROR(IF(INDEX(입력!$C$2:$C$500, MATCH($BO317, 입력!$Z$2:$Z$500, 0))="", "", TEXT(INDEX(입력!$C$2:$C$500, MATCH($BO317, 입력!$Z$2:$Z$500, 0)), "yyyy-mm-dd")), "")</f>
        <v/>
      </c>
      <c r="BA317" s="44" t="str">
        <f>IFERROR(INDEX(입력!$B$2:$B$500, MATCH($BO317, 입력!$Z$2:$Z$500, 0)) &amp; "", "")</f>
        <v/>
      </c>
      <c r="BB317" s="83" t="str">
        <f>IFERROR(INDEX(입력!$Y$2:$Y$500, MATCH($BO317, 입력!$Z$2:$Z$500, 0)) &amp; "", "")</f>
        <v/>
      </c>
      <c r="BC317" s="83" t="s">
        <v>3112</v>
      </c>
      <c r="BD317" s="83"/>
      <c r="BE317" s="101"/>
      <c r="BF317" s="101"/>
      <c r="BG317" s="101"/>
      <c r="BH317" s="101"/>
      <c r="BI317" s="101"/>
      <c r="BJ317" s="101"/>
      <c r="BK317" s="110"/>
      <c r="BL317" s="21"/>
      <c r="BM317" s="22">
        <v>324</v>
      </c>
      <c r="BN317" s="23"/>
      <c r="BO317" s="47" t="s">
        <v>740</v>
      </c>
    </row>
    <row r="318" spans="1:67" x14ac:dyDescent="0.45">
      <c r="A318" s="46">
        <v>317</v>
      </c>
      <c r="B318" s="1" t="s">
        <v>1647</v>
      </c>
      <c r="C318" s="17" t="str">
        <f t="shared" si="35"/>
        <v>이행완료</v>
      </c>
      <c r="D318" s="17" t="str">
        <f t="shared" si="38"/>
        <v/>
      </c>
      <c r="E318" s="2" t="s">
        <v>1980</v>
      </c>
      <c r="F318" s="1" t="s">
        <v>741</v>
      </c>
      <c r="G318" s="1" t="s">
        <v>1981</v>
      </c>
      <c r="H318" s="18" t="s">
        <v>1172</v>
      </c>
      <c r="I318" s="19">
        <v>324</v>
      </c>
      <c r="J318" s="2"/>
      <c r="K318" s="20">
        <v>35189</v>
      </c>
      <c r="L318" s="20"/>
      <c r="M318" s="17" t="str">
        <f t="shared" si="36"/>
        <v>기축</v>
      </c>
      <c r="N318" s="21"/>
      <c r="O318" s="21"/>
      <c r="P318" s="1">
        <f t="shared" si="32"/>
        <v>6</v>
      </c>
      <c r="Q318" s="1">
        <v>8</v>
      </c>
      <c r="R318" s="64" t="str">
        <f>IFERROR(INDEX(입력!$J$2:$J$500, MATCH($BO318, 입력!$Z$2:$Z$500, 0)) &amp; "", "")</f>
        <v/>
      </c>
      <c r="S318" s="64" t="str">
        <f>IFERROR(INDEX(입력!$K$2:$K$500, MATCH($BO318, 입력!$Z$2:$Z$500, 0)) &amp; "", "")</f>
        <v/>
      </c>
      <c r="T318" s="64">
        <f>MAX(0, 표1[[#This Row],[의무_면수]]-표1[[#This Row],[면수합]])</f>
        <v>0</v>
      </c>
      <c r="U318" s="44" t="str">
        <f t="shared" si="33"/>
        <v>이행완료</v>
      </c>
      <c r="V318" s="1">
        <f t="shared" si="37"/>
        <v>6</v>
      </c>
      <c r="W318" s="1" t="str">
        <f t="shared" si="34"/>
        <v/>
      </c>
      <c r="X318" s="1">
        <v>8</v>
      </c>
      <c r="Y318" s="64" t="str">
        <f>IFERROR(INDEX(입력!$M$2:$M$500, MATCH($BO318, 입력!$Z$2:$Z$500, 0)) &amp; "", "")</f>
        <v/>
      </c>
      <c r="Z318" s="64" t="str">
        <f>IFERROR(INDEX(입력!$N$2:$N$500, MATCH($BO318, 입력!$Z$2:$Z$500, 0)) &amp; "", "")</f>
        <v/>
      </c>
      <c r="AA318" s="64">
        <f>MAX(0, 표1[[#This Row],[의무_시설]]-표1[[#This Row],[시설합]])</f>
        <v>0</v>
      </c>
      <c r="AB318" s="17" t="str">
        <f t="shared" si="39"/>
        <v>이행완료</v>
      </c>
      <c r="AC318" s="64" t="str">
        <f>IFERROR(INDEX(입력!$P$2:$P$500, MATCH($BO318, 입력!$Z$2:$Z$500, 0)) &amp; "", "")</f>
        <v/>
      </c>
      <c r="AD318" s="64" t="str">
        <f>IFERROR(INDEX(입력!$Q$2:$Q$500, MATCH($BO318, 입력!$Z$2:$Z$500, 0)) &amp; "", "")</f>
        <v/>
      </c>
      <c r="AE318" s="64" t="str">
        <f>IFERROR(INDEX(입력!$R$2:$R$500, MATCH($BO318, 입력!$Z$2:$Z$500, 0)) &amp; "", "")</f>
        <v/>
      </c>
      <c r="AF318" s="64" t="str">
        <f>IFERROR(INDEX(입력!$S$2:$S$500, MATCH($BO318, 입력!$Z$2:$Z$500, 0)) &amp; "", "")</f>
        <v/>
      </c>
      <c r="AG318" s="64" t="str">
        <f>IFERROR(INDEX(입력!$T$2:$T$500, MATCH($BO318, 입력!$Z$2:$Z$500, 0)) &amp; "", "")</f>
        <v/>
      </c>
      <c r="AH318" s="64" t="str">
        <f>IFERROR(INDEX(입력!$U$2:$U$500, MATCH($BO318, 입력!$Z$2:$Z$500, 0)) &amp; "", "")</f>
        <v/>
      </c>
      <c r="AI318" s="64" t="str">
        <f>IFERROR(INDEX(입력!$V$2:$V$500, MATCH($BO318, 입력!$Z$2:$Z$500, 0)) &amp; "", "")</f>
        <v/>
      </c>
      <c r="AJ318" s="44" t="str">
        <f>IFERROR(INDEX(입력!$W$2:$W$500, MATCH($BO318, 입력!$Z$2:$Z$500, 0)) &amp; "", "")</f>
        <v/>
      </c>
      <c r="AK318" s="44" t="str">
        <f>IFERROR(INDEX(입력!$X$2:$X$500, MATCH($BO318, 입력!$Z$2:$Z$500, 0)) &amp; "", "")</f>
        <v/>
      </c>
      <c r="AL318" s="2"/>
      <c r="AM318" s="17" t="s">
        <v>1650</v>
      </c>
      <c r="AN318" s="101">
        <v>2025</v>
      </c>
      <c r="AO318" s="17" t="s">
        <v>3274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3137</v>
      </c>
      <c r="AZ318" s="71" t="str">
        <f>IFERROR(IF(INDEX(입력!$C$2:$C$500, MATCH($BO318, 입력!$Z$2:$Z$500, 0))="", "", TEXT(INDEX(입력!$C$2:$C$500, MATCH($BO318, 입력!$Z$2:$Z$500, 0)), "yyyy-mm-dd")), "")</f>
        <v/>
      </c>
      <c r="BA318" s="44" t="str">
        <f>IFERROR(INDEX(입력!$B$2:$B$500, MATCH($BO318, 입력!$Z$2:$Z$500, 0)) &amp; "", "")</f>
        <v/>
      </c>
      <c r="BB318" s="83" t="str">
        <f>IFERROR(INDEX(입력!$Y$2:$Y$500, MATCH($BO318, 입력!$Z$2:$Z$500, 0)) &amp; "", "")</f>
        <v/>
      </c>
      <c r="BC318" s="83" t="s">
        <v>3112</v>
      </c>
      <c r="BD318" s="83"/>
      <c r="BE318" s="101"/>
      <c r="BF318" s="101"/>
      <c r="BG318" s="101"/>
      <c r="BH318" s="101"/>
      <c r="BI318" s="101"/>
      <c r="BJ318" s="101"/>
      <c r="BK318" s="110"/>
      <c r="BL318" s="21"/>
      <c r="BM318" s="22">
        <v>337</v>
      </c>
      <c r="BN318" s="23"/>
      <c r="BO318" s="47" t="s">
        <v>742</v>
      </c>
    </row>
    <row r="319" spans="1:67" x14ac:dyDescent="0.45">
      <c r="A319" s="19">
        <v>318</v>
      </c>
      <c r="B319" s="1" t="s">
        <v>1647</v>
      </c>
      <c r="C319" s="17" t="str">
        <f t="shared" si="35"/>
        <v>이행완료</v>
      </c>
      <c r="D319" s="17" t="str">
        <f t="shared" si="38"/>
        <v/>
      </c>
      <c r="E319" s="2" t="s">
        <v>1982</v>
      </c>
      <c r="F319" s="1" t="s">
        <v>743</v>
      </c>
      <c r="G319" s="1" t="s">
        <v>1983</v>
      </c>
      <c r="H319" s="18" t="s">
        <v>1133</v>
      </c>
      <c r="I319" s="19">
        <v>235</v>
      </c>
      <c r="J319" s="2"/>
      <c r="K319" s="20" t="s">
        <v>2492</v>
      </c>
      <c r="L319" s="20"/>
      <c r="M319" s="17" t="str">
        <f t="shared" si="36"/>
        <v>기축</v>
      </c>
      <c r="N319" s="21"/>
      <c r="O319" s="21"/>
      <c r="P319" s="1">
        <f t="shared" si="32"/>
        <v>5</v>
      </c>
      <c r="Q319" s="1">
        <v>10</v>
      </c>
      <c r="R319" s="64" t="str">
        <f>IFERROR(INDEX(입력!$J$2:$J$500, MATCH($BO319, 입력!$Z$2:$Z$500, 0)) &amp; "", "")</f>
        <v/>
      </c>
      <c r="S319" s="64" t="str">
        <f>IFERROR(INDEX(입력!$K$2:$K$500, MATCH($BO319, 입력!$Z$2:$Z$500, 0)) &amp; "", "")</f>
        <v/>
      </c>
      <c r="T319" s="64">
        <f>MAX(0, 표1[[#This Row],[의무_면수]]-표1[[#This Row],[면수합]])</f>
        <v>0</v>
      </c>
      <c r="U319" s="44" t="str">
        <f t="shared" si="33"/>
        <v>이행완료</v>
      </c>
      <c r="V319" s="1">
        <f t="shared" si="37"/>
        <v>5</v>
      </c>
      <c r="W319" s="1" t="str">
        <f t="shared" si="34"/>
        <v/>
      </c>
      <c r="X319" s="1">
        <v>10</v>
      </c>
      <c r="Y319" s="64" t="str">
        <f>IFERROR(INDEX(입력!$M$2:$M$500, MATCH($BO319, 입력!$Z$2:$Z$500, 0)) &amp; "", "")</f>
        <v/>
      </c>
      <c r="Z319" s="64" t="str">
        <f>IFERROR(INDEX(입력!$N$2:$N$500, MATCH($BO319, 입력!$Z$2:$Z$500, 0)) &amp; "", "")</f>
        <v/>
      </c>
      <c r="AA319" s="64">
        <f>MAX(0, 표1[[#This Row],[의무_시설]]-표1[[#This Row],[시설합]])</f>
        <v>0</v>
      </c>
      <c r="AB319" s="17" t="str">
        <f t="shared" si="39"/>
        <v>이행완료</v>
      </c>
      <c r="AC319" s="64" t="str">
        <f>IFERROR(INDEX(입력!$P$2:$P$500, MATCH($BO319, 입력!$Z$2:$Z$500, 0)) &amp; "", "")</f>
        <v/>
      </c>
      <c r="AD319" s="64" t="str">
        <f>IFERROR(INDEX(입력!$Q$2:$Q$500, MATCH($BO319, 입력!$Z$2:$Z$500, 0)) &amp; "", "")</f>
        <v/>
      </c>
      <c r="AE319" s="64" t="str">
        <f>IFERROR(INDEX(입력!$R$2:$R$500, MATCH($BO319, 입력!$Z$2:$Z$500, 0)) &amp; "", "")</f>
        <v/>
      </c>
      <c r="AF319" s="64" t="str">
        <f>IFERROR(INDEX(입력!$S$2:$S$500, MATCH($BO319, 입력!$Z$2:$Z$500, 0)) &amp; "", "")</f>
        <v/>
      </c>
      <c r="AG319" s="64" t="str">
        <f>IFERROR(INDEX(입력!$T$2:$T$500, MATCH($BO319, 입력!$Z$2:$Z$500, 0)) &amp; "", "")</f>
        <v/>
      </c>
      <c r="AH319" s="64" t="str">
        <f>IFERROR(INDEX(입력!$U$2:$U$500, MATCH($BO319, 입력!$Z$2:$Z$500, 0)) &amp; "", "")</f>
        <v/>
      </c>
      <c r="AI319" s="64" t="str">
        <f>IFERROR(INDEX(입력!$V$2:$V$500, MATCH($BO319, 입력!$Z$2:$Z$500, 0)) &amp; "", "")</f>
        <v/>
      </c>
      <c r="AJ319" s="44" t="str">
        <f>IFERROR(INDEX(입력!$W$2:$W$500, MATCH($BO319, 입력!$Z$2:$Z$500, 0)) &amp; "", "")</f>
        <v/>
      </c>
      <c r="AK319" s="44" t="str">
        <f>IFERROR(INDEX(입력!$X$2:$X$500, MATCH($BO319, 입력!$Z$2:$Z$500, 0)) &amp; "", "")</f>
        <v/>
      </c>
      <c r="AL319" s="2"/>
      <c r="AM319" s="17" t="s">
        <v>1650</v>
      </c>
      <c r="AN319" s="101">
        <v>2025</v>
      </c>
      <c r="AO319" s="17" t="s">
        <v>3275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3137</v>
      </c>
      <c r="AZ319" s="71" t="str">
        <f>IFERROR(IF(INDEX(입력!$C$2:$C$500, MATCH($BO319, 입력!$Z$2:$Z$500, 0))="", "", TEXT(INDEX(입력!$C$2:$C$500, MATCH($BO319, 입력!$Z$2:$Z$500, 0)), "yyyy-mm-dd")), "")</f>
        <v/>
      </c>
      <c r="BA319" s="44" t="str">
        <f>IFERROR(INDEX(입력!$B$2:$B$500, MATCH($BO319, 입력!$Z$2:$Z$500, 0)) &amp; "", "")</f>
        <v/>
      </c>
      <c r="BB319" s="83" t="str">
        <f>IFERROR(INDEX(입력!$Y$2:$Y$500, MATCH($BO319, 입력!$Z$2:$Z$500, 0)) &amp; "", "")</f>
        <v/>
      </c>
      <c r="BC319" s="83" t="s">
        <v>3112</v>
      </c>
      <c r="BD319" s="83"/>
      <c r="BE319" s="101"/>
      <c r="BF319" s="101"/>
      <c r="BG319" s="101"/>
      <c r="BH319" s="101"/>
      <c r="BI319" s="101"/>
      <c r="BJ319" s="101"/>
      <c r="BK319" s="110"/>
      <c r="BL319" s="21"/>
      <c r="BM319" s="22">
        <v>235</v>
      </c>
      <c r="BN319" s="23"/>
      <c r="BO319" s="47" t="s">
        <v>744</v>
      </c>
    </row>
    <row r="320" spans="1:67" x14ac:dyDescent="0.45">
      <c r="A320" s="46">
        <v>319</v>
      </c>
      <c r="B320" s="1" t="s">
        <v>1647</v>
      </c>
      <c r="C320" s="17" t="str">
        <f t="shared" si="35"/>
        <v>이행완료</v>
      </c>
      <c r="D320" s="17" t="str">
        <f t="shared" si="38"/>
        <v/>
      </c>
      <c r="E320" s="2" t="s">
        <v>1984</v>
      </c>
      <c r="F320" s="1" t="s">
        <v>745</v>
      </c>
      <c r="G320" s="1" t="s">
        <v>1985</v>
      </c>
      <c r="H320" s="18" t="s">
        <v>1172</v>
      </c>
      <c r="I320" s="19">
        <v>248</v>
      </c>
      <c r="J320" s="2"/>
      <c r="K320" s="20" t="s">
        <v>2495</v>
      </c>
      <c r="L320" s="20"/>
      <c r="M320" s="17" t="str">
        <f t="shared" si="36"/>
        <v>기축</v>
      </c>
      <c r="N320" s="21"/>
      <c r="O320" s="21"/>
      <c r="P320" s="1">
        <f t="shared" ref="P320:P383" si="40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MATCH($BO320, 입력!$Z$2:$Z$500, 0)) &amp; "", "")</f>
        <v/>
      </c>
      <c r="S320" s="64" t="str">
        <f>IFERROR(INDEX(입력!$K$2:$K$500, MATCH($BO320,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41">IF(OR(P320="", Q320="", P320=0), "미이행", IF(Q320 &gt;= P320, "이행완료", "미이행"))</f>
        <v>이행완료</v>
      </c>
      <c r="V320" s="1">
        <f t="shared" si="37"/>
        <v>5</v>
      </c>
      <c r="W320" s="1" t="str">
        <f t="shared" ref="W320:W383" si="42">IF(OR(M320="", V320&lt;5), "", IF(OR(M320="신축", B320&lt;&gt;"공동주택"), 1, ""))</f>
        <v/>
      </c>
      <c r="X320" s="1">
        <v>10</v>
      </c>
      <c r="Y320" s="64" t="str">
        <f>IFERROR(INDEX(입력!$M$2:$M$500, MATCH($BO320, 입력!$Z$2:$Z$500, 0)) &amp; "", "")</f>
        <v/>
      </c>
      <c r="Z320" s="64" t="str">
        <f>IFERROR(INDEX(입력!$N$2:$N$500, MATCH($BO320, 입력!$Z$2:$Z$500, 0)) &amp; "", "")</f>
        <v/>
      </c>
      <c r="AA320" s="64">
        <f>MAX(0, 표1[[#This Row],[의무_시설]]-표1[[#This Row],[시설합]])</f>
        <v>0</v>
      </c>
      <c r="AB320" s="17" t="str">
        <f t="shared" si="39"/>
        <v>이행완료</v>
      </c>
      <c r="AC320" s="64" t="str">
        <f>IFERROR(INDEX(입력!$P$2:$P$500, MATCH($BO320, 입력!$Z$2:$Z$500, 0)) &amp; "", "")</f>
        <v/>
      </c>
      <c r="AD320" s="64" t="str">
        <f>IFERROR(INDEX(입력!$Q$2:$Q$500, MATCH($BO320, 입력!$Z$2:$Z$500, 0)) &amp; "", "")</f>
        <v/>
      </c>
      <c r="AE320" s="64" t="str">
        <f>IFERROR(INDEX(입력!$R$2:$R$500, MATCH($BO320, 입력!$Z$2:$Z$500, 0)) &amp; "", "")</f>
        <v/>
      </c>
      <c r="AF320" s="64" t="str">
        <f>IFERROR(INDEX(입력!$S$2:$S$500, MATCH($BO320, 입력!$Z$2:$Z$500, 0)) &amp; "", "")</f>
        <v/>
      </c>
      <c r="AG320" s="64" t="str">
        <f>IFERROR(INDEX(입력!$T$2:$T$500, MATCH($BO320, 입력!$Z$2:$Z$500, 0)) &amp; "", "")</f>
        <v/>
      </c>
      <c r="AH320" s="64" t="str">
        <f>IFERROR(INDEX(입력!$U$2:$U$500, MATCH($BO320, 입력!$Z$2:$Z$500, 0)) &amp; "", "")</f>
        <v/>
      </c>
      <c r="AI320" s="64" t="str">
        <f>IFERROR(INDEX(입력!$V$2:$V$500, MATCH($BO320, 입력!$Z$2:$Z$500, 0)) &amp; "", "")</f>
        <v/>
      </c>
      <c r="AJ320" s="44" t="str">
        <f>IFERROR(INDEX(입력!$W$2:$W$500, MATCH($BO320, 입력!$Z$2:$Z$500, 0)) &amp; "", "")</f>
        <v/>
      </c>
      <c r="AK320" s="44" t="str">
        <f>IFERROR(INDEX(입력!$X$2:$X$500, MATCH($BO320, 입력!$Z$2:$Z$500, 0)) &amp; "", "")</f>
        <v/>
      </c>
      <c r="AL320" s="2"/>
      <c r="AM320" s="17" t="s">
        <v>1650</v>
      </c>
      <c r="AN320" s="101">
        <v>2025</v>
      </c>
      <c r="AO320" s="17" t="s">
        <v>3277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3137</v>
      </c>
      <c r="AZ320" s="71" t="str">
        <f>IFERROR(IF(INDEX(입력!$C$2:$C$500, MATCH($BO320, 입력!$Z$2:$Z$500, 0))="", "", TEXT(INDEX(입력!$C$2:$C$500, MATCH($BO320, 입력!$Z$2:$Z$500, 0)), "yyyy-mm-dd")), "")</f>
        <v/>
      </c>
      <c r="BA320" s="44" t="str">
        <f>IFERROR(INDEX(입력!$B$2:$B$500, MATCH($BO320, 입력!$Z$2:$Z$500, 0)) &amp; "", "")</f>
        <v/>
      </c>
      <c r="BB320" s="83" t="str">
        <f>IFERROR(INDEX(입력!$Y$2:$Y$500, MATCH($BO320, 입력!$Z$2:$Z$500, 0)) &amp; "", "")</f>
        <v/>
      </c>
      <c r="BC320" s="83" t="s">
        <v>3112</v>
      </c>
      <c r="BD320" s="83"/>
      <c r="BE320" s="101"/>
      <c r="BF320" s="101"/>
      <c r="BG320" s="101"/>
      <c r="BH320" s="101"/>
      <c r="BI320" s="101"/>
      <c r="BJ320" s="101"/>
      <c r="BK320" s="110"/>
      <c r="BL320" s="21"/>
      <c r="BM320" s="22">
        <v>248</v>
      </c>
      <c r="BN320" s="23"/>
      <c r="BO320" s="47" t="s">
        <v>746</v>
      </c>
    </row>
    <row r="321" spans="1:67" x14ac:dyDescent="0.45">
      <c r="A321" s="19">
        <v>320</v>
      </c>
      <c r="B321" s="1" t="s">
        <v>1647</v>
      </c>
      <c r="C321" s="17" t="str">
        <f t="shared" ref="C321:C384" si="43">IF(OR(U321="", AB321=""), "", IF(AND(U321="이행완료", AB321="이행완료"), "이행완료", "미이행"))</f>
        <v>이행완료</v>
      </c>
      <c r="D321" s="17" t="str">
        <f t="shared" si="38"/>
        <v/>
      </c>
      <c r="E321" s="1" t="s">
        <v>3352</v>
      </c>
      <c r="F321" s="1" t="s">
        <v>2520</v>
      </c>
      <c r="G321" s="1" t="s">
        <v>1986</v>
      </c>
      <c r="H321" s="35" t="s">
        <v>1266</v>
      </c>
      <c r="I321" s="46">
        <v>458</v>
      </c>
      <c r="J321" s="1"/>
      <c r="K321" s="71" t="s">
        <v>2496</v>
      </c>
      <c r="L321" s="20"/>
      <c r="M321" s="17" t="str">
        <f t="shared" ref="M321:M384" si="44">IF(AND(K321="", L321=""), "", IF(IF(K321="", L321, K321)*1 &lt; DATE(2022, 1, 28), "기축", "신축"))</f>
        <v>기축</v>
      </c>
      <c r="N321" s="21"/>
      <c r="O321" s="21"/>
      <c r="P321" s="1">
        <f t="shared" si="40"/>
        <v>9</v>
      </c>
      <c r="Q321" s="1">
        <v>10</v>
      </c>
      <c r="R321" s="64" t="str">
        <f>IFERROR(INDEX(입력!$J$2:$J$500, MATCH($BO321, 입력!$Z$2:$Z$500, 0)) &amp; "", "")</f>
        <v/>
      </c>
      <c r="S321" s="64" t="str">
        <f>IFERROR(INDEX(입력!$K$2:$K$500, MATCH($BO321, 입력!$Z$2:$Z$500, 0)) &amp; "", "")</f>
        <v/>
      </c>
      <c r="T321" s="64">
        <f>MAX(0, 표1[[#This Row],[의무_면수]]-표1[[#This Row],[면수합]])</f>
        <v>0</v>
      </c>
      <c r="U321" s="44" t="str">
        <f t="shared" si="41"/>
        <v>이행완료</v>
      </c>
      <c r="V321" s="1">
        <f t="shared" ref="V321:V384" si="45">IF(OR(IF(I321="", J321, I321)="", IF(I321="", J321, I321)=0), 0, IF(M321="신축", ROUND(IF(I321="", J321, I321)*0.05, 0), ROUND(IF(I321="", J321, I321)*0.02, 0)))</f>
        <v>9</v>
      </c>
      <c r="W321" s="1" t="str">
        <f t="shared" si="42"/>
        <v/>
      </c>
      <c r="X321" s="1">
        <v>10</v>
      </c>
      <c r="Y321" s="64" t="str">
        <f>IFERROR(INDEX(입력!$M$2:$M$500, MATCH($BO321, 입력!$Z$2:$Z$500, 0)) &amp; "", "")</f>
        <v/>
      </c>
      <c r="Z321" s="64" t="str">
        <f>IFERROR(INDEX(입력!$N$2:$N$500, MATCH($BO321, 입력!$Z$2:$Z$500, 0)) &amp; "", "")</f>
        <v/>
      </c>
      <c r="AA321" s="64">
        <f>MAX(0, 표1[[#This Row],[의무_시설]]-표1[[#This Row],[시설합]])</f>
        <v>0</v>
      </c>
      <c r="AB321" s="17" t="str">
        <f t="shared" si="39"/>
        <v>이행완료</v>
      </c>
      <c r="AC321" s="64" t="str">
        <f>IFERROR(INDEX(입력!$P$2:$P$500, MATCH($BO321, 입력!$Z$2:$Z$500, 0)) &amp; "", "")</f>
        <v/>
      </c>
      <c r="AD321" s="64" t="str">
        <f>IFERROR(INDEX(입력!$Q$2:$Q$500, MATCH($BO321, 입력!$Z$2:$Z$500, 0)) &amp; "", "")</f>
        <v/>
      </c>
      <c r="AE321" s="64" t="str">
        <f>IFERROR(INDEX(입력!$R$2:$R$500, MATCH($BO321, 입력!$Z$2:$Z$500, 0)) &amp; "", "")</f>
        <v/>
      </c>
      <c r="AF321" s="64" t="str">
        <f>IFERROR(INDEX(입력!$S$2:$S$500, MATCH($BO321, 입력!$Z$2:$Z$500, 0)) &amp; "", "")</f>
        <v/>
      </c>
      <c r="AG321" s="64" t="str">
        <f>IFERROR(INDEX(입력!$T$2:$T$500, MATCH($BO321, 입력!$Z$2:$Z$500, 0)) &amp; "", "")</f>
        <v/>
      </c>
      <c r="AH321" s="64" t="str">
        <f>IFERROR(INDEX(입력!$U$2:$U$500, MATCH($BO321, 입력!$Z$2:$Z$500, 0)) &amp; "", "")</f>
        <v/>
      </c>
      <c r="AI321" s="64" t="str">
        <f>IFERROR(INDEX(입력!$V$2:$V$500, MATCH($BO321, 입력!$Z$2:$Z$500, 0)) &amp; "", "")</f>
        <v/>
      </c>
      <c r="AJ321" s="44" t="str">
        <f>IFERROR(INDEX(입력!$W$2:$W$500, MATCH($BO321, 입력!$Z$2:$Z$500, 0)) &amp; "", "")</f>
        <v/>
      </c>
      <c r="AK321" s="44" t="str">
        <f>IFERROR(INDEX(입력!$X$2:$X$500, MATCH($BO321, 입력!$Z$2:$Z$500, 0)) &amp; "", "")</f>
        <v/>
      </c>
      <c r="AL321" s="2"/>
      <c r="AM321" s="17" t="s">
        <v>1650</v>
      </c>
      <c r="AN321" s="101">
        <v>2025</v>
      </c>
      <c r="AO321" s="17" t="s">
        <v>3275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3132</v>
      </c>
      <c r="AZ321" s="71" t="str">
        <f>IFERROR(IF(INDEX(입력!$C$2:$C$500, MATCH($BO321, 입력!$Z$2:$Z$500, 0))="", "", TEXT(INDEX(입력!$C$2:$C$500, MATCH($BO321, 입력!$Z$2:$Z$500, 0)), "yyyy-mm-dd")), "")</f>
        <v/>
      </c>
      <c r="BA321" s="44" t="str">
        <f>IFERROR(INDEX(입력!$B$2:$B$500, MATCH($BO321, 입력!$Z$2:$Z$500, 0)) &amp; "", "")</f>
        <v/>
      </c>
      <c r="BB321" s="83" t="str">
        <f>IFERROR(INDEX(입력!$Y$2:$Y$500, MATCH($BO321, 입력!$Z$2:$Z$500, 0)) &amp; "", "")</f>
        <v/>
      </c>
      <c r="BC321" s="83" t="s">
        <v>3112</v>
      </c>
      <c r="BD321" s="83"/>
      <c r="BE321" s="101"/>
      <c r="BF321" s="101"/>
      <c r="BG321" s="101"/>
      <c r="BH321" s="101"/>
      <c r="BI321" s="101"/>
      <c r="BJ321" s="101" t="s">
        <v>3372</v>
      </c>
      <c r="BK321" s="110"/>
      <c r="BL321" s="21"/>
      <c r="BM321" s="22">
        <v>467</v>
      </c>
      <c r="BN321" s="23"/>
      <c r="BO321" s="47" t="s">
        <v>747</v>
      </c>
    </row>
    <row r="322" spans="1:67" x14ac:dyDescent="0.45">
      <c r="A322" s="46">
        <v>321</v>
      </c>
      <c r="B322" s="1" t="s">
        <v>1647</v>
      </c>
      <c r="C322" s="17" t="str">
        <f t="shared" si="43"/>
        <v>이행완료</v>
      </c>
      <c r="D322" s="17" t="str">
        <f t="shared" ref="D322:D385" si="46">IF(AZ322&lt;&gt;"", "조사완료", "")</f>
        <v/>
      </c>
      <c r="E322" s="2" t="s">
        <v>1987</v>
      </c>
      <c r="F322" s="1" t="s">
        <v>748</v>
      </c>
      <c r="G322" s="1" t="s">
        <v>1988</v>
      </c>
      <c r="H322" s="18" t="s">
        <v>1335</v>
      </c>
      <c r="I322" s="19">
        <v>304</v>
      </c>
      <c r="J322" s="2"/>
      <c r="K322" s="20" t="s">
        <v>2497</v>
      </c>
      <c r="L322" s="20"/>
      <c r="M322" s="17" t="str">
        <f t="shared" si="44"/>
        <v>기축</v>
      </c>
      <c r="N322" s="21"/>
      <c r="O322" s="21"/>
      <c r="P322" s="1">
        <f t="shared" si="40"/>
        <v>6</v>
      </c>
      <c r="Q322" s="1">
        <v>7</v>
      </c>
      <c r="R322" s="64" t="str">
        <f>IFERROR(INDEX(입력!$J$2:$J$500, MATCH($BO322, 입력!$Z$2:$Z$500, 0)) &amp; "", "")</f>
        <v/>
      </c>
      <c r="S322" s="64" t="str">
        <f>IFERROR(INDEX(입력!$K$2:$K$500, MATCH($BO322, 입력!$Z$2:$Z$500, 0)) &amp; "", "")</f>
        <v/>
      </c>
      <c r="T322" s="64">
        <f>MAX(0, 표1[[#This Row],[의무_면수]]-표1[[#This Row],[면수합]])</f>
        <v>0</v>
      </c>
      <c r="U322" s="44" t="str">
        <f t="shared" si="41"/>
        <v>이행완료</v>
      </c>
      <c r="V322" s="1">
        <f t="shared" si="45"/>
        <v>6</v>
      </c>
      <c r="W322" s="1" t="str">
        <f t="shared" si="42"/>
        <v/>
      </c>
      <c r="X322" s="1">
        <v>7</v>
      </c>
      <c r="Y322" s="64" t="str">
        <f>IFERROR(INDEX(입력!$M$2:$M$500, MATCH($BO322, 입력!$Z$2:$Z$500, 0)) &amp; "", "")</f>
        <v/>
      </c>
      <c r="Z322" s="64" t="str">
        <f>IFERROR(INDEX(입력!$N$2:$N$500, MATCH($BO322,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7">IF(OR(V322="", X322=""), "", IF(X322 &gt;= V322, "이행완료", "미이행"))</f>
        <v>이행완료</v>
      </c>
      <c r="AC322" s="64" t="str">
        <f>IFERROR(INDEX(입력!$P$2:$P$500, MATCH($BO322, 입력!$Z$2:$Z$500, 0)) &amp; "", "")</f>
        <v/>
      </c>
      <c r="AD322" s="64" t="str">
        <f>IFERROR(INDEX(입력!$Q$2:$Q$500, MATCH($BO322, 입력!$Z$2:$Z$500, 0)) &amp; "", "")</f>
        <v/>
      </c>
      <c r="AE322" s="64" t="str">
        <f>IFERROR(INDEX(입력!$R$2:$R$500, MATCH($BO322, 입력!$Z$2:$Z$500, 0)) &amp; "", "")</f>
        <v/>
      </c>
      <c r="AF322" s="64" t="str">
        <f>IFERROR(INDEX(입력!$S$2:$S$500, MATCH($BO322, 입력!$Z$2:$Z$500, 0)) &amp; "", "")</f>
        <v/>
      </c>
      <c r="AG322" s="64" t="str">
        <f>IFERROR(INDEX(입력!$T$2:$T$500, MATCH($BO322, 입력!$Z$2:$Z$500, 0)) &amp; "", "")</f>
        <v/>
      </c>
      <c r="AH322" s="64" t="str">
        <f>IFERROR(INDEX(입력!$U$2:$U$500, MATCH($BO322, 입력!$Z$2:$Z$500, 0)) &amp; "", "")</f>
        <v/>
      </c>
      <c r="AI322" s="64" t="str">
        <f>IFERROR(INDEX(입력!$V$2:$V$500, MATCH($BO322, 입력!$Z$2:$Z$500, 0)) &amp; "", "")</f>
        <v/>
      </c>
      <c r="AJ322" s="44" t="str">
        <f>IFERROR(INDEX(입력!$W$2:$W$500, MATCH($BO322, 입력!$Z$2:$Z$500, 0)) &amp; "", "")</f>
        <v/>
      </c>
      <c r="AK322" s="44" t="str">
        <f>IFERROR(INDEX(입력!$X$2:$X$500, MATCH($BO322, 입력!$Z$2:$Z$500, 0)) &amp; "", "")</f>
        <v/>
      </c>
      <c r="AL322" s="2"/>
      <c r="AM322" s="17" t="s">
        <v>1650</v>
      </c>
      <c r="AN322" s="101">
        <v>2025</v>
      </c>
      <c r="AO322" s="17" t="s">
        <v>3274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3131</v>
      </c>
      <c r="AZ322" s="71" t="str">
        <f>IFERROR(IF(INDEX(입력!$C$2:$C$500, MATCH($BO322, 입력!$Z$2:$Z$500, 0))="", "", TEXT(INDEX(입력!$C$2:$C$500, MATCH($BO322, 입력!$Z$2:$Z$500, 0)), "yyyy-mm-dd")), "")</f>
        <v/>
      </c>
      <c r="BA322" s="44" t="str">
        <f>IFERROR(INDEX(입력!$B$2:$B$500, MATCH($BO322, 입력!$Z$2:$Z$500, 0)) &amp; "", "")</f>
        <v/>
      </c>
      <c r="BB322" s="83" t="str">
        <f>IFERROR(INDEX(입력!$Y$2:$Y$500, MATCH($BO322, 입력!$Z$2:$Z$500, 0)) &amp; "", "")</f>
        <v/>
      </c>
      <c r="BC322" s="83" t="s">
        <v>3112</v>
      </c>
      <c r="BD322" s="83"/>
      <c r="BE322" s="101"/>
      <c r="BF322" s="101"/>
      <c r="BG322" s="101"/>
      <c r="BH322" s="101"/>
      <c r="BI322" s="101"/>
      <c r="BJ322" s="101"/>
      <c r="BK322" s="110"/>
      <c r="BL322" s="21"/>
      <c r="BM322" s="22">
        <v>304</v>
      </c>
      <c r="BN322" s="23"/>
      <c r="BO322" s="47" t="s">
        <v>749</v>
      </c>
    </row>
    <row r="323" spans="1:67" x14ac:dyDescent="0.45">
      <c r="A323" s="19">
        <v>322</v>
      </c>
      <c r="B323" s="1" t="s">
        <v>1647</v>
      </c>
      <c r="C323" s="17" t="str">
        <f t="shared" si="43"/>
        <v>이행완료</v>
      </c>
      <c r="D323" s="17" t="str">
        <f t="shared" si="46"/>
        <v/>
      </c>
      <c r="E323" s="2" t="s">
        <v>1989</v>
      </c>
      <c r="F323" s="1" t="s">
        <v>750</v>
      </c>
      <c r="G323" s="1" t="s">
        <v>1990</v>
      </c>
      <c r="H323" s="18" t="s">
        <v>1056</v>
      </c>
      <c r="I323" s="19">
        <v>280</v>
      </c>
      <c r="J323" s="2"/>
      <c r="K323" s="20" t="s">
        <v>2498</v>
      </c>
      <c r="L323" s="20"/>
      <c r="M323" s="17" t="str">
        <f t="shared" si="44"/>
        <v>기축</v>
      </c>
      <c r="N323" s="21"/>
      <c r="O323" s="21"/>
      <c r="P323" s="1">
        <f t="shared" si="40"/>
        <v>6</v>
      </c>
      <c r="Q323" s="1">
        <v>6</v>
      </c>
      <c r="R323" s="64" t="str">
        <f>IFERROR(INDEX(입력!$J$2:$J$500, MATCH($BO323, 입력!$Z$2:$Z$500, 0)) &amp; "", "")</f>
        <v/>
      </c>
      <c r="S323" s="64" t="str">
        <f>IFERROR(INDEX(입력!$K$2:$K$500, MATCH($BO323, 입력!$Z$2:$Z$500, 0)) &amp; "", "")</f>
        <v/>
      </c>
      <c r="T323" s="64">
        <f>MAX(0, 표1[[#This Row],[의무_면수]]-표1[[#This Row],[면수합]])</f>
        <v>0</v>
      </c>
      <c r="U323" s="44" t="str">
        <f t="shared" si="41"/>
        <v>이행완료</v>
      </c>
      <c r="V323" s="1">
        <f t="shared" si="45"/>
        <v>6</v>
      </c>
      <c r="W323" s="1" t="str">
        <f t="shared" si="42"/>
        <v/>
      </c>
      <c r="X323" s="1">
        <v>6</v>
      </c>
      <c r="Y323" s="64" t="str">
        <f>IFERROR(INDEX(입력!$M$2:$M$500, MATCH($BO323, 입력!$Z$2:$Z$500, 0)) &amp; "", "")</f>
        <v/>
      </c>
      <c r="Z323" s="64" t="str">
        <f>IFERROR(INDEX(입력!$N$2:$N$500, MATCH($BO323, 입력!$Z$2:$Z$500, 0)) &amp; "", "")</f>
        <v/>
      </c>
      <c r="AA323" s="64">
        <f>MAX(0, 표1[[#This Row],[의무_시설]]-표1[[#This Row],[시설합]])</f>
        <v>0</v>
      </c>
      <c r="AB323" s="17" t="str">
        <f t="shared" si="47"/>
        <v>이행완료</v>
      </c>
      <c r="AC323" s="64" t="str">
        <f>IFERROR(INDEX(입력!$P$2:$P$500, MATCH($BO323, 입력!$Z$2:$Z$500, 0)) &amp; "", "")</f>
        <v/>
      </c>
      <c r="AD323" s="64" t="str">
        <f>IFERROR(INDEX(입력!$Q$2:$Q$500, MATCH($BO323, 입력!$Z$2:$Z$500, 0)) &amp; "", "")</f>
        <v/>
      </c>
      <c r="AE323" s="64" t="str">
        <f>IFERROR(INDEX(입력!$R$2:$R$500, MATCH($BO323, 입력!$Z$2:$Z$500, 0)) &amp; "", "")</f>
        <v/>
      </c>
      <c r="AF323" s="64" t="str">
        <f>IFERROR(INDEX(입력!$S$2:$S$500, MATCH($BO323, 입력!$Z$2:$Z$500, 0)) &amp; "", "")</f>
        <v/>
      </c>
      <c r="AG323" s="64" t="str">
        <f>IFERROR(INDEX(입력!$T$2:$T$500, MATCH($BO323, 입력!$Z$2:$Z$500, 0)) &amp; "", "")</f>
        <v/>
      </c>
      <c r="AH323" s="64" t="str">
        <f>IFERROR(INDEX(입력!$U$2:$U$500, MATCH($BO323, 입력!$Z$2:$Z$500, 0)) &amp; "", "")</f>
        <v/>
      </c>
      <c r="AI323" s="64" t="str">
        <f>IFERROR(INDEX(입력!$V$2:$V$500, MATCH($BO323, 입력!$Z$2:$Z$500, 0)) &amp; "", "")</f>
        <v/>
      </c>
      <c r="AJ323" s="44" t="str">
        <f>IFERROR(INDEX(입력!$W$2:$W$500, MATCH($BO323, 입력!$Z$2:$Z$500, 0)) &amp; "", "")</f>
        <v/>
      </c>
      <c r="AK323" s="44" t="str">
        <f>IFERROR(INDEX(입력!$X$2:$X$500, MATCH($BO323, 입력!$Z$2:$Z$500, 0)) &amp; "", "")</f>
        <v/>
      </c>
      <c r="AL323" s="2"/>
      <c r="AM323" s="17" t="s">
        <v>1650</v>
      </c>
      <c r="AN323" s="101">
        <v>2025</v>
      </c>
      <c r="AO323" s="17" t="s">
        <v>3275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3137</v>
      </c>
      <c r="AZ323" s="71" t="str">
        <f>IFERROR(IF(INDEX(입력!$C$2:$C$500, MATCH($BO323, 입력!$Z$2:$Z$500, 0))="", "", TEXT(INDEX(입력!$C$2:$C$500, MATCH($BO323, 입력!$Z$2:$Z$500, 0)), "yyyy-mm-dd")), "")</f>
        <v/>
      </c>
      <c r="BA323" s="44" t="str">
        <f>IFERROR(INDEX(입력!$B$2:$B$500, MATCH($BO323, 입력!$Z$2:$Z$500, 0)) &amp; "", "")</f>
        <v/>
      </c>
      <c r="BB323" s="83" t="str">
        <f>IFERROR(INDEX(입력!$Y$2:$Y$500, MATCH($BO323, 입력!$Z$2:$Z$500, 0)) &amp; "", "")</f>
        <v/>
      </c>
      <c r="BC323" s="83" t="s">
        <v>3112</v>
      </c>
      <c r="BD323" s="83"/>
      <c r="BE323" s="101"/>
      <c r="BF323" s="101"/>
      <c r="BG323" s="101"/>
      <c r="BH323" s="101"/>
      <c r="BI323" s="101"/>
      <c r="BJ323" s="101"/>
      <c r="BK323" s="110"/>
      <c r="BL323" s="21"/>
      <c r="BM323" s="22">
        <v>280</v>
      </c>
      <c r="BN323" s="23"/>
      <c r="BO323" s="47" t="s">
        <v>751</v>
      </c>
    </row>
    <row r="324" spans="1:67" x14ac:dyDescent="0.45">
      <c r="A324" s="46">
        <v>323</v>
      </c>
      <c r="B324" s="1" t="s">
        <v>1647</v>
      </c>
      <c r="C324" s="17" t="str">
        <f t="shared" si="43"/>
        <v>미이행</v>
      </c>
      <c r="D324" s="17" t="str">
        <f t="shared" si="46"/>
        <v>조사완료</v>
      </c>
      <c r="E324" s="2" t="s">
        <v>4006</v>
      </c>
      <c r="F324" s="1" t="s">
        <v>752</v>
      </c>
      <c r="G324" s="1" t="s">
        <v>1991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4"/>
        <v>기축</v>
      </c>
      <c r="N324" s="21" t="s">
        <v>1057</v>
      </c>
      <c r="O324" s="21"/>
      <c r="P324" s="1">
        <f t="shared" si="40"/>
        <v>28</v>
      </c>
      <c r="Q324" s="1">
        <v>12</v>
      </c>
      <c r="R324" s="64" t="str">
        <f>IFERROR(INDEX(입력!$J$2:$J$500, MATCH($BO324, 입력!$Z$2:$Z$500, 0)) &amp; "", "")</f>
        <v>12</v>
      </c>
      <c r="S324" s="64" t="str">
        <f>IFERROR(INDEX(입력!$K$2:$K$500, MATCH($BO324, 입력!$Z$2:$Z$500, 0)) &amp; "", "")</f>
        <v/>
      </c>
      <c r="T324" s="64">
        <f>MAX(0, 표1[[#This Row],[의무_면수]]-표1[[#This Row],[면수합]])</f>
        <v>16</v>
      </c>
      <c r="U324" s="44" t="str">
        <f t="shared" si="41"/>
        <v>미이행</v>
      </c>
      <c r="V324" s="1">
        <f t="shared" si="45"/>
        <v>11</v>
      </c>
      <c r="W324" s="1" t="str">
        <f t="shared" si="42"/>
        <v/>
      </c>
      <c r="X324" s="1">
        <v>12</v>
      </c>
      <c r="Y324" s="64" t="str">
        <f>IFERROR(INDEX(입력!$M$2:$M$500, MATCH($BO324, 입력!$Z$2:$Z$500, 0)) &amp; "", "")</f>
        <v/>
      </c>
      <c r="Z324" s="64" t="str">
        <f>IFERROR(INDEX(입력!$N$2:$N$500, MATCH($BO324,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7"/>
        <v>이행완료</v>
      </c>
      <c r="AC324" s="64" t="str">
        <f>IFERROR(INDEX(입력!$P$2:$P$500, MATCH($BO324, 입력!$Z$2:$Z$500, 0)) &amp; "", "")</f>
        <v>650</v>
      </c>
      <c r="AD324" s="64" t="str">
        <f>IFERROR(INDEX(입력!$Q$2:$Q$500, MATCH($BO324, 입력!$Z$2:$Z$500, 0)) &amp; "", "")</f>
        <v>5</v>
      </c>
      <c r="AE324" s="64" t="str">
        <f>IFERROR(INDEX(입력!$R$2:$R$500, MATCH($BO324, 입력!$Z$2:$Z$500, 0)) &amp; "", "")</f>
        <v>여</v>
      </c>
      <c r="AF324" s="64" t="str">
        <f>IFERROR(INDEX(입력!$S$2:$S$500, MATCH($BO324, 입력!$Z$2:$Z$500, 0)) &amp; "", "")</f>
        <v>여</v>
      </c>
      <c r="AG324" s="64" t="str">
        <f>IFERROR(INDEX(입력!$T$2:$T$500, MATCH($BO324, 입력!$Z$2:$Z$500, 0)) &amp; "", "")</f>
        <v>부</v>
      </c>
      <c r="AH324" s="64" t="str">
        <f>IFERROR(INDEX(입력!$U$2:$U$500, MATCH($BO324, 입력!$Z$2:$Z$500, 0)) &amp; "", "")</f>
        <v/>
      </c>
      <c r="AI324" s="64" t="str">
        <f>IFERROR(INDEX(입력!$V$2:$V$500, MATCH($BO324, 입력!$Z$2:$Z$500, 0)) &amp; "", "")</f>
        <v>여</v>
      </c>
      <c r="AJ324" s="44" t="str">
        <f>IFERROR(INDEX(입력!$W$2:$W$500, MATCH($BO324, 입력!$Z$2:$Z$500, 0)) &amp; "", "")</f>
        <v>고병두</v>
      </c>
      <c r="AK324" s="44" t="str">
        <f>IFERROR(INDEX(입력!$X$2:$X$500, MATCH($BO324, 입력!$Z$2:$Z$500, 0)) &amp; "", "")</f>
        <v>010-4077-9239</v>
      </c>
      <c r="AL324" s="2" t="s">
        <v>1992</v>
      </c>
      <c r="AM324" s="17" t="s">
        <v>1650</v>
      </c>
      <c r="AN324" s="101">
        <v>2025</v>
      </c>
      <c r="AO324" s="17" t="s">
        <v>3275</v>
      </c>
      <c r="AP324" s="119"/>
      <c r="AQ324" s="108"/>
      <c r="AR324" s="119"/>
      <c r="AS324" s="101" t="s">
        <v>3124</v>
      </c>
      <c r="AT324" s="109">
        <v>46034</v>
      </c>
      <c r="AU324" s="101" t="s">
        <v>3141</v>
      </c>
      <c r="AV324" s="108" t="s">
        <v>1993</v>
      </c>
      <c r="AW324" s="117" t="s">
        <v>3295</v>
      </c>
      <c r="AX324" s="101"/>
      <c r="AY324" s="83" t="s">
        <v>3131</v>
      </c>
      <c r="AZ324" s="71" t="str">
        <f>IFERROR(IF(INDEX(입력!$C$2:$C$500, MATCH($BO324, 입력!$Z$2:$Z$500, 0))="", "", TEXT(INDEX(입력!$C$2:$C$500, MATCH($BO324, 입력!$Z$2:$Z$500, 0)), "yyyy-mm-dd")), "")</f>
        <v>2026-04-08</v>
      </c>
      <c r="BA324" s="44" t="str">
        <f>IFERROR(INDEX(입력!$B$2:$B$500, MATCH($BO324, 입력!$Z$2:$Z$500, 0)) &amp; "", "")</f>
        <v>정은진</v>
      </c>
      <c r="BB324" s="83" t="str">
        <f>IFERROR(INDEX(입력!$Y$2:$Y$500, MATCH($BO324, 입력!$Z$2:$Z$500, 0)) &amp; "", "")</f>
        <v>미설치(16면) 전용구역은 27년 계획, 주차공간부족.</v>
      </c>
      <c r="BC324" s="83" t="s">
        <v>3296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3996</v>
      </c>
      <c r="BI324" s="101" t="s">
        <v>3975</v>
      </c>
      <c r="BJ324" s="101"/>
      <c r="BK324" s="110"/>
      <c r="BL324" s="21" t="s">
        <v>2424</v>
      </c>
      <c r="BM324" s="22">
        <v>575</v>
      </c>
      <c r="BN324" s="23"/>
      <c r="BO324" s="47" t="s">
        <v>753</v>
      </c>
    </row>
    <row r="325" spans="1:67" x14ac:dyDescent="0.45">
      <c r="A325" s="19">
        <v>324</v>
      </c>
      <c r="B325" s="1" t="s">
        <v>1647</v>
      </c>
      <c r="C325" s="17" t="str">
        <f t="shared" si="43"/>
        <v>이행완료</v>
      </c>
      <c r="D325" s="17" t="str">
        <f t="shared" si="46"/>
        <v/>
      </c>
      <c r="E325" s="2" t="s">
        <v>1994</v>
      </c>
      <c r="F325" s="1" t="s">
        <v>754</v>
      </c>
      <c r="G325" s="1" t="s">
        <v>1995</v>
      </c>
      <c r="H325" s="18" t="s">
        <v>1056</v>
      </c>
      <c r="I325" s="19">
        <v>745</v>
      </c>
      <c r="J325" s="2"/>
      <c r="K325" s="20" t="s">
        <v>2499</v>
      </c>
      <c r="L325" s="20"/>
      <c r="M325" s="17" t="str">
        <f t="shared" si="44"/>
        <v>기축</v>
      </c>
      <c r="N325" s="21"/>
      <c r="O325" s="21"/>
      <c r="P325" s="1">
        <f t="shared" si="40"/>
        <v>15</v>
      </c>
      <c r="Q325" s="1">
        <v>25</v>
      </c>
      <c r="R325" s="64" t="str">
        <f>IFERROR(INDEX(입력!$J$2:$J$500, MATCH($BO325, 입력!$Z$2:$Z$500, 0)) &amp; "", "")</f>
        <v/>
      </c>
      <c r="S325" s="64" t="str">
        <f>IFERROR(INDEX(입력!$K$2:$K$500, MATCH($BO325, 입력!$Z$2:$Z$500, 0)) &amp; "", "")</f>
        <v/>
      </c>
      <c r="T325" s="64">
        <f>MAX(0, 표1[[#This Row],[의무_면수]]-표1[[#This Row],[면수합]])</f>
        <v>0</v>
      </c>
      <c r="U325" s="44" t="str">
        <f t="shared" si="41"/>
        <v>이행완료</v>
      </c>
      <c r="V325" s="1">
        <f t="shared" si="45"/>
        <v>15</v>
      </c>
      <c r="W325" s="1" t="str">
        <f t="shared" si="42"/>
        <v/>
      </c>
      <c r="X325" s="1">
        <v>25</v>
      </c>
      <c r="Y325" s="64" t="str">
        <f>IFERROR(INDEX(입력!$M$2:$M$500, MATCH($BO325, 입력!$Z$2:$Z$500, 0)) &amp; "", "")</f>
        <v/>
      </c>
      <c r="Z325" s="64" t="str">
        <f>IFERROR(INDEX(입력!$N$2:$N$500, MATCH($BO325, 입력!$Z$2:$Z$500, 0)) &amp; "", "")</f>
        <v/>
      </c>
      <c r="AA325" s="64">
        <f>MAX(0, 표1[[#This Row],[의무_시설]]-표1[[#This Row],[시설합]])</f>
        <v>0</v>
      </c>
      <c r="AB325" s="17" t="str">
        <f t="shared" si="47"/>
        <v>이행완료</v>
      </c>
      <c r="AC325" s="64" t="str">
        <f>IFERROR(INDEX(입력!$P$2:$P$500, MATCH($BO325, 입력!$Z$2:$Z$500, 0)) &amp; "", "")</f>
        <v/>
      </c>
      <c r="AD325" s="64" t="str">
        <f>IFERROR(INDEX(입력!$Q$2:$Q$500, MATCH($BO325, 입력!$Z$2:$Z$500, 0)) &amp; "", "")</f>
        <v/>
      </c>
      <c r="AE325" s="64" t="str">
        <f>IFERROR(INDEX(입력!$R$2:$R$500, MATCH($BO325, 입력!$Z$2:$Z$500, 0)) &amp; "", "")</f>
        <v/>
      </c>
      <c r="AF325" s="64" t="str">
        <f>IFERROR(INDEX(입력!$S$2:$S$500, MATCH($BO325, 입력!$Z$2:$Z$500, 0)) &amp; "", "")</f>
        <v/>
      </c>
      <c r="AG325" s="64" t="str">
        <f>IFERROR(INDEX(입력!$T$2:$T$500, MATCH($BO325, 입력!$Z$2:$Z$500, 0)) &amp; "", "")</f>
        <v/>
      </c>
      <c r="AH325" s="64" t="str">
        <f>IFERROR(INDEX(입력!$U$2:$U$500, MATCH($BO325, 입력!$Z$2:$Z$500, 0)) &amp; "", "")</f>
        <v/>
      </c>
      <c r="AI325" s="64" t="str">
        <f>IFERROR(INDEX(입력!$V$2:$V$500, MATCH($BO325, 입력!$Z$2:$Z$500, 0)) &amp; "", "")</f>
        <v/>
      </c>
      <c r="AJ325" s="44" t="str">
        <f>IFERROR(INDEX(입력!$W$2:$W$500, MATCH($BO325, 입력!$Z$2:$Z$500, 0)) &amp; "", "")</f>
        <v/>
      </c>
      <c r="AK325" s="44" t="str">
        <f>IFERROR(INDEX(입력!$X$2:$X$500, MATCH($BO325, 입력!$Z$2:$Z$500, 0)) &amp; "", "")</f>
        <v/>
      </c>
      <c r="AL325" s="2"/>
      <c r="AM325" s="17" t="s">
        <v>1650</v>
      </c>
      <c r="AN325" s="101">
        <v>2025</v>
      </c>
      <c r="AO325" s="17" t="s">
        <v>3274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3132</v>
      </c>
      <c r="AZ325" s="71" t="str">
        <f>IFERROR(IF(INDEX(입력!$C$2:$C$500, MATCH($BO325, 입력!$Z$2:$Z$500, 0))="", "", TEXT(INDEX(입력!$C$2:$C$500, MATCH($BO325, 입력!$Z$2:$Z$500, 0)), "yyyy-mm-dd")), "")</f>
        <v/>
      </c>
      <c r="BA325" s="44" t="str">
        <f>IFERROR(INDEX(입력!$B$2:$B$500, MATCH($BO325, 입력!$Z$2:$Z$500, 0)) &amp; "", "")</f>
        <v/>
      </c>
      <c r="BB325" s="83" t="str">
        <f>IFERROR(INDEX(입력!$Y$2:$Y$500, MATCH($BO325, 입력!$Z$2:$Z$500, 0)) &amp; "", "")</f>
        <v/>
      </c>
      <c r="BC325" s="83" t="s">
        <v>3112</v>
      </c>
      <c r="BD325" s="83"/>
      <c r="BE325" s="101"/>
      <c r="BF325" s="101"/>
      <c r="BG325" s="101"/>
      <c r="BH325" s="101"/>
      <c r="BI325" s="101"/>
      <c r="BJ325" s="101"/>
      <c r="BK325" s="110"/>
      <c r="BL325" s="21"/>
      <c r="BM325" s="22">
        <v>745</v>
      </c>
      <c r="BN325" s="23"/>
      <c r="BO325" s="47" t="s">
        <v>755</v>
      </c>
    </row>
    <row r="326" spans="1:67" x14ac:dyDescent="0.45">
      <c r="A326" s="46">
        <v>325</v>
      </c>
      <c r="B326" s="1" t="s">
        <v>1647</v>
      </c>
      <c r="C326" s="17" t="str">
        <f t="shared" si="43"/>
        <v>이행완료</v>
      </c>
      <c r="D326" s="17" t="str">
        <f t="shared" si="46"/>
        <v/>
      </c>
      <c r="E326" s="2" t="s">
        <v>1996</v>
      </c>
      <c r="F326" s="1" t="s">
        <v>756</v>
      </c>
      <c r="G326" s="1" t="s">
        <v>1997</v>
      </c>
      <c r="H326" s="18" t="s">
        <v>1097</v>
      </c>
      <c r="I326" s="19">
        <v>404</v>
      </c>
      <c r="J326" s="2"/>
      <c r="K326" s="20" t="s">
        <v>2500</v>
      </c>
      <c r="L326" s="20"/>
      <c r="M326" s="17" t="str">
        <f t="shared" si="44"/>
        <v>기축</v>
      </c>
      <c r="N326" s="21"/>
      <c r="O326" s="21"/>
      <c r="P326" s="1">
        <f t="shared" si="40"/>
        <v>8</v>
      </c>
      <c r="Q326" s="1">
        <v>9</v>
      </c>
      <c r="R326" s="64" t="str">
        <f>IFERROR(INDEX(입력!$J$2:$J$500, MATCH($BO326, 입력!$Z$2:$Z$500, 0)) &amp; "", "")</f>
        <v/>
      </c>
      <c r="S326" s="64" t="str">
        <f>IFERROR(INDEX(입력!$K$2:$K$500, MATCH($BO326, 입력!$Z$2:$Z$500, 0)) &amp; "", "")</f>
        <v/>
      </c>
      <c r="T326" s="64">
        <f>MAX(0, 표1[[#This Row],[의무_면수]]-표1[[#This Row],[면수합]])</f>
        <v>0</v>
      </c>
      <c r="U326" s="44" t="str">
        <f t="shared" si="41"/>
        <v>이행완료</v>
      </c>
      <c r="V326" s="1">
        <f t="shared" si="45"/>
        <v>8</v>
      </c>
      <c r="W326" s="1" t="str">
        <f t="shared" si="42"/>
        <v/>
      </c>
      <c r="X326" s="1">
        <v>9</v>
      </c>
      <c r="Y326" s="64" t="str">
        <f>IFERROR(INDEX(입력!$M$2:$M$500, MATCH($BO326, 입력!$Z$2:$Z$500, 0)) &amp; "", "")</f>
        <v/>
      </c>
      <c r="Z326" s="64" t="str">
        <f>IFERROR(INDEX(입력!$N$2:$N$500, MATCH($BO326, 입력!$Z$2:$Z$500, 0)) &amp; "", "")</f>
        <v/>
      </c>
      <c r="AA326" s="64">
        <f>MAX(0, 표1[[#This Row],[의무_시설]]-표1[[#This Row],[시설합]])</f>
        <v>0</v>
      </c>
      <c r="AB326" s="17" t="str">
        <f t="shared" si="47"/>
        <v>이행완료</v>
      </c>
      <c r="AC326" s="64" t="str">
        <f>IFERROR(INDEX(입력!$P$2:$P$500, MATCH($BO326, 입력!$Z$2:$Z$500, 0)) &amp; "", "")</f>
        <v/>
      </c>
      <c r="AD326" s="64" t="str">
        <f>IFERROR(INDEX(입력!$Q$2:$Q$500, MATCH($BO326, 입력!$Z$2:$Z$500, 0)) &amp; "", "")</f>
        <v/>
      </c>
      <c r="AE326" s="64" t="str">
        <f>IFERROR(INDEX(입력!$R$2:$R$500, MATCH($BO326, 입력!$Z$2:$Z$500, 0)) &amp; "", "")</f>
        <v/>
      </c>
      <c r="AF326" s="64" t="str">
        <f>IFERROR(INDEX(입력!$S$2:$S$500, MATCH($BO326, 입력!$Z$2:$Z$500, 0)) &amp; "", "")</f>
        <v/>
      </c>
      <c r="AG326" s="64" t="str">
        <f>IFERROR(INDEX(입력!$T$2:$T$500, MATCH($BO326, 입력!$Z$2:$Z$500, 0)) &amp; "", "")</f>
        <v/>
      </c>
      <c r="AH326" s="64" t="str">
        <f>IFERROR(INDEX(입력!$U$2:$U$500, MATCH($BO326, 입력!$Z$2:$Z$500, 0)) &amp; "", "")</f>
        <v/>
      </c>
      <c r="AI326" s="64" t="str">
        <f>IFERROR(INDEX(입력!$V$2:$V$500, MATCH($BO326, 입력!$Z$2:$Z$500, 0)) &amp; "", "")</f>
        <v/>
      </c>
      <c r="AJ326" s="44" t="str">
        <f>IFERROR(INDEX(입력!$W$2:$W$500, MATCH($BO326, 입력!$Z$2:$Z$500, 0)) &amp; "", "")</f>
        <v/>
      </c>
      <c r="AK326" s="44" t="str">
        <f>IFERROR(INDEX(입력!$X$2:$X$500, MATCH($BO326, 입력!$Z$2:$Z$500, 0)) &amp; "", "")</f>
        <v/>
      </c>
      <c r="AL326" s="2"/>
      <c r="AM326" s="17" t="s">
        <v>1650</v>
      </c>
      <c r="AN326" s="101">
        <v>2025</v>
      </c>
      <c r="AO326" s="17" t="s">
        <v>3275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3131</v>
      </c>
      <c r="AZ326" s="71" t="str">
        <f>IFERROR(IF(INDEX(입력!$C$2:$C$500, MATCH($BO326, 입력!$Z$2:$Z$500, 0))="", "", TEXT(INDEX(입력!$C$2:$C$500, MATCH($BO326, 입력!$Z$2:$Z$500, 0)), "yyyy-mm-dd")), "")</f>
        <v/>
      </c>
      <c r="BA326" s="44" t="str">
        <f>IFERROR(INDEX(입력!$B$2:$B$500, MATCH($BO326, 입력!$Z$2:$Z$500, 0)) &amp; "", "")</f>
        <v/>
      </c>
      <c r="BB326" s="83" t="str">
        <f>IFERROR(INDEX(입력!$Y$2:$Y$500, MATCH($BO326, 입력!$Z$2:$Z$500, 0)) &amp; "", "")</f>
        <v/>
      </c>
      <c r="BC326" s="83" t="s">
        <v>3112</v>
      </c>
      <c r="BD326" s="83"/>
      <c r="BE326" s="101"/>
      <c r="BF326" s="101"/>
      <c r="BG326" s="101"/>
      <c r="BH326" s="101"/>
      <c r="BI326" s="101"/>
      <c r="BJ326" s="101"/>
      <c r="BK326" s="110"/>
      <c r="BL326" s="21"/>
      <c r="BM326" s="22">
        <v>402</v>
      </c>
      <c r="BN326" s="23"/>
      <c r="BO326" s="47" t="s">
        <v>757</v>
      </c>
    </row>
    <row r="327" spans="1:67" x14ac:dyDescent="0.45">
      <c r="A327" s="19">
        <v>326</v>
      </c>
      <c r="B327" s="1" t="s">
        <v>1647</v>
      </c>
      <c r="C327" s="17" t="str">
        <f t="shared" si="43"/>
        <v>이행완료</v>
      </c>
      <c r="D327" s="17" t="str">
        <f t="shared" si="46"/>
        <v/>
      </c>
      <c r="E327" s="2" t="s">
        <v>1998</v>
      </c>
      <c r="F327" s="1" t="s">
        <v>758</v>
      </c>
      <c r="G327" s="1" t="s">
        <v>1999</v>
      </c>
      <c r="H327" s="18" t="s">
        <v>1462</v>
      </c>
      <c r="I327" s="19">
        <v>387</v>
      </c>
      <c r="J327" s="2"/>
      <c r="K327" s="20" t="s">
        <v>2501</v>
      </c>
      <c r="L327" s="20"/>
      <c r="M327" s="17" t="str">
        <f t="shared" si="44"/>
        <v>기축</v>
      </c>
      <c r="N327" s="21"/>
      <c r="O327" s="21"/>
      <c r="P327" s="1">
        <f t="shared" si="40"/>
        <v>8</v>
      </c>
      <c r="Q327" s="1">
        <v>12</v>
      </c>
      <c r="R327" s="64" t="str">
        <f>IFERROR(INDEX(입력!$J$2:$J$500, MATCH($BO327, 입력!$Z$2:$Z$500, 0)) &amp; "", "")</f>
        <v/>
      </c>
      <c r="S327" s="64" t="str">
        <f>IFERROR(INDEX(입력!$K$2:$K$500, MATCH($BO327, 입력!$Z$2:$Z$500, 0)) &amp; "", "")</f>
        <v/>
      </c>
      <c r="T327" s="64">
        <f>MAX(0, 표1[[#This Row],[의무_면수]]-표1[[#This Row],[면수합]])</f>
        <v>0</v>
      </c>
      <c r="U327" s="44" t="str">
        <f t="shared" si="41"/>
        <v>이행완료</v>
      </c>
      <c r="V327" s="1">
        <f t="shared" si="45"/>
        <v>8</v>
      </c>
      <c r="W327" s="1" t="str">
        <f t="shared" si="42"/>
        <v/>
      </c>
      <c r="X327" s="1">
        <v>12</v>
      </c>
      <c r="Y327" s="64" t="str">
        <f>IFERROR(INDEX(입력!$M$2:$M$500, MATCH($BO327, 입력!$Z$2:$Z$500, 0)) &amp; "", "")</f>
        <v/>
      </c>
      <c r="Z327" s="64" t="str">
        <f>IFERROR(INDEX(입력!$N$2:$N$500, MATCH($BO327, 입력!$Z$2:$Z$500, 0)) &amp; "", "")</f>
        <v/>
      </c>
      <c r="AA327" s="64">
        <f>MAX(0, 표1[[#This Row],[의무_시설]]-표1[[#This Row],[시설합]])</f>
        <v>0</v>
      </c>
      <c r="AB327" s="17" t="str">
        <f t="shared" si="47"/>
        <v>이행완료</v>
      </c>
      <c r="AC327" s="64" t="str">
        <f>IFERROR(INDEX(입력!$P$2:$P$500, MATCH($BO327, 입력!$Z$2:$Z$500, 0)) &amp; "", "")</f>
        <v/>
      </c>
      <c r="AD327" s="64" t="str">
        <f>IFERROR(INDEX(입력!$Q$2:$Q$500, MATCH($BO327, 입력!$Z$2:$Z$500, 0)) &amp; "", "")</f>
        <v/>
      </c>
      <c r="AE327" s="64" t="str">
        <f>IFERROR(INDEX(입력!$R$2:$R$500, MATCH($BO327, 입력!$Z$2:$Z$500, 0)) &amp; "", "")</f>
        <v/>
      </c>
      <c r="AF327" s="64" t="str">
        <f>IFERROR(INDEX(입력!$S$2:$S$500, MATCH($BO327, 입력!$Z$2:$Z$500, 0)) &amp; "", "")</f>
        <v/>
      </c>
      <c r="AG327" s="64" t="str">
        <f>IFERROR(INDEX(입력!$T$2:$T$500, MATCH($BO327, 입력!$Z$2:$Z$500, 0)) &amp; "", "")</f>
        <v/>
      </c>
      <c r="AH327" s="64" t="str">
        <f>IFERROR(INDEX(입력!$U$2:$U$500, MATCH($BO327, 입력!$Z$2:$Z$500, 0)) &amp; "", "")</f>
        <v/>
      </c>
      <c r="AI327" s="64" t="str">
        <f>IFERROR(INDEX(입력!$V$2:$V$500, MATCH($BO327, 입력!$Z$2:$Z$500, 0)) &amp; "", "")</f>
        <v/>
      </c>
      <c r="AJ327" s="44" t="str">
        <f>IFERROR(INDEX(입력!$W$2:$W$500, MATCH($BO327, 입력!$Z$2:$Z$500, 0)) &amp; "", "")</f>
        <v/>
      </c>
      <c r="AK327" s="44" t="str">
        <f>IFERROR(INDEX(입력!$X$2:$X$500, MATCH($BO327, 입력!$Z$2:$Z$500, 0)) &amp; "", "")</f>
        <v/>
      </c>
      <c r="AL327" s="2"/>
      <c r="AM327" s="17" t="s">
        <v>1650</v>
      </c>
      <c r="AN327" s="101">
        <v>2025</v>
      </c>
      <c r="AO327" s="17" t="s">
        <v>3274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3131</v>
      </c>
      <c r="AZ327" s="71" t="str">
        <f>IFERROR(IF(INDEX(입력!$C$2:$C$500, MATCH($BO327, 입력!$Z$2:$Z$500, 0))="", "", TEXT(INDEX(입력!$C$2:$C$500, MATCH($BO327, 입력!$Z$2:$Z$500, 0)), "yyyy-mm-dd")), "")</f>
        <v/>
      </c>
      <c r="BA327" s="44" t="str">
        <f>IFERROR(INDEX(입력!$B$2:$B$500, MATCH($BO327, 입력!$Z$2:$Z$500, 0)) &amp; "", "")</f>
        <v/>
      </c>
      <c r="BB327" s="83" t="str">
        <f>IFERROR(INDEX(입력!$Y$2:$Y$500, MATCH($BO327, 입력!$Z$2:$Z$500, 0)) &amp; "", "")</f>
        <v/>
      </c>
      <c r="BC327" s="83" t="s">
        <v>3112</v>
      </c>
      <c r="BD327" s="83"/>
      <c r="BE327" s="101"/>
      <c r="BF327" s="101"/>
      <c r="BG327" s="101"/>
      <c r="BH327" s="101"/>
      <c r="BI327" s="101"/>
      <c r="BJ327" s="101"/>
      <c r="BK327" s="110"/>
      <c r="BL327" s="21"/>
      <c r="BM327" s="22">
        <v>387</v>
      </c>
      <c r="BN327" s="23"/>
      <c r="BO327" s="47" t="s">
        <v>759</v>
      </c>
    </row>
    <row r="328" spans="1:67" x14ac:dyDescent="0.45">
      <c r="A328" s="46">
        <v>327</v>
      </c>
      <c r="B328" s="1" t="s">
        <v>1647</v>
      </c>
      <c r="C328" s="17" t="str">
        <f t="shared" si="43"/>
        <v>이행완료</v>
      </c>
      <c r="D328" s="17" t="str">
        <f t="shared" si="46"/>
        <v>조사완료</v>
      </c>
      <c r="E328" s="2" t="s">
        <v>2000</v>
      </c>
      <c r="F328" s="1" t="s">
        <v>760</v>
      </c>
      <c r="G328" s="1" t="s">
        <v>2001</v>
      </c>
      <c r="H328" s="18" t="s">
        <v>1462</v>
      </c>
      <c r="I328" s="19">
        <v>464</v>
      </c>
      <c r="J328" s="2"/>
      <c r="K328" s="20">
        <v>37636</v>
      </c>
      <c r="L328" s="20"/>
      <c r="M328" s="17" t="str">
        <f t="shared" si="44"/>
        <v>기축</v>
      </c>
      <c r="N328" s="21"/>
      <c r="O328" s="21"/>
      <c r="P328" s="1">
        <f t="shared" si="40"/>
        <v>9</v>
      </c>
      <c r="Q328" s="1">
        <v>9</v>
      </c>
      <c r="R328" s="64" t="str">
        <f>IFERROR(INDEX(입력!$J$2:$J$500, MATCH($BO328, 입력!$Z$2:$Z$500, 0)) &amp; "", "")</f>
        <v>9</v>
      </c>
      <c r="S328" s="64" t="str">
        <f>IFERROR(INDEX(입력!$K$2:$K$500, MATCH($BO328, 입력!$Z$2:$Z$500, 0)) &amp; "", "")</f>
        <v/>
      </c>
      <c r="T328" s="64">
        <f>MAX(0, 표1[[#This Row],[의무_면수]]-표1[[#This Row],[면수합]])</f>
        <v>0</v>
      </c>
      <c r="U328" s="44" t="str">
        <f t="shared" si="41"/>
        <v>이행완료</v>
      </c>
      <c r="V328" s="1">
        <f t="shared" si="45"/>
        <v>9</v>
      </c>
      <c r="W328" s="1" t="str">
        <f t="shared" si="42"/>
        <v/>
      </c>
      <c r="X328" s="1">
        <v>9</v>
      </c>
      <c r="Y328" s="64" t="str">
        <f>IFERROR(INDEX(입력!$M$2:$M$500, MATCH($BO328, 입력!$Z$2:$Z$500, 0)) &amp; "", "")</f>
        <v/>
      </c>
      <c r="Z328" s="64" t="str">
        <f>IFERROR(INDEX(입력!$N$2:$N$500, MATCH($BO328, 입력!$Z$2:$Z$500, 0)) &amp; "", "")</f>
        <v>9</v>
      </c>
      <c r="AA328" s="64">
        <f>MAX(0, 표1[[#This Row],[의무_시설]]-표1[[#This Row],[시설합]])</f>
        <v>0</v>
      </c>
      <c r="AB328" s="17" t="str">
        <f t="shared" si="47"/>
        <v>이행완료</v>
      </c>
      <c r="AC328" s="64" t="str">
        <f>IFERROR(INDEX(입력!$P$2:$P$500, MATCH($BO328, 입력!$Z$2:$Z$500, 0)) &amp; "", "")</f>
        <v>450</v>
      </c>
      <c r="AD328" s="64" t="str">
        <f>IFERROR(INDEX(입력!$Q$2:$Q$500, MATCH($BO328, 입력!$Z$2:$Z$500, 0)) &amp; "", "")</f>
        <v>17</v>
      </c>
      <c r="AE328" s="64" t="str">
        <f>IFERROR(INDEX(입력!$R$2:$R$500, MATCH($BO328, 입력!$Z$2:$Z$500, 0)) &amp; "", "")</f>
        <v>여</v>
      </c>
      <c r="AF328" s="64" t="str">
        <f>IFERROR(INDEX(입력!$S$2:$S$500, MATCH($BO328, 입력!$Z$2:$Z$500, 0)) &amp; "", "")</f>
        <v>여</v>
      </c>
      <c r="AG328" s="64" t="str">
        <f>IFERROR(INDEX(입력!$T$2:$T$500, MATCH($BO328, 입력!$Z$2:$Z$500, 0)) &amp; "", "")</f>
        <v>부</v>
      </c>
      <c r="AH328" s="64" t="str">
        <f>IFERROR(INDEX(입력!$U$2:$U$500, MATCH($BO328, 입력!$Z$2:$Z$500, 0)) &amp; "", "")</f>
        <v/>
      </c>
      <c r="AI328" s="64" t="str">
        <f>IFERROR(INDEX(입력!$V$2:$V$500, MATCH($BO328, 입력!$Z$2:$Z$500, 0)) &amp; "", "")</f>
        <v>여</v>
      </c>
      <c r="AJ328" s="44" t="str">
        <f>IFERROR(INDEX(입력!$W$2:$W$500, MATCH($BO328, 입력!$Z$2:$Z$500, 0)) &amp; "", "")</f>
        <v>이미례</v>
      </c>
      <c r="AK328" s="44" t="str">
        <f>IFERROR(INDEX(입력!$X$2:$X$500, MATCH($BO328, 입력!$Z$2:$Z$500, 0)) &amp; "", "")</f>
        <v>945-7030</v>
      </c>
      <c r="AL328" s="2" t="s">
        <v>48</v>
      </c>
      <c r="AM328" s="17" t="s">
        <v>1650</v>
      </c>
      <c r="AN328" s="101">
        <v>2025</v>
      </c>
      <c r="AO328" s="17" t="s">
        <v>3275</v>
      </c>
      <c r="AP328" s="118"/>
      <c r="AQ328" s="21"/>
      <c r="AR328" s="119"/>
      <c r="AS328" s="101" t="s">
        <v>3124</v>
      </c>
      <c r="AT328" s="109">
        <v>46034</v>
      </c>
      <c r="AU328" s="101" t="s">
        <v>3126</v>
      </c>
      <c r="AV328" s="21" t="s">
        <v>1726</v>
      </c>
      <c r="AW328" s="101"/>
      <c r="AX328" s="119" t="s">
        <v>2002</v>
      </c>
      <c r="AY328" s="83" t="s">
        <v>3137</v>
      </c>
      <c r="AZ328" s="71" t="str">
        <f>IFERROR(IF(INDEX(입력!$C$2:$C$500, MATCH($BO328, 입력!$Z$2:$Z$500, 0))="", "", TEXT(INDEX(입력!$C$2:$C$500, MATCH($BO328, 입력!$Z$2:$Z$500, 0)), "yyyy-mm-dd")), "")</f>
        <v>2026-04-10</v>
      </c>
      <c r="BA328" s="44" t="str">
        <f>IFERROR(INDEX(입력!$B$2:$B$500, MATCH($BO328, 입력!$Z$2:$Z$500, 0)) &amp; "", "")</f>
        <v>최하영</v>
      </c>
      <c r="BB328" s="83" t="str">
        <f>IFERROR(INDEX(입력!$Y$2:$Y$500, MATCH($BO328, 입력!$Z$2:$Z$500, 0)) &amp; "", "")</f>
        <v/>
      </c>
      <c r="BC328" s="83" t="s">
        <v>3112</v>
      </c>
      <c r="BD328" s="83"/>
      <c r="BE328" s="101"/>
      <c r="BF328" s="101"/>
      <c r="BG328" s="101"/>
      <c r="BH328" s="101"/>
      <c r="BI328" s="101"/>
      <c r="BJ328" s="101"/>
      <c r="BK328" s="110"/>
      <c r="BL328" s="21"/>
      <c r="BM328" s="22">
        <v>451</v>
      </c>
      <c r="BN328" s="23"/>
      <c r="BO328" s="47" t="s">
        <v>761</v>
      </c>
    </row>
    <row r="329" spans="1:67" x14ac:dyDescent="0.45">
      <c r="A329" s="19">
        <v>328</v>
      </c>
      <c r="B329" s="1" t="s">
        <v>1647</v>
      </c>
      <c r="C329" s="17" t="str">
        <f t="shared" si="43"/>
        <v>이행완료</v>
      </c>
      <c r="D329" s="17" t="str">
        <f t="shared" si="46"/>
        <v>조사완료</v>
      </c>
      <c r="E329" s="2" t="s">
        <v>2003</v>
      </c>
      <c r="F329" s="1" t="s">
        <v>762</v>
      </c>
      <c r="G329" s="1" t="s">
        <v>2004</v>
      </c>
      <c r="H329" s="18" t="s">
        <v>1066</v>
      </c>
      <c r="I329" s="19">
        <v>357</v>
      </c>
      <c r="J329" s="2"/>
      <c r="K329" s="20" t="s">
        <v>2337</v>
      </c>
      <c r="L329" s="20"/>
      <c r="M329" s="17" t="str">
        <f t="shared" si="44"/>
        <v>기축</v>
      </c>
      <c r="N329" s="21"/>
      <c r="O329" s="21" t="s">
        <v>3099</v>
      </c>
      <c r="P329" s="1">
        <f t="shared" si="40"/>
        <v>7</v>
      </c>
      <c r="Q329" s="1">
        <v>9</v>
      </c>
      <c r="R329" s="64" t="str">
        <f>IFERROR(INDEX(입력!$J$2:$J$500, MATCH($BO329, 입력!$Z$2:$Z$500, 0)) &amp; "", "")</f>
        <v>8</v>
      </c>
      <c r="S329" s="64" t="str">
        <f>IFERROR(INDEX(입력!$K$2:$K$500, MATCH($BO329, 입력!$Z$2:$Z$500, 0)) &amp; "", "")</f>
        <v>1</v>
      </c>
      <c r="T329" s="64">
        <f>MAX(0, 표1[[#This Row],[의무_면수]]-표1[[#This Row],[면수합]])</f>
        <v>0</v>
      </c>
      <c r="U329" s="44" t="str">
        <f t="shared" si="41"/>
        <v>이행완료</v>
      </c>
      <c r="V329" s="1">
        <f t="shared" si="45"/>
        <v>7</v>
      </c>
      <c r="W329" s="1" t="str">
        <f t="shared" si="42"/>
        <v/>
      </c>
      <c r="X329" s="1">
        <v>9</v>
      </c>
      <c r="Y329" s="64" t="str">
        <f>IFERROR(INDEX(입력!$M$2:$M$500, MATCH($BO329, 입력!$Z$2:$Z$500, 0)) &amp; "", "")</f>
        <v>1</v>
      </c>
      <c r="Z329" s="64" t="str">
        <f>IFERROR(INDEX(입력!$N$2:$N$500, MATCH($BO329, 입력!$Z$2:$Z$500, 0)) &amp; "", "")</f>
        <v>8</v>
      </c>
      <c r="AA329" s="64">
        <f>MAX(0, 표1[[#This Row],[의무_시설]]-표1[[#This Row],[시설합]])</f>
        <v>0</v>
      </c>
      <c r="AB329" s="17" t="str">
        <f t="shared" si="47"/>
        <v>이행완료</v>
      </c>
      <c r="AC329" s="64" t="str">
        <f>IFERROR(INDEX(입력!$P$2:$P$500, MATCH($BO329, 입력!$Z$2:$Z$500, 0)) &amp; "", "")</f>
        <v>397</v>
      </c>
      <c r="AD329" s="64" t="str">
        <f>IFERROR(INDEX(입력!$Q$2:$Q$500, MATCH($BO329, 입력!$Z$2:$Z$500, 0)) &amp; "", "")</f>
        <v/>
      </c>
      <c r="AE329" s="64" t="str">
        <f>IFERROR(INDEX(입력!$R$2:$R$500, MATCH($BO329, 입력!$Z$2:$Z$500, 0)) &amp; "", "")</f>
        <v>여</v>
      </c>
      <c r="AF329" s="64" t="str">
        <f>IFERROR(INDEX(입력!$S$2:$S$500, MATCH($BO329, 입력!$Z$2:$Z$500, 0)) &amp; "", "")</f>
        <v>여</v>
      </c>
      <c r="AG329" s="64" t="str">
        <f>IFERROR(INDEX(입력!$T$2:$T$500, MATCH($BO329, 입력!$Z$2:$Z$500, 0)) &amp; "", "")</f>
        <v/>
      </c>
      <c r="AH329" s="64" t="str">
        <f>IFERROR(INDEX(입력!$U$2:$U$500, MATCH($BO329, 입력!$Z$2:$Z$500, 0)) &amp; "", "")</f>
        <v/>
      </c>
      <c r="AI329" s="64" t="str">
        <f>IFERROR(INDEX(입력!$V$2:$V$500, MATCH($BO329, 입력!$Z$2:$Z$500, 0)) &amp; "", "")</f>
        <v>여</v>
      </c>
      <c r="AJ329" s="44" t="str">
        <f>IFERROR(INDEX(입력!$W$2:$W$500, MATCH($BO329, 입력!$Z$2:$Z$500, 0)) &amp; "", "")</f>
        <v>박해식</v>
      </c>
      <c r="AK329" s="44" t="str">
        <f>IFERROR(INDEX(입력!$X$2:$X$500, MATCH($BO329, 입력!$Z$2:$Z$500, 0)) &amp; "", "")</f>
        <v>010-6609-4436</v>
      </c>
      <c r="AL329" s="2" t="s">
        <v>2426</v>
      </c>
      <c r="AM329" s="17" t="s">
        <v>1650</v>
      </c>
      <c r="AN329" s="101">
        <v>2025</v>
      </c>
      <c r="AO329" s="17" t="s">
        <v>3274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3137</v>
      </c>
      <c r="AZ329" s="71" t="str">
        <f>IFERROR(IF(INDEX(입력!$C$2:$C$500, MATCH($BO329, 입력!$Z$2:$Z$500, 0))="", "", TEXT(INDEX(입력!$C$2:$C$500, MATCH($BO329, 입력!$Z$2:$Z$500, 0)), "yyyy-mm-dd")), "")</f>
        <v>2026-04-13</v>
      </c>
      <c r="BA329" s="44" t="str">
        <f>IFERROR(INDEX(입력!$B$2:$B$500, MATCH($BO329, 입력!$Z$2:$Z$500, 0)) &amp; "", "")</f>
        <v>이승수</v>
      </c>
      <c r="BB329" s="83" t="str">
        <f>IFERROR(INDEX(입력!$Y$2:$Y$500, MATCH($BO329, 입력!$Z$2:$Z$500, 0)) &amp; "", "")</f>
        <v/>
      </c>
      <c r="BC329" s="83" t="s">
        <v>3112</v>
      </c>
      <c r="BD329" s="83"/>
      <c r="BE329" s="101"/>
      <c r="BF329" s="101"/>
      <c r="BG329" s="101"/>
      <c r="BH329" s="101"/>
      <c r="BI329" s="101"/>
      <c r="BJ329" s="101"/>
      <c r="BK329" s="110"/>
      <c r="BL329" s="21" t="s">
        <v>3103</v>
      </c>
      <c r="BM329" s="22">
        <v>357</v>
      </c>
      <c r="BN329" s="23"/>
      <c r="BO329" s="47" t="s">
        <v>763</v>
      </c>
    </row>
    <row r="330" spans="1:67" x14ac:dyDescent="0.45">
      <c r="A330" s="46">
        <v>329</v>
      </c>
      <c r="B330" s="1" t="s">
        <v>1647</v>
      </c>
      <c r="C330" s="17" t="str">
        <f t="shared" si="43"/>
        <v>이행완료</v>
      </c>
      <c r="D330" s="17" t="str">
        <f t="shared" si="46"/>
        <v/>
      </c>
      <c r="E330" s="2" t="s">
        <v>2005</v>
      </c>
      <c r="F330" s="1" t="s">
        <v>764</v>
      </c>
      <c r="G330" s="1" t="s">
        <v>2006</v>
      </c>
      <c r="H330" s="18" t="s">
        <v>1172</v>
      </c>
      <c r="I330" s="19">
        <v>398</v>
      </c>
      <c r="J330" s="2"/>
      <c r="K330" s="20" t="s">
        <v>2598</v>
      </c>
      <c r="L330" s="20"/>
      <c r="M330" s="17" t="str">
        <f t="shared" si="44"/>
        <v>기축</v>
      </c>
      <c r="N330" s="21"/>
      <c r="O330" s="21"/>
      <c r="P330" s="1">
        <f t="shared" si="40"/>
        <v>8</v>
      </c>
      <c r="Q330" s="1">
        <v>8</v>
      </c>
      <c r="R330" s="64" t="str">
        <f>IFERROR(INDEX(입력!$J$2:$J$500, MATCH($BO330, 입력!$Z$2:$Z$500, 0)) &amp; "", "")</f>
        <v/>
      </c>
      <c r="S330" s="64" t="str">
        <f>IFERROR(INDEX(입력!$K$2:$K$500, MATCH($BO330, 입력!$Z$2:$Z$500, 0)) &amp; "", "")</f>
        <v/>
      </c>
      <c r="T330" s="64">
        <f>MAX(0, 표1[[#This Row],[의무_면수]]-표1[[#This Row],[면수합]])</f>
        <v>0</v>
      </c>
      <c r="U330" s="44" t="str">
        <f t="shared" si="41"/>
        <v>이행완료</v>
      </c>
      <c r="V330" s="1">
        <f t="shared" si="45"/>
        <v>8</v>
      </c>
      <c r="W330" s="1" t="str">
        <f t="shared" si="42"/>
        <v/>
      </c>
      <c r="X330" s="1">
        <v>8</v>
      </c>
      <c r="Y330" s="64" t="str">
        <f>IFERROR(INDEX(입력!$M$2:$M$500, MATCH($BO330, 입력!$Z$2:$Z$500, 0)) &amp; "", "")</f>
        <v/>
      </c>
      <c r="Z330" s="64" t="str">
        <f>IFERROR(INDEX(입력!$N$2:$N$500, MATCH($BO330, 입력!$Z$2:$Z$500, 0)) &amp; "", "")</f>
        <v/>
      </c>
      <c r="AA330" s="64">
        <f>MAX(0, 표1[[#This Row],[의무_시설]]-표1[[#This Row],[시설합]])</f>
        <v>0</v>
      </c>
      <c r="AB330" s="17" t="str">
        <f t="shared" si="47"/>
        <v>이행완료</v>
      </c>
      <c r="AC330" s="64" t="str">
        <f>IFERROR(INDEX(입력!$P$2:$P$500, MATCH($BO330, 입력!$Z$2:$Z$500, 0)) &amp; "", "")</f>
        <v/>
      </c>
      <c r="AD330" s="64" t="str">
        <f>IFERROR(INDEX(입력!$Q$2:$Q$500, MATCH($BO330, 입력!$Z$2:$Z$500, 0)) &amp; "", "")</f>
        <v/>
      </c>
      <c r="AE330" s="64" t="str">
        <f>IFERROR(INDEX(입력!$R$2:$R$500, MATCH($BO330, 입력!$Z$2:$Z$500, 0)) &amp; "", "")</f>
        <v/>
      </c>
      <c r="AF330" s="64" t="str">
        <f>IFERROR(INDEX(입력!$S$2:$S$500, MATCH($BO330, 입력!$Z$2:$Z$500, 0)) &amp; "", "")</f>
        <v/>
      </c>
      <c r="AG330" s="64" t="str">
        <f>IFERROR(INDEX(입력!$T$2:$T$500, MATCH($BO330, 입력!$Z$2:$Z$500, 0)) &amp; "", "")</f>
        <v/>
      </c>
      <c r="AH330" s="64" t="str">
        <f>IFERROR(INDEX(입력!$U$2:$U$500, MATCH($BO330, 입력!$Z$2:$Z$500, 0)) &amp; "", "")</f>
        <v/>
      </c>
      <c r="AI330" s="64" t="str">
        <f>IFERROR(INDEX(입력!$V$2:$V$500, MATCH($BO330, 입력!$Z$2:$Z$500, 0)) &amp; "", "")</f>
        <v/>
      </c>
      <c r="AJ330" s="44" t="str">
        <f>IFERROR(INDEX(입력!$W$2:$W$500, MATCH($BO330, 입력!$Z$2:$Z$500, 0)) &amp; "", "")</f>
        <v/>
      </c>
      <c r="AK330" s="44" t="str">
        <f>IFERROR(INDEX(입력!$X$2:$X$500, MATCH($BO330, 입력!$Z$2:$Z$500, 0)) &amp; "", "")</f>
        <v/>
      </c>
      <c r="AL330" s="2"/>
      <c r="AM330" s="17" t="s">
        <v>1650</v>
      </c>
      <c r="AN330" s="101">
        <v>2025</v>
      </c>
      <c r="AO330" s="17" t="s">
        <v>3277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3137</v>
      </c>
      <c r="AZ330" s="71" t="str">
        <f>IFERROR(IF(INDEX(입력!$C$2:$C$500, MATCH($BO330, 입력!$Z$2:$Z$500, 0))="", "", TEXT(INDEX(입력!$C$2:$C$500, MATCH($BO330, 입력!$Z$2:$Z$500, 0)), "yyyy-mm-dd")), "")</f>
        <v/>
      </c>
      <c r="BA330" s="44" t="str">
        <f>IFERROR(INDEX(입력!$B$2:$B$500, MATCH($BO330, 입력!$Z$2:$Z$500, 0)) &amp; "", "")</f>
        <v/>
      </c>
      <c r="BB330" s="83" t="str">
        <f>IFERROR(INDEX(입력!$Y$2:$Y$500, MATCH($BO330, 입력!$Z$2:$Z$500, 0)) &amp; "", "")</f>
        <v/>
      </c>
      <c r="BC330" s="83" t="s">
        <v>3112</v>
      </c>
      <c r="BD330" s="83"/>
      <c r="BE330" s="101"/>
      <c r="BF330" s="101"/>
      <c r="BG330" s="101"/>
      <c r="BH330" s="101"/>
      <c r="BI330" s="101"/>
      <c r="BJ330" s="101"/>
      <c r="BK330" s="110"/>
      <c r="BL330" s="21"/>
      <c r="BM330" s="22">
        <v>398</v>
      </c>
      <c r="BN330" s="23"/>
      <c r="BO330" s="47" t="s">
        <v>765</v>
      </c>
    </row>
    <row r="331" spans="1:67" x14ac:dyDescent="0.45">
      <c r="A331" s="19">
        <v>330</v>
      </c>
      <c r="B331" s="1" t="s">
        <v>1647</v>
      </c>
      <c r="C331" s="17" t="str">
        <f t="shared" si="43"/>
        <v>이행완료</v>
      </c>
      <c r="D331" s="17" t="str">
        <f t="shared" si="46"/>
        <v/>
      </c>
      <c r="E331" s="2" t="s">
        <v>2007</v>
      </c>
      <c r="F331" s="1" t="s">
        <v>766</v>
      </c>
      <c r="G331" s="1" t="s">
        <v>2008</v>
      </c>
      <c r="H331" s="18" t="s">
        <v>1172</v>
      </c>
      <c r="I331" s="19">
        <v>616</v>
      </c>
      <c r="J331" s="2"/>
      <c r="K331" s="20" t="s">
        <v>2606</v>
      </c>
      <c r="L331" s="20"/>
      <c r="M331" s="17" t="str">
        <f t="shared" si="44"/>
        <v>기축</v>
      </c>
      <c r="N331" s="21"/>
      <c r="O331" s="21"/>
      <c r="P331" s="1">
        <f t="shared" si="40"/>
        <v>12</v>
      </c>
      <c r="Q331" s="1">
        <v>13</v>
      </c>
      <c r="R331" s="64" t="str">
        <f>IFERROR(INDEX(입력!$J$2:$J$500, MATCH($BO331, 입력!$Z$2:$Z$500, 0)) &amp; "", "")</f>
        <v/>
      </c>
      <c r="S331" s="64" t="str">
        <f>IFERROR(INDEX(입력!$K$2:$K$500, MATCH($BO331, 입력!$Z$2:$Z$500, 0)) &amp; "", "")</f>
        <v/>
      </c>
      <c r="T331" s="64">
        <f>MAX(0, 표1[[#This Row],[의무_면수]]-표1[[#This Row],[면수합]])</f>
        <v>0</v>
      </c>
      <c r="U331" s="44" t="str">
        <f t="shared" si="41"/>
        <v>이행완료</v>
      </c>
      <c r="V331" s="1">
        <f t="shared" si="45"/>
        <v>12</v>
      </c>
      <c r="W331" s="1" t="str">
        <f t="shared" si="42"/>
        <v/>
      </c>
      <c r="X331" s="1">
        <v>13</v>
      </c>
      <c r="Y331" s="64" t="str">
        <f>IFERROR(INDEX(입력!$M$2:$M$500, MATCH($BO331, 입력!$Z$2:$Z$500, 0)) &amp; "", "")</f>
        <v/>
      </c>
      <c r="Z331" s="64" t="str">
        <f>IFERROR(INDEX(입력!$N$2:$N$500, MATCH($BO331, 입력!$Z$2:$Z$500, 0)) &amp; "", "")</f>
        <v/>
      </c>
      <c r="AA331" s="64">
        <f>MAX(0, 표1[[#This Row],[의무_시설]]-표1[[#This Row],[시설합]])</f>
        <v>0</v>
      </c>
      <c r="AB331" s="17" t="str">
        <f t="shared" si="47"/>
        <v>이행완료</v>
      </c>
      <c r="AC331" s="64" t="str">
        <f>IFERROR(INDEX(입력!$P$2:$P$500, MATCH($BO331, 입력!$Z$2:$Z$500, 0)) &amp; "", "")</f>
        <v/>
      </c>
      <c r="AD331" s="64" t="str">
        <f>IFERROR(INDEX(입력!$Q$2:$Q$500, MATCH($BO331, 입력!$Z$2:$Z$500, 0)) &amp; "", "")</f>
        <v/>
      </c>
      <c r="AE331" s="64" t="str">
        <f>IFERROR(INDEX(입력!$R$2:$R$500, MATCH($BO331, 입력!$Z$2:$Z$500, 0)) &amp; "", "")</f>
        <v/>
      </c>
      <c r="AF331" s="64" t="str">
        <f>IFERROR(INDEX(입력!$S$2:$S$500, MATCH($BO331, 입력!$Z$2:$Z$500, 0)) &amp; "", "")</f>
        <v/>
      </c>
      <c r="AG331" s="64" t="str">
        <f>IFERROR(INDEX(입력!$T$2:$T$500, MATCH($BO331, 입력!$Z$2:$Z$500, 0)) &amp; "", "")</f>
        <v/>
      </c>
      <c r="AH331" s="64" t="str">
        <f>IFERROR(INDEX(입력!$U$2:$U$500, MATCH($BO331, 입력!$Z$2:$Z$500, 0)) &amp; "", "")</f>
        <v/>
      </c>
      <c r="AI331" s="64" t="str">
        <f>IFERROR(INDEX(입력!$V$2:$V$500, MATCH($BO331, 입력!$Z$2:$Z$500, 0)) &amp; "", "")</f>
        <v/>
      </c>
      <c r="AJ331" s="44" t="str">
        <f>IFERROR(INDEX(입력!$W$2:$W$500, MATCH($BO331, 입력!$Z$2:$Z$500, 0)) &amp; "", "")</f>
        <v/>
      </c>
      <c r="AK331" s="44" t="str">
        <f>IFERROR(INDEX(입력!$X$2:$X$500, MATCH($BO331, 입력!$Z$2:$Z$500, 0)) &amp; "", "")</f>
        <v/>
      </c>
      <c r="AL331" s="2"/>
      <c r="AM331" s="17" t="s">
        <v>1650</v>
      </c>
      <c r="AN331" s="101">
        <v>2025</v>
      </c>
      <c r="AO331" s="17" t="s">
        <v>3275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3131</v>
      </c>
      <c r="AZ331" s="71" t="str">
        <f>IFERROR(IF(INDEX(입력!$C$2:$C$500, MATCH($BO331, 입력!$Z$2:$Z$500, 0))="", "", TEXT(INDEX(입력!$C$2:$C$500, MATCH($BO331, 입력!$Z$2:$Z$500, 0)), "yyyy-mm-dd")), "")</f>
        <v/>
      </c>
      <c r="BA331" s="44" t="str">
        <f>IFERROR(INDEX(입력!$B$2:$B$500, MATCH($BO331, 입력!$Z$2:$Z$500, 0)) &amp; "", "")</f>
        <v/>
      </c>
      <c r="BB331" s="83" t="str">
        <f>IFERROR(INDEX(입력!$Y$2:$Y$500, MATCH($BO331, 입력!$Z$2:$Z$500, 0)) &amp; "", "")</f>
        <v/>
      </c>
      <c r="BC331" s="83" t="s">
        <v>3112</v>
      </c>
      <c r="BD331" s="83"/>
      <c r="BE331" s="101"/>
      <c r="BF331" s="101"/>
      <c r="BG331" s="101"/>
      <c r="BH331" s="101"/>
      <c r="BI331" s="101"/>
      <c r="BJ331" s="101"/>
      <c r="BK331" s="110"/>
      <c r="BL331" s="21"/>
      <c r="BM331" s="22">
        <v>608</v>
      </c>
      <c r="BN331" s="23"/>
      <c r="BO331" s="47" t="s">
        <v>767</v>
      </c>
    </row>
    <row r="332" spans="1:67" x14ac:dyDescent="0.45">
      <c r="A332" s="46">
        <v>331</v>
      </c>
      <c r="B332" s="1" t="s">
        <v>1647</v>
      </c>
      <c r="C332" s="17" t="str">
        <f t="shared" si="43"/>
        <v>이행완료</v>
      </c>
      <c r="D332" s="17" t="str">
        <f t="shared" si="46"/>
        <v/>
      </c>
      <c r="E332" s="2" t="s">
        <v>2009</v>
      </c>
      <c r="F332" s="1" t="s">
        <v>768</v>
      </c>
      <c r="G332" s="1" t="s">
        <v>2010</v>
      </c>
      <c r="H332" s="18" t="s">
        <v>1172</v>
      </c>
      <c r="I332" s="19">
        <v>520</v>
      </c>
      <c r="J332" s="2"/>
      <c r="K332" s="20" t="s">
        <v>2511</v>
      </c>
      <c r="L332" s="20"/>
      <c r="M332" s="17" t="str">
        <f t="shared" si="44"/>
        <v>기축</v>
      </c>
      <c r="N332" s="21"/>
      <c r="O332" s="21"/>
      <c r="P332" s="1">
        <f t="shared" si="40"/>
        <v>10</v>
      </c>
      <c r="Q332" s="1">
        <v>11</v>
      </c>
      <c r="R332" s="64" t="str">
        <f>IFERROR(INDEX(입력!$J$2:$J$500, MATCH($BO332, 입력!$Z$2:$Z$500, 0)) &amp; "", "")</f>
        <v/>
      </c>
      <c r="S332" s="64" t="str">
        <f>IFERROR(INDEX(입력!$K$2:$K$500, MATCH($BO332, 입력!$Z$2:$Z$500, 0)) &amp; "", "")</f>
        <v/>
      </c>
      <c r="T332" s="64">
        <f>MAX(0, 표1[[#This Row],[의무_면수]]-표1[[#This Row],[면수합]])</f>
        <v>0</v>
      </c>
      <c r="U332" s="44" t="str">
        <f t="shared" si="41"/>
        <v>이행완료</v>
      </c>
      <c r="V332" s="1">
        <f t="shared" si="45"/>
        <v>10</v>
      </c>
      <c r="W332" s="1" t="str">
        <f t="shared" si="42"/>
        <v/>
      </c>
      <c r="X332" s="1">
        <v>11</v>
      </c>
      <c r="Y332" s="64" t="str">
        <f>IFERROR(INDEX(입력!$M$2:$M$500, MATCH($BO332, 입력!$Z$2:$Z$500, 0)) &amp; "", "")</f>
        <v/>
      </c>
      <c r="Z332" s="64" t="str">
        <f>IFERROR(INDEX(입력!$N$2:$N$500, MATCH($BO332, 입력!$Z$2:$Z$500, 0)) &amp; "", "")</f>
        <v/>
      </c>
      <c r="AA332" s="64">
        <f>MAX(0, 표1[[#This Row],[의무_시설]]-표1[[#This Row],[시설합]])</f>
        <v>0</v>
      </c>
      <c r="AB332" s="17" t="str">
        <f t="shared" si="47"/>
        <v>이행완료</v>
      </c>
      <c r="AC332" s="64" t="str">
        <f>IFERROR(INDEX(입력!$P$2:$P$500, MATCH($BO332, 입력!$Z$2:$Z$500, 0)) &amp; "", "")</f>
        <v/>
      </c>
      <c r="AD332" s="64" t="str">
        <f>IFERROR(INDEX(입력!$Q$2:$Q$500, MATCH($BO332, 입력!$Z$2:$Z$500, 0)) &amp; "", "")</f>
        <v/>
      </c>
      <c r="AE332" s="64" t="str">
        <f>IFERROR(INDEX(입력!$R$2:$R$500, MATCH($BO332, 입력!$Z$2:$Z$500, 0)) &amp; "", "")</f>
        <v/>
      </c>
      <c r="AF332" s="64" t="str">
        <f>IFERROR(INDEX(입력!$S$2:$S$500, MATCH($BO332, 입력!$Z$2:$Z$500, 0)) &amp; "", "")</f>
        <v/>
      </c>
      <c r="AG332" s="64" t="str">
        <f>IFERROR(INDEX(입력!$T$2:$T$500, MATCH($BO332, 입력!$Z$2:$Z$500, 0)) &amp; "", "")</f>
        <v/>
      </c>
      <c r="AH332" s="64" t="str">
        <f>IFERROR(INDEX(입력!$U$2:$U$500, MATCH($BO332, 입력!$Z$2:$Z$500, 0)) &amp; "", "")</f>
        <v/>
      </c>
      <c r="AI332" s="64" t="str">
        <f>IFERROR(INDEX(입력!$V$2:$V$500, MATCH($BO332, 입력!$Z$2:$Z$500, 0)) &amp; "", "")</f>
        <v/>
      </c>
      <c r="AJ332" s="44" t="str">
        <f>IFERROR(INDEX(입력!$W$2:$W$500, MATCH($BO332, 입력!$Z$2:$Z$500, 0)) &amp; "", "")</f>
        <v/>
      </c>
      <c r="AK332" s="44" t="str">
        <f>IFERROR(INDEX(입력!$X$2:$X$500, MATCH($BO332, 입력!$Z$2:$Z$500, 0)) &amp; "", "")</f>
        <v/>
      </c>
      <c r="AL332" s="2"/>
      <c r="AM332" s="17" t="s">
        <v>1650</v>
      </c>
      <c r="AN332" s="101">
        <v>2025</v>
      </c>
      <c r="AO332" s="17" t="s">
        <v>3274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3132</v>
      </c>
      <c r="AZ332" s="71" t="str">
        <f>IFERROR(IF(INDEX(입력!$C$2:$C$500, MATCH($BO332, 입력!$Z$2:$Z$500, 0))="", "", TEXT(INDEX(입력!$C$2:$C$500, MATCH($BO332, 입력!$Z$2:$Z$500, 0)), "yyyy-mm-dd")), "")</f>
        <v/>
      </c>
      <c r="BA332" s="44" t="str">
        <f>IFERROR(INDEX(입력!$B$2:$B$500, MATCH($BO332, 입력!$Z$2:$Z$500, 0)) &amp; "", "")</f>
        <v/>
      </c>
      <c r="BB332" s="83" t="str">
        <f>IFERROR(INDEX(입력!$Y$2:$Y$500, MATCH($BO332, 입력!$Z$2:$Z$500, 0)) &amp; "", "")</f>
        <v/>
      </c>
      <c r="BC332" s="83" t="s">
        <v>3112</v>
      </c>
      <c r="BD332" s="83"/>
      <c r="BE332" s="101"/>
      <c r="BF332" s="101"/>
      <c r="BG332" s="101"/>
      <c r="BH332" s="101"/>
      <c r="BI332" s="101"/>
      <c r="BJ332" s="101"/>
      <c r="BK332" s="110"/>
      <c r="BL332" s="21"/>
      <c r="BM332" s="22">
        <v>520</v>
      </c>
      <c r="BN332" s="23"/>
      <c r="BO332" s="47" t="s">
        <v>769</v>
      </c>
    </row>
    <row r="333" spans="1:67" x14ac:dyDescent="0.45">
      <c r="A333" s="19">
        <v>332</v>
      </c>
      <c r="B333" s="1" t="s">
        <v>1647</v>
      </c>
      <c r="C333" s="17" t="str">
        <f t="shared" si="43"/>
        <v>이행완료</v>
      </c>
      <c r="D333" s="17" t="str">
        <f t="shared" si="46"/>
        <v/>
      </c>
      <c r="E333" s="2" t="s">
        <v>2011</v>
      </c>
      <c r="F333" s="1" t="s">
        <v>770</v>
      </c>
      <c r="G333" s="1" t="s">
        <v>2012</v>
      </c>
      <c r="H333" s="18" t="s">
        <v>1266</v>
      </c>
      <c r="I333" s="19">
        <v>784</v>
      </c>
      <c r="J333" s="2"/>
      <c r="K333" s="20" t="s">
        <v>2512</v>
      </c>
      <c r="L333" s="20"/>
      <c r="M333" s="17" t="str">
        <f t="shared" si="44"/>
        <v>기축</v>
      </c>
      <c r="N333" s="21"/>
      <c r="O333" s="21"/>
      <c r="P333" s="1">
        <f t="shared" si="40"/>
        <v>16</v>
      </c>
      <c r="Q333" s="1">
        <v>20</v>
      </c>
      <c r="R333" s="64" t="str">
        <f>IFERROR(INDEX(입력!$J$2:$J$500, MATCH($BO333, 입력!$Z$2:$Z$500, 0)) &amp; "", "")</f>
        <v/>
      </c>
      <c r="S333" s="64" t="str">
        <f>IFERROR(INDEX(입력!$K$2:$K$500, MATCH($BO333, 입력!$Z$2:$Z$500, 0)) &amp; "", "")</f>
        <v/>
      </c>
      <c r="T333" s="64">
        <f>MAX(0, 표1[[#This Row],[의무_면수]]-표1[[#This Row],[면수합]])</f>
        <v>0</v>
      </c>
      <c r="U333" s="44" t="str">
        <f t="shared" si="41"/>
        <v>이행완료</v>
      </c>
      <c r="V333" s="1">
        <f t="shared" si="45"/>
        <v>16</v>
      </c>
      <c r="W333" s="1" t="str">
        <f t="shared" si="42"/>
        <v/>
      </c>
      <c r="X333" s="1">
        <v>20</v>
      </c>
      <c r="Y333" s="64" t="str">
        <f>IFERROR(INDEX(입력!$M$2:$M$500, MATCH($BO333, 입력!$Z$2:$Z$500, 0)) &amp; "", "")</f>
        <v/>
      </c>
      <c r="Z333" s="64" t="str">
        <f>IFERROR(INDEX(입력!$N$2:$N$500, MATCH($BO333, 입력!$Z$2:$Z$500, 0)) &amp; "", "")</f>
        <v/>
      </c>
      <c r="AA333" s="64">
        <f>MAX(0, 표1[[#This Row],[의무_시설]]-표1[[#This Row],[시설합]])</f>
        <v>0</v>
      </c>
      <c r="AB333" s="17" t="str">
        <f t="shared" si="47"/>
        <v>이행완료</v>
      </c>
      <c r="AC333" s="64" t="str">
        <f>IFERROR(INDEX(입력!$P$2:$P$500, MATCH($BO333, 입력!$Z$2:$Z$500, 0)) &amp; "", "")</f>
        <v/>
      </c>
      <c r="AD333" s="64" t="str">
        <f>IFERROR(INDEX(입력!$Q$2:$Q$500, MATCH($BO333, 입력!$Z$2:$Z$500, 0)) &amp; "", "")</f>
        <v/>
      </c>
      <c r="AE333" s="64" t="str">
        <f>IFERROR(INDEX(입력!$R$2:$R$500, MATCH($BO333, 입력!$Z$2:$Z$500, 0)) &amp; "", "")</f>
        <v/>
      </c>
      <c r="AF333" s="64" t="str">
        <f>IFERROR(INDEX(입력!$S$2:$S$500, MATCH($BO333, 입력!$Z$2:$Z$500, 0)) &amp; "", "")</f>
        <v/>
      </c>
      <c r="AG333" s="64" t="str">
        <f>IFERROR(INDEX(입력!$T$2:$T$500, MATCH($BO333, 입력!$Z$2:$Z$500, 0)) &amp; "", "")</f>
        <v/>
      </c>
      <c r="AH333" s="64" t="str">
        <f>IFERROR(INDEX(입력!$U$2:$U$500, MATCH($BO333, 입력!$Z$2:$Z$500, 0)) &amp; "", "")</f>
        <v/>
      </c>
      <c r="AI333" s="64" t="str">
        <f>IFERROR(INDEX(입력!$V$2:$V$500, MATCH($BO333, 입력!$Z$2:$Z$500, 0)) &amp; "", "")</f>
        <v/>
      </c>
      <c r="AJ333" s="44" t="str">
        <f>IFERROR(INDEX(입력!$W$2:$W$500, MATCH($BO333, 입력!$Z$2:$Z$500, 0)) &amp; "", "")</f>
        <v/>
      </c>
      <c r="AK333" s="44" t="str">
        <f>IFERROR(INDEX(입력!$X$2:$X$500, MATCH($BO333, 입력!$Z$2:$Z$500, 0)) &amp; "", "")</f>
        <v/>
      </c>
      <c r="AL333" s="2"/>
      <c r="AM333" s="17" t="s">
        <v>1650</v>
      </c>
      <c r="AN333" s="101">
        <v>2025</v>
      </c>
      <c r="AO333" s="17" t="s">
        <v>3275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3132</v>
      </c>
      <c r="AZ333" s="71" t="str">
        <f>IFERROR(IF(INDEX(입력!$C$2:$C$500, MATCH($BO333, 입력!$Z$2:$Z$500, 0))="", "", TEXT(INDEX(입력!$C$2:$C$500, MATCH($BO333, 입력!$Z$2:$Z$500, 0)), "yyyy-mm-dd")), "")</f>
        <v/>
      </c>
      <c r="BA333" s="44" t="str">
        <f>IFERROR(INDEX(입력!$B$2:$B$500, MATCH($BO333, 입력!$Z$2:$Z$500, 0)) &amp; "", "")</f>
        <v/>
      </c>
      <c r="BB333" s="83" t="str">
        <f>IFERROR(INDEX(입력!$Y$2:$Y$500, MATCH($BO333, 입력!$Z$2:$Z$500, 0)) &amp; "", "")</f>
        <v/>
      </c>
      <c r="BC333" s="83" t="s">
        <v>3112</v>
      </c>
      <c r="BD333" s="83"/>
      <c r="BE333" s="101"/>
      <c r="BF333" s="101"/>
      <c r="BG333" s="101"/>
      <c r="BH333" s="101"/>
      <c r="BI333" s="101"/>
      <c r="BJ333" s="101"/>
      <c r="BK333" s="110"/>
      <c r="BL333" s="21"/>
      <c r="BM333" s="22">
        <v>784</v>
      </c>
      <c r="BN333" s="23"/>
      <c r="BO333" s="47" t="s">
        <v>771</v>
      </c>
    </row>
    <row r="334" spans="1:67" x14ac:dyDescent="0.45">
      <c r="A334" s="46">
        <v>333</v>
      </c>
      <c r="B334" s="1" t="s">
        <v>1647</v>
      </c>
      <c r="C334" s="17" t="str">
        <f t="shared" si="43"/>
        <v>이행완료</v>
      </c>
      <c r="D334" s="17" t="str">
        <f t="shared" si="46"/>
        <v/>
      </c>
      <c r="E334" s="2" t="s">
        <v>2013</v>
      </c>
      <c r="F334" s="1" t="s">
        <v>772</v>
      </c>
      <c r="G334" s="1" t="s">
        <v>2014</v>
      </c>
      <c r="H334" s="18" t="s">
        <v>1266</v>
      </c>
      <c r="I334" s="19">
        <v>677</v>
      </c>
      <c r="J334" s="2"/>
      <c r="K334" s="20" t="s">
        <v>2503</v>
      </c>
      <c r="L334" s="20"/>
      <c r="M334" s="17" t="str">
        <f t="shared" si="44"/>
        <v>기축</v>
      </c>
      <c r="N334" s="21"/>
      <c r="O334" s="21"/>
      <c r="P334" s="1">
        <f t="shared" si="40"/>
        <v>14</v>
      </c>
      <c r="Q334" s="1">
        <v>14</v>
      </c>
      <c r="R334" s="64" t="str">
        <f>IFERROR(INDEX(입력!$J$2:$J$500, MATCH($BO334, 입력!$Z$2:$Z$500, 0)) &amp; "", "")</f>
        <v/>
      </c>
      <c r="S334" s="64" t="str">
        <f>IFERROR(INDEX(입력!$K$2:$K$500, MATCH($BO334, 입력!$Z$2:$Z$500, 0)) &amp; "", "")</f>
        <v/>
      </c>
      <c r="T334" s="64">
        <f>MAX(0, 표1[[#This Row],[의무_면수]]-표1[[#This Row],[면수합]])</f>
        <v>0</v>
      </c>
      <c r="U334" s="44" t="str">
        <f t="shared" si="41"/>
        <v>이행완료</v>
      </c>
      <c r="V334" s="1">
        <f t="shared" si="45"/>
        <v>14</v>
      </c>
      <c r="W334" s="1" t="str">
        <f t="shared" si="42"/>
        <v/>
      </c>
      <c r="X334" s="1">
        <v>14</v>
      </c>
      <c r="Y334" s="64" t="str">
        <f>IFERROR(INDEX(입력!$M$2:$M$500, MATCH($BO334, 입력!$Z$2:$Z$500, 0)) &amp; "", "")</f>
        <v/>
      </c>
      <c r="Z334" s="64" t="str">
        <f>IFERROR(INDEX(입력!$N$2:$N$500, MATCH($BO334, 입력!$Z$2:$Z$500, 0)) &amp; "", "")</f>
        <v/>
      </c>
      <c r="AA334" s="64">
        <f>MAX(0, 표1[[#This Row],[의무_시설]]-표1[[#This Row],[시설합]])</f>
        <v>0</v>
      </c>
      <c r="AB334" s="17" t="str">
        <f t="shared" si="47"/>
        <v>이행완료</v>
      </c>
      <c r="AC334" s="64" t="str">
        <f>IFERROR(INDEX(입력!$P$2:$P$500, MATCH($BO334, 입력!$Z$2:$Z$500, 0)) &amp; "", "")</f>
        <v/>
      </c>
      <c r="AD334" s="64" t="str">
        <f>IFERROR(INDEX(입력!$Q$2:$Q$500, MATCH($BO334, 입력!$Z$2:$Z$500, 0)) &amp; "", "")</f>
        <v/>
      </c>
      <c r="AE334" s="64" t="str">
        <f>IFERROR(INDEX(입력!$R$2:$R$500, MATCH($BO334, 입력!$Z$2:$Z$500, 0)) &amp; "", "")</f>
        <v/>
      </c>
      <c r="AF334" s="64" t="str">
        <f>IFERROR(INDEX(입력!$S$2:$S$500, MATCH($BO334, 입력!$Z$2:$Z$500, 0)) &amp; "", "")</f>
        <v/>
      </c>
      <c r="AG334" s="64" t="str">
        <f>IFERROR(INDEX(입력!$T$2:$T$500, MATCH($BO334, 입력!$Z$2:$Z$500, 0)) &amp; "", "")</f>
        <v/>
      </c>
      <c r="AH334" s="64" t="str">
        <f>IFERROR(INDEX(입력!$U$2:$U$500, MATCH($BO334, 입력!$Z$2:$Z$500, 0)) &amp; "", "")</f>
        <v/>
      </c>
      <c r="AI334" s="64" t="str">
        <f>IFERROR(INDEX(입력!$V$2:$V$500, MATCH($BO334, 입력!$Z$2:$Z$500, 0)) &amp; "", "")</f>
        <v/>
      </c>
      <c r="AJ334" s="44" t="str">
        <f>IFERROR(INDEX(입력!$W$2:$W$500, MATCH($BO334, 입력!$Z$2:$Z$500, 0)) &amp; "", "")</f>
        <v/>
      </c>
      <c r="AK334" s="44" t="str">
        <f>IFERROR(INDEX(입력!$X$2:$X$500, MATCH($BO334, 입력!$Z$2:$Z$500, 0)) &amp; "", "")</f>
        <v/>
      </c>
      <c r="AL334" s="2"/>
      <c r="AM334" s="17" t="s">
        <v>1650</v>
      </c>
      <c r="AN334" s="101">
        <v>2025</v>
      </c>
      <c r="AO334" s="17" t="s">
        <v>3274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3137</v>
      </c>
      <c r="AZ334" s="71" t="str">
        <f>IFERROR(IF(INDEX(입력!$C$2:$C$500, MATCH($BO334, 입력!$Z$2:$Z$500, 0))="", "", TEXT(INDEX(입력!$C$2:$C$500, MATCH($BO334, 입력!$Z$2:$Z$500, 0)), "yyyy-mm-dd")), "")</f>
        <v/>
      </c>
      <c r="BA334" s="44" t="str">
        <f>IFERROR(INDEX(입력!$B$2:$B$500, MATCH($BO334, 입력!$Z$2:$Z$500, 0)) &amp; "", "")</f>
        <v/>
      </c>
      <c r="BB334" s="83" t="str">
        <f>IFERROR(INDEX(입력!$Y$2:$Y$500, MATCH($BO334, 입력!$Z$2:$Z$500, 0)) &amp; "", "")</f>
        <v/>
      </c>
      <c r="BC334" s="83" t="s">
        <v>3112</v>
      </c>
      <c r="BD334" s="83"/>
      <c r="BE334" s="101"/>
      <c r="BF334" s="101"/>
      <c r="BG334" s="101"/>
      <c r="BH334" s="101"/>
      <c r="BI334" s="101"/>
      <c r="BJ334" s="101"/>
      <c r="BK334" s="110"/>
      <c r="BL334" s="21"/>
      <c r="BM334" s="22">
        <v>704</v>
      </c>
      <c r="BN334" s="23"/>
      <c r="BO334" s="47" t="s">
        <v>773</v>
      </c>
    </row>
    <row r="335" spans="1:67" x14ac:dyDescent="0.45">
      <c r="A335" s="19">
        <v>334</v>
      </c>
      <c r="B335" s="1" t="s">
        <v>1647</v>
      </c>
      <c r="C335" s="17" t="str">
        <f t="shared" si="43"/>
        <v>이행완료</v>
      </c>
      <c r="D335" s="17" t="str">
        <f t="shared" si="46"/>
        <v/>
      </c>
      <c r="E335" s="2" t="s">
        <v>2015</v>
      </c>
      <c r="F335" s="1" t="s">
        <v>774</v>
      </c>
      <c r="G335" s="1" t="s">
        <v>2016</v>
      </c>
      <c r="H335" s="18" t="s">
        <v>1266</v>
      </c>
      <c r="I335" s="19">
        <v>291</v>
      </c>
      <c r="J335" s="2"/>
      <c r="K335" s="20" t="s">
        <v>2513</v>
      </c>
      <c r="L335" s="20"/>
      <c r="M335" s="17" t="str">
        <f t="shared" si="44"/>
        <v>기축</v>
      </c>
      <c r="N335" s="21"/>
      <c r="O335" s="21"/>
      <c r="P335" s="1">
        <f t="shared" si="40"/>
        <v>6</v>
      </c>
      <c r="Q335" s="1">
        <v>6</v>
      </c>
      <c r="R335" s="64" t="str">
        <f>IFERROR(INDEX(입력!$J$2:$J$500, MATCH($BO335, 입력!$Z$2:$Z$500, 0)) &amp; "", "")</f>
        <v/>
      </c>
      <c r="S335" s="64" t="str">
        <f>IFERROR(INDEX(입력!$K$2:$K$500, MATCH($BO335, 입력!$Z$2:$Z$500, 0)) &amp; "", "")</f>
        <v/>
      </c>
      <c r="T335" s="64">
        <f>MAX(0, 표1[[#This Row],[의무_면수]]-표1[[#This Row],[면수합]])</f>
        <v>0</v>
      </c>
      <c r="U335" s="44" t="str">
        <f t="shared" si="41"/>
        <v>이행완료</v>
      </c>
      <c r="V335" s="1">
        <f t="shared" si="45"/>
        <v>6</v>
      </c>
      <c r="W335" s="1" t="str">
        <f t="shared" si="42"/>
        <v/>
      </c>
      <c r="X335" s="1">
        <v>6</v>
      </c>
      <c r="Y335" s="64" t="str">
        <f>IFERROR(INDEX(입력!$M$2:$M$500, MATCH($BO335, 입력!$Z$2:$Z$500, 0)) &amp; "", "")</f>
        <v/>
      </c>
      <c r="Z335" s="64" t="str">
        <f>IFERROR(INDEX(입력!$N$2:$N$500, MATCH($BO335, 입력!$Z$2:$Z$500, 0)) &amp; "", "")</f>
        <v/>
      </c>
      <c r="AA335" s="64">
        <f>MAX(0, 표1[[#This Row],[의무_시설]]-표1[[#This Row],[시설합]])</f>
        <v>0</v>
      </c>
      <c r="AB335" s="17" t="str">
        <f t="shared" si="47"/>
        <v>이행완료</v>
      </c>
      <c r="AC335" s="64" t="str">
        <f>IFERROR(INDEX(입력!$P$2:$P$500, MATCH($BO335, 입력!$Z$2:$Z$500, 0)) &amp; "", "")</f>
        <v/>
      </c>
      <c r="AD335" s="64" t="str">
        <f>IFERROR(INDEX(입력!$Q$2:$Q$500, MATCH($BO335, 입력!$Z$2:$Z$500, 0)) &amp; "", "")</f>
        <v/>
      </c>
      <c r="AE335" s="64" t="str">
        <f>IFERROR(INDEX(입력!$R$2:$R$500, MATCH($BO335, 입력!$Z$2:$Z$500, 0)) &amp; "", "")</f>
        <v/>
      </c>
      <c r="AF335" s="64" t="str">
        <f>IFERROR(INDEX(입력!$S$2:$S$500, MATCH($BO335, 입력!$Z$2:$Z$500, 0)) &amp; "", "")</f>
        <v/>
      </c>
      <c r="AG335" s="64" t="str">
        <f>IFERROR(INDEX(입력!$T$2:$T$500, MATCH($BO335, 입력!$Z$2:$Z$500, 0)) &amp; "", "")</f>
        <v/>
      </c>
      <c r="AH335" s="64" t="str">
        <f>IFERROR(INDEX(입력!$U$2:$U$500, MATCH($BO335, 입력!$Z$2:$Z$500, 0)) &amp; "", "")</f>
        <v/>
      </c>
      <c r="AI335" s="64" t="str">
        <f>IFERROR(INDEX(입력!$V$2:$V$500, MATCH($BO335, 입력!$Z$2:$Z$500, 0)) &amp; "", "")</f>
        <v/>
      </c>
      <c r="AJ335" s="44" t="str">
        <f>IFERROR(INDEX(입력!$W$2:$W$500, MATCH($BO335, 입력!$Z$2:$Z$500, 0)) &amp; "", "")</f>
        <v/>
      </c>
      <c r="AK335" s="44" t="str">
        <f>IFERROR(INDEX(입력!$X$2:$X$500, MATCH($BO335, 입력!$Z$2:$Z$500, 0)) &amp; "", "")</f>
        <v/>
      </c>
      <c r="AL335" s="2"/>
      <c r="AM335" s="17" t="s">
        <v>1650</v>
      </c>
      <c r="AN335" s="101">
        <v>2025</v>
      </c>
      <c r="AO335" s="17" t="s">
        <v>3275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3131</v>
      </c>
      <c r="AZ335" s="71" t="str">
        <f>IFERROR(IF(INDEX(입력!$C$2:$C$500, MATCH($BO335, 입력!$Z$2:$Z$500, 0))="", "", TEXT(INDEX(입력!$C$2:$C$500, MATCH($BO335, 입력!$Z$2:$Z$500, 0)), "yyyy-mm-dd")), "")</f>
        <v/>
      </c>
      <c r="BA335" s="44" t="str">
        <f>IFERROR(INDEX(입력!$B$2:$B$500, MATCH($BO335, 입력!$Z$2:$Z$500, 0)) &amp; "", "")</f>
        <v/>
      </c>
      <c r="BB335" s="83" t="str">
        <f>IFERROR(INDEX(입력!$Y$2:$Y$500, MATCH($BO335, 입력!$Z$2:$Z$500, 0)) &amp; "", "")</f>
        <v/>
      </c>
      <c r="BC335" s="83" t="s">
        <v>3112</v>
      </c>
      <c r="BD335" s="83"/>
      <c r="BE335" s="101"/>
      <c r="BF335" s="101"/>
      <c r="BG335" s="101"/>
      <c r="BH335" s="101"/>
      <c r="BI335" s="101"/>
      <c r="BJ335" s="101"/>
      <c r="BK335" s="110"/>
      <c r="BL335" s="21"/>
      <c r="BM335" s="22">
        <v>291</v>
      </c>
      <c r="BN335" s="23"/>
      <c r="BO335" s="47" t="s">
        <v>775</v>
      </c>
    </row>
    <row r="336" spans="1:67" x14ac:dyDescent="0.45">
      <c r="A336" s="46">
        <v>335</v>
      </c>
      <c r="B336" s="1" t="s">
        <v>1647</v>
      </c>
      <c r="C336" s="17" t="str">
        <f t="shared" si="43"/>
        <v>이행완료</v>
      </c>
      <c r="D336" s="17" t="str">
        <f t="shared" si="46"/>
        <v/>
      </c>
      <c r="E336" s="2" t="s">
        <v>2017</v>
      </c>
      <c r="F336" s="1" t="s">
        <v>776</v>
      </c>
      <c r="G336" s="1" t="s">
        <v>2018</v>
      </c>
      <c r="H336" s="18" t="s">
        <v>1056</v>
      </c>
      <c r="I336" s="19">
        <v>328</v>
      </c>
      <c r="J336" s="2"/>
      <c r="K336" s="20" t="s">
        <v>2514</v>
      </c>
      <c r="L336" s="20"/>
      <c r="M336" s="17" t="str">
        <f t="shared" si="44"/>
        <v>기축</v>
      </c>
      <c r="N336" s="21"/>
      <c r="O336" s="21"/>
      <c r="P336" s="1">
        <f t="shared" si="40"/>
        <v>7</v>
      </c>
      <c r="Q336" s="1">
        <v>10</v>
      </c>
      <c r="R336" s="64" t="str">
        <f>IFERROR(INDEX(입력!$J$2:$J$500, MATCH($BO336, 입력!$Z$2:$Z$500, 0)) &amp; "", "")</f>
        <v/>
      </c>
      <c r="S336" s="64" t="str">
        <f>IFERROR(INDEX(입력!$K$2:$K$500, MATCH($BO336, 입력!$Z$2:$Z$500, 0)) &amp; "", "")</f>
        <v/>
      </c>
      <c r="T336" s="64">
        <f>MAX(0, 표1[[#This Row],[의무_면수]]-표1[[#This Row],[면수합]])</f>
        <v>0</v>
      </c>
      <c r="U336" s="44" t="str">
        <f t="shared" si="41"/>
        <v>이행완료</v>
      </c>
      <c r="V336" s="1">
        <f t="shared" si="45"/>
        <v>7</v>
      </c>
      <c r="W336" s="1" t="str">
        <f t="shared" si="42"/>
        <v/>
      </c>
      <c r="X336" s="1">
        <v>10</v>
      </c>
      <c r="Y336" s="64" t="str">
        <f>IFERROR(INDEX(입력!$M$2:$M$500, MATCH($BO336, 입력!$Z$2:$Z$500, 0)) &amp; "", "")</f>
        <v/>
      </c>
      <c r="Z336" s="64" t="str">
        <f>IFERROR(INDEX(입력!$N$2:$N$500, MATCH($BO336, 입력!$Z$2:$Z$500, 0)) &amp; "", "")</f>
        <v/>
      </c>
      <c r="AA336" s="64">
        <f>MAX(0, 표1[[#This Row],[의무_시설]]-표1[[#This Row],[시설합]])</f>
        <v>0</v>
      </c>
      <c r="AB336" s="17" t="str">
        <f t="shared" si="47"/>
        <v>이행완료</v>
      </c>
      <c r="AC336" s="64" t="str">
        <f>IFERROR(INDEX(입력!$P$2:$P$500, MATCH($BO336, 입력!$Z$2:$Z$500, 0)) &amp; "", "")</f>
        <v/>
      </c>
      <c r="AD336" s="64" t="str">
        <f>IFERROR(INDEX(입력!$Q$2:$Q$500, MATCH($BO336, 입력!$Z$2:$Z$500, 0)) &amp; "", "")</f>
        <v/>
      </c>
      <c r="AE336" s="64" t="str">
        <f>IFERROR(INDEX(입력!$R$2:$R$500, MATCH($BO336, 입력!$Z$2:$Z$500, 0)) &amp; "", "")</f>
        <v/>
      </c>
      <c r="AF336" s="64" t="str">
        <f>IFERROR(INDEX(입력!$S$2:$S$500, MATCH($BO336, 입력!$Z$2:$Z$500, 0)) &amp; "", "")</f>
        <v/>
      </c>
      <c r="AG336" s="64" t="str">
        <f>IFERROR(INDEX(입력!$T$2:$T$500, MATCH($BO336, 입력!$Z$2:$Z$500, 0)) &amp; "", "")</f>
        <v/>
      </c>
      <c r="AH336" s="64" t="str">
        <f>IFERROR(INDEX(입력!$U$2:$U$500, MATCH($BO336, 입력!$Z$2:$Z$500, 0)) &amp; "", "")</f>
        <v/>
      </c>
      <c r="AI336" s="64" t="str">
        <f>IFERROR(INDEX(입력!$V$2:$V$500, MATCH($BO336, 입력!$Z$2:$Z$500, 0)) &amp; "", "")</f>
        <v/>
      </c>
      <c r="AJ336" s="44" t="str">
        <f>IFERROR(INDEX(입력!$W$2:$W$500, MATCH($BO336, 입력!$Z$2:$Z$500, 0)) &amp; "", "")</f>
        <v/>
      </c>
      <c r="AK336" s="44" t="str">
        <f>IFERROR(INDEX(입력!$X$2:$X$500, MATCH($BO336, 입력!$Z$2:$Z$500, 0)) &amp; "", "")</f>
        <v/>
      </c>
      <c r="AL336" s="2"/>
      <c r="AM336" s="17" t="s">
        <v>1650</v>
      </c>
      <c r="AN336" s="101">
        <v>2025</v>
      </c>
      <c r="AO336" s="17" t="s">
        <v>3275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3131</v>
      </c>
      <c r="AZ336" s="71" t="str">
        <f>IFERROR(IF(INDEX(입력!$C$2:$C$500, MATCH($BO336, 입력!$Z$2:$Z$500, 0))="", "", TEXT(INDEX(입력!$C$2:$C$500, MATCH($BO336, 입력!$Z$2:$Z$500, 0)), "yyyy-mm-dd")), "")</f>
        <v/>
      </c>
      <c r="BA336" s="44" t="str">
        <f>IFERROR(INDEX(입력!$B$2:$B$500, MATCH($BO336, 입력!$Z$2:$Z$500, 0)) &amp; "", "")</f>
        <v/>
      </c>
      <c r="BB336" s="83" t="str">
        <f>IFERROR(INDEX(입력!$Y$2:$Y$500, MATCH($BO336, 입력!$Z$2:$Z$500, 0)) &amp; "", "")</f>
        <v/>
      </c>
      <c r="BC336" s="83" t="s">
        <v>3112</v>
      </c>
      <c r="BD336" s="83"/>
      <c r="BE336" s="101"/>
      <c r="BF336" s="101"/>
      <c r="BG336" s="101"/>
      <c r="BH336" s="101"/>
      <c r="BI336" s="101"/>
      <c r="BJ336" s="101"/>
      <c r="BK336" s="110"/>
      <c r="BL336" s="21"/>
      <c r="BM336" s="22">
        <v>332</v>
      </c>
      <c r="BN336" s="23"/>
      <c r="BO336" s="47" t="s">
        <v>777</v>
      </c>
    </row>
    <row r="337" spans="1:67" x14ac:dyDescent="0.45">
      <c r="A337" s="19">
        <v>336</v>
      </c>
      <c r="B337" s="1" t="s">
        <v>1647</v>
      </c>
      <c r="C337" s="17" t="str">
        <f t="shared" si="43"/>
        <v>이행완료</v>
      </c>
      <c r="D337" s="17" t="str">
        <f t="shared" si="46"/>
        <v/>
      </c>
      <c r="E337" s="2" t="s">
        <v>2019</v>
      </c>
      <c r="F337" s="1" t="s">
        <v>778</v>
      </c>
      <c r="G337" s="1" t="s">
        <v>2020</v>
      </c>
      <c r="H337" s="18" t="s">
        <v>1202</v>
      </c>
      <c r="I337" s="19">
        <v>435</v>
      </c>
      <c r="J337" s="2"/>
      <c r="K337" s="20" t="s">
        <v>2515</v>
      </c>
      <c r="L337" s="20"/>
      <c r="M337" s="17" t="str">
        <f t="shared" si="44"/>
        <v>기축</v>
      </c>
      <c r="N337" s="21"/>
      <c r="O337" s="21"/>
      <c r="P337" s="1">
        <f t="shared" si="40"/>
        <v>9</v>
      </c>
      <c r="Q337" s="1">
        <v>9</v>
      </c>
      <c r="R337" s="64" t="str">
        <f>IFERROR(INDEX(입력!$J$2:$J$500, MATCH($BO337, 입력!$Z$2:$Z$500, 0)) &amp; "", "")</f>
        <v/>
      </c>
      <c r="S337" s="64" t="str">
        <f>IFERROR(INDEX(입력!$K$2:$K$500, MATCH($BO337, 입력!$Z$2:$Z$500, 0)) &amp; "", "")</f>
        <v/>
      </c>
      <c r="T337" s="64">
        <f>MAX(0, 표1[[#This Row],[의무_면수]]-표1[[#This Row],[면수합]])</f>
        <v>0</v>
      </c>
      <c r="U337" s="44" t="str">
        <f t="shared" si="41"/>
        <v>이행완료</v>
      </c>
      <c r="V337" s="1">
        <f t="shared" si="45"/>
        <v>9</v>
      </c>
      <c r="W337" s="1" t="str">
        <f t="shared" si="42"/>
        <v/>
      </c>
      <c r="X337" s="1">
        <v>9</v>
      </c>
      <c r="Y337" s="64" t="str">
        <f>IFERROR(INDEX(입력!$M$2:$M$500, MATCH($BO337, 입력!$Z$2:$Z$500, 0)) &amp; "", "")</f>
        <v/>
      </c>
      <c r="Z337" s="64" t="str">
        <f>IFERROR(INDEX(입력!$N$2:$N$500, MATCH($BO337, 입력!$Z$2:$Z$500, 0)) &amp; "", "")</f>
        <v/>
      </c>
      <c r="AA337" s="64">
        <f>MAX(0, 표1[[#This Row],[의무_시설]]-표1[[#This Row],[시설합]])</f>
        <v>0</v>
      </c>
      <c r="AB337" s="17" t="str">
        <f t="shared" si="47"/>
        <v>이행완료</v>
      </c>
      <c r="AC337" s="64" t="str">
        <f>IFERROR(INDEX(입력!$P$2:$P$500, MATCH($BO337, 입력!$Z$2:$Z$500, 0)) &amp; "", "")</f>
        <v/>
      </c>
      <c r="AD337" s="64" t="str">
        <f>IFERROR(INDEX(입력!$Q$2:$Q$500, MATCH($BO337, 입력!$Z$2:$Z$500, 0)) &amp; "", "")</f>
        <v/>
      </c>
      <c r="AE337" s="64" t="str">
        <f>IFERROR(INDEX(입력!$R$2:$R$500, MATCH($BO337, 입력!$Z$2:$Z$500, 0)) &amp; "", "")</f>
        <v/>
      </c>
      <c r="AF337" s="64" t="str">
        <f>IFERROR(INDEX(입력!$S$2:$S$500, MATCH($BO337, 입력!$Z$2:$Z$500, 0)) &amp; "", "")</f>
        <v/>
      </c>
      <c r="AG337" s="64" t="str">
        <f>IFERROR(INDEX(입력!$T$2:$T$500, MATCH($BO337, 입력!$Z$2:$Z$500, 0)) &amp; "", "")</f>
        <v/>
      </c>
      <c r="AH337" s="64" t="str">
        <f>IFERROR(INDEX(입력!$U$2:$U$500, MATCH($BO337, 입력!$Z$2:$Z$500, 0)) &amp; "", "")</f>
        <v/>
      </c>
      <c r="AI337" s="64" t="str">
        <f>IFERROR(INDEX(입력!$V$2:$V$500, MATCH($BO337, 입력!$Z$2:$Z$500, 0)) &amp; "", "")</f>
        <v/>
      </c>
      <c r="AJ337" s="44" t="str">
        <f>IFERROR(INDEX(입력!$W$2:$W$500, MATCH($BO337, 입력!$Z$2:$Z$500, 0)) &amp; "", "")</f>
        <v/>
      </c>
      <c r="AK337" s="44" t="str">
        <f>IFERROR(INDEX(입력!$X$2:$X$500, MATCH($BO337, 입력!$Z$2:$Z$500, 0)) &amp; "", "")</f>
        <v/>
      </c>
      <c r="AL337" s="2"/>
      <c r="AM337" s="17" t="s">
        <v>1650</v>
      </c>
      <c r="AN337" s="101">
        <v>2025</v>
      </c>
      <c r="AO337" s="17" t="s">
        <v>3277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3131</v>
      </c>
      <c r="AZ337" s="71" t="str">
        <f>IFERROR(IF(INDEX(입력!$C$2:$C$500, MATCH($BO337, 입력!$Z$2:$Z$500, 0))="", "", TEXT(INDEX(입력!$C$2:$C$500, MATCH($BO337, 입력!$Z$2:$Z$500, 0)), "yyyy-mm-dd")), "")</f>
        <v/>
      </c>
      <c r="BA337" s="44" t="str">
        <f>IFERROR(INDEX(입력!$B$2:$B$500, MATCH($BO337, 입력!$Z$2:$Z$500, 0)) &amp; "", "")</f>
        <v/>
      </c>
      <c r="BB337" s="83" t="str">
        <f>IFERROR(INDEX(입력!$Y$2:$Y$500, MATCH($BO337, 입력!$Z$2:$Z$500, 0)) &amp; "", "")</f>
        <v/>
      </c>
      <c r="BC337" s="83" t="s">
        <v>3112</v>
      </c>
      <c r="BD337" s="83"/>
      <c r="BE337" s="101"/>
      <c r="BF337" s="101"/>
      <c r="BG337" s="101"/>
      <c r="BH337" s="101"/>
      <c r="BI337" s="101"/>
      <c r="BJ337" s="101"/>
      <c r="BK337" s="110"/>
      <c r="BL337" s="21"/>
      <c r="BM337" s="22">
        <v>435</v>
      </c>
      <c r="BN337" s="23"/>
      <c r="BO337" s="47" t="s">
        <v>779</v>
      </c>
    </row>
    <row r="338" spans="1:67" x14ac:dyDescent="0.45">
      <c r="A338" s="46">
        <v>337</v>
      </c>
      <c r="B338" s="1" t="s">
        <v>1647</v>
      </c>
      <c r="C338" s="17" t="str">
        <f t="shared" si="43"/>
        <v>이행완료</v>
      </c>
      <c r="D338" s="17" t="str">
        <f t="shared" si="46"/>
        <v/>
      </c>
      <c r="E338" s="2" t="s">
        <v>2021</v>
      </c>
      <c r="F338" s="1" t="s">
        <v>780</v>
      </c>
      <c r="G338" s="1" t="s">
        <v>2022</v>
      </c>
      <c r="H338" s="18" t="s">
        <v>1202</v>
      </c>
      <c r="I338" s="19">
        <v>697</v>
      </c>
      <c r="J338" s="2"/>
      <c r="K338" s="20" t="s">
        <v>2516</v>
      </c>
      <c r="L338" s="20"/>
      <c r="M338" s="17" t="str">
        <f t="shared" si="44"/>
        <v>기축</v>
      </c>
      <c r="N338" s="21"/>
      <c r="O338" s="21"/>
      <c r="P338" s="1">
        <f t="shared" si="40"/>
        <v>14</v>
      </c>
      <c r="Q338" s="1">
        <v>23</v>
      </c>
      <c r="R338" s="64" t="str">
        <f>IFERROR(INDEX(입력!$J$2:$J$500, MATCH($BO338, 입력!$Z$2:$Z$500, 0)) &amp; "", "")</f>
        <v/>
      </c>
      <c r="S338" s="64" t="str">
        <f>IFERROR(INDEX(입력!$K$2:$K$500, MATCH($BO338, 입력!$Z$2:$Z$500, 0)) &amp; "", "")</f>
        <v/>
      </c>
      <c r="T338" s="64">
        <f>MAX(0, 표1[[#This Row],[의무_면수]]-표1[[#This Row],[면수합]])</f>
        <v>0</v>
      </c>
      <c r="U338" s="44" t="str">
        <f t="shared" si="41"/>
        <v>이행완료</v>
      </c>
      <c r="V338" s="1">
        <f t="shared" si="45"/>
        <v>14</v>
      </c>
      <c r="W338" s="1" t="str">
        <f t="shared" si="42"/>
        <v/>
      </c>
      <c r="X338" s="1">
        <v>23</v>
      </c>
      <c r="Y338" s="64" t="str">
        <f>IFERROR(INDEX(입력!$M$2:$M$500, MATCH($BO338, 입력!$Z$2:$Z$500, 0)) &amp; "", "")</f>
        <v/>
      </c>
      <c r="Z338" s="64" t="str">
        <f>IFERROR(INDEX(입력!$N$2:$N$500, MATCH($BO338, 입력!$Z$2:$Z$500, 0)) &amp; "", "")</f>
        <v/>
      </c>
      <c r="AA338" s="64">
        <f>MAX(0, 표1[[#This Row],[의무_시설]]-표1[[#This Row],[시설합]])</f>
        <v>0</v>
      </c>
      <c r="AB338" s="17" t="str">
        <f t="shared" si="47"/>
        <v>이행완료</v>
      </c>
      <c r="AC338" s="64" t="str">
        <f>IFERROR(INDEX(입력!$P$2:$P$500, MATCH($BO338, 입력!$Z$2:$Z$500, 0)) &amp; "", "")</f>
        <v/>
      </c>
      <c r="AD338" s="64" t="str">
        <f>IFERROR(INDEX(입력!$Q$2:$Q$500, MATCH($BO338, 입력!$Z$2:$Z$500, 0)) &amp; "", "")</f>
        <v/>
      </c>
      <c r="AE338" s="64" t="str">
        <f>IFERROR(INDEX(입력!$R$2:$R$500, MATCH($BO338, 입력!$Z$2:$Z$500, 0)) &amp; "", "")</f>
        <v/>
      </c>
      <c r="AF338" s="64" t="str">
        <f>IFERROR(INDEX(입력!$S$2:$S$500, MATCH($BO338, 입력!$Z$2:$Z$500, 0)) &amp; "", "")</f>
        <v/>
      </c>
      <c r="AG338" s="64" t="str">
        <f>IFERROR(INDEX(입력!$T$2:$T$500, MATCH($BO338, 입력!$Z$2:$Z$500, 0)) &amp; "", "")</f>
        <v/>
      </c>
      <c r="AH338" s="64" t="str">
        <f>IFERROR(INDEX(입력!$U$2:$U$500, MATCH($BO338, 입력!$Z$2:$Z$500, 0)) &amp; "", "")</f>
        <v/>
      </c>
      <c r="AI338" s="64" t="str">
        <f>IFERROR(INDEX(입력!$V$2:$V$500, MATCH($BO338, 입력!$Z$2:$Z$500, 0)) &amp; "", "")</f>
        <v/>
      </c>
      <c r="AJ338" s="44" t="str">
        <f>IFERROR(INDEX(입력!$W$2:$W$500, MATCH($BO338, 입력!$Z$2:$Z$500, 0)) &amp; "", "")</f>
        <v/>
      </c>
      <c r="AK338" s="44" t="str">
        <f>IFERROR(INDEX(입력!$X$2:$X$500, MATCH($BO338, 입력!$Z$2:$Z$500, 0)) &amp; "", "")</f>
        <v/>
      </c>
      <c r="AL338" s="2"/>
      <c r="AM338" s="17" t="s">
        <v>1650</v>
      </c>
      <c r="AN338" s="101">
        <v>2025</v>
      </c>
      <c r="AO338" s="17" t="s">
        <v>3275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3131</v>
      </c>
      <c r="AZ338" s="71" t="str">
        <f>IFERROR(IF(INDEX(입력!$C$2:$C$500, MATCH($BO338, 입력!$Z$2:$Z$500, 0))="", "", TEXT(INDEX(입력!$C$2:$C$500, MATCH($BO338, 입력!$Z$2:$Z$500, 0)), "yyyy-mm-dd")), "")</f>
        <v/>
      </c>
      <c r="BA338" s="44" t="str">
        <f>IFERROR(INDEX(입력!$B$2:$B$500, MATCH($BO338, 입력!$Z$2:$Z$500, 0)) &amp; "", "")</f>
        <v/>
      </c>
      <c r="BB338" s="83" t="str">
        <f>IFERROR(INDEX(입력!$Y$2:$Y$500, MATCH($BO338, 입력!$Z$2:$Z$500, 0)) &amp; "", "")</f>
        <v/>
      </c>
      <c r="BC338" s="83" t="s">
        <v>3112</v>
      </c>
      <c r="BD338" s="83"/>
      <c r="BE338" s="101"/>
      <c r="BF338" s="101"/>
      <c r="BG338" s="101"/>
      <c r="BH338" s="101"/>
      <c r="BI338" s="101"/>
      <c r="BJ338" s="101"/>
      <c r="BK338" s="110"/>
      <c r="BL338" s="21"/>
      <c r="BM338" s="22">
        <v>689</v>
      </c>
      <c r="BN338" s="23"/>
      <c r="BO338" s="47" t="s">
        <v>781</v>
      </c>
    </row>
    <row r="339" spans="1:67" x14ac:dyDescent="0.45">
      <c r="A339" s="19">
        <v>338</v>
      </c>
      <c r="B339" s="1" t="s">
        <v>1647</v>
      </c>
      <c r="C339" s="17" t="str">
        <f t="shared" si="43"/>
        <v>이행완료</v>
      </c>
      <c r="D339" s="17" t="str">
        <f t="shared" si="46"/>
        <v/>
      </c>
      <c r="E339" s="2" t="s">
        <v>2023</v>
      </c>
      <c r="F339" s="1" t="s">
        <v>782</v>
      </c>
      <c r="G339" s="1" t="s">
        <v>2024</v>
      </c>
      <c r="H339" s="18" t="s">
        <v>1088</v>
      </c>
      <c r="I339" s="19">
        <v>1055</v>
      </c>
      <c r="J339" s="2"/>
      <c r="K339" s="20" t="s">
        <v>2451</v>
      </c>
      <c r="L339" s="20"/>
      <c r="M339" s="17" t="str">
        <f t="shared" si="44"/>
        <v>기축</v>
      </c>
      <c r="N339" s="21"/>
      <c r="O339" s="21"/>
      <c r="P339" s="1">
        <f t="shared" si="40"/>
        <v>21</v>
      </c>
      <c r="Q339" s="1">
        <v>21</v>
      </c>
      <c r="R339" s="64" t="str">
        <f>IFERROR(INDEX(입력!$J$2:$J$500, MATCH($BO339, 입력!$Z$2:$Z$500, 0)) &amp; "", "")</f>
        <v/>
      </c>
      <c r="S339" s="64" t="str">
        <f>IFERROR(INDEX(입력!$K$2:$K$500, MATCH($BO339, 입력!$Z$2:$Z$500, 0)) &amp; "", "")</f>
        <v/>
      </c>
      <c r="T339" s="64">
        <f>MAX(0, 표1[[#This Row],[의무_면수]]-표1[[#This Row],[면수합]])</f>
        <v>0</v>
      </c>
      <c r="U339" s="44" t="str">
        <f t="shared" si="41"/>
        <v>이행완료</v>
      </c>
      <c r="V339" s="1">
        <f t="shared" si="45"/>
        <v>21</v>
      </c>
      <c r="W339" s="1" t="str">
        <f t="shared" si="42"/>
        <v/>
      </c>
      <c r="X339" s="1">
        <v>21</v>
      </c>
      <c r="Y339" s="64" t="str">
        <f>IFERROR(INDEX(입력!$M$2:$M$500, MATCH($BO339, 입력!$Z$2:$Z$500, 0)) &amp; "", "")</f>
        <v/>
      </c>
      <c r="Z339" s="64" t="str">
        <f>IFERROR(INDEX(입력!$N$2:$N$500, MATCH($BO339, 입력!$Z$2:$Z$500, 0)) &amp; "", "")</f>
        <v/>
      </c>
      <c r="AA339" s="64">
        <f>MAX(0, 표1[[#This Row],[의무_시설]]-표1[[#This Row],[시설합]])</f>
        <v>0</v>
      </c>
      <c r="AB339" s="17" t="str">
        <f t="shared" si="47"/>
        <v>이행완료</v>
      </c>
      <c r="AC339" s="64" t="str">
        <f>IFERROR(INDEX(입력!$P$2:$P$500, MATCH($BO339, 입력!$Z$2:$Z$500, 0)) &amp; "", "")</f>
        <v/>
      </c>
      <c r="AD339" s="64" t="str">
        <f>IFERROR(INDEX(입력!$Q$2:$Q$500, MATCH($BO339, 입력!$Z$2:$Z$500, 0)) &amp; "", "")</f>
        <v/>
      </c>
      <c r="AE339" s="64" t="str">
        <f>IFERROR(INDEX(입력!$R$2:$R$500, MATCH($BO339, 입력!$Z$2:$Z$500, 0)) &amp; "", "")</f>
        <v/>
      </c>
      <c r="AF339" s="64" t="str">
        <f>IFERROR(INDEX(입력!$S$2:$S$500, MATCH($BO339, 입력!$Z$2:$Z$500, 0)) &amp; "", "")</f>
        <v/>
      </c>
      <c r="AG339" s="64" t="str">
        <f>IFERROR(INDEX(입력!$T$2:$T$500, MATCH($BO339, 입력!$Z$2:$Z$500, 0)) &amp; "", "")</f>
        <v/>
      </c>
      <c r="AH339" s="64" t="str">
        <f>IFERROR(INDEX(입력!$U$2:$U$500, MATCH($BO339, 입력!$Z$2:$Z$500, 0)) &amp; "", "")</f>
        <v/>
      </c>
      <c r="AI339" s="64" t="str">
        <f>IFERROR(INDEX(입력!$V$2:$V$500, MATCH($BO339, 입력!$Z$2:$Z$500, 0)) &amp; "", "")</f>
        <v/>
      </c>
      <c r="AJ339" s="44" t="str">
        <f>IFERROR(INDEX(입력!$W$2:$W$500, MATCH($BO339, 입력!$Z$2:$Z$500, 0)) &amp; "", "")</f>
        <v/>
      </c>
      <c r="AK339" s="44" t="str">
        <f>IFERROR(INDEX(입력!$X$2:$X$500, MATCH($BO339, 입력!$Z$2:$Z$500, 0)) &amp; "", "")</f>
        <v/>
      </c>
      <c r="AL339" s="2"/>
      <c r="AM339" s="17" t="s">
        <v>1650</v>
      </c>
      <c r="AN339" s="101">
        <v>2025</v>
      </c>
      <c r="AO339" s="17" t="s">
        <v>3275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3131</v>
      </c>
      <c r="AZ339" s="71" t="str">
        <f>IFERROR(IF(INDEX(입력!$C$2:$C$500, MATCH($BO339, 입력!$Z$2:$Z$500, 0))="", "", TEXT(INDEX(입력!$C$2:$C$500, MATCH($BO339, 입력!$Z$2:$Z$500, 0)), "yyyy-mm-dd")), "")</f>
        <v/>
      </c>
      <c r="BA339" s="44" t="str">
        <f>IFERROR(INDEX(입력!$B$2:$B$500, MATCH($BO339, 입력!$Z$2:$Z$500, 0)) &amp; "", "")</f>
        <v/>
      </c>
      <c r="BB339" s="83" t="str">
        <f>IFERROR(INDEX(입력!$Y$2:$Y$500, MATCH($BO339, 입력!$Z$2:$Z$500, 0)) &amp; "", "")</f>
        <v/>
      </c>
      <c r="BC339" s="83" t="s">
        <v>3112</v>
      </c>
      <c r="BD339" s="83"/>
      <c r="BE339" s="101"/>
      <c r="BF339" s="101"/>
      <c r="BG339" s="101"/>
      <c r="BH339" s="101"/>
      <c r="BI339" s="101"/>
      <c r="BJ339" s="101"/>
      <c r="BK339" s="110"/>
      <c r="BL339" s="21"/>
      <c r="BM339" s="22">
        <v>1047</v>
      </c>
      <c r="BN339" s="23"/>
      <c r="BO339" s="47" t="s">
        <v>783</v>
      </c>
    </row>
    <row r="340" spans="1:67" x14ac:dyDescent="0.45">
      <c r="A340" s="46">
        <v>339</v>
      </c>
      <c r="B340" s="1" t="s">
        <v>1647</v>
      </c>
      <c r="C340" s="17" t="str">
        <f t="shared" si="43"/>
        <v>미이행</v>
      </c>
      <c r="D340" s="17" t="str">
        <f t="shared" si="46"/>
        <v>조사완료</v>
      </c>
      <c r="E340" s="2" t="s">
        <v>2025</v>
      </c>
      <c r="F340" s="1" t="s">
        <v>784</v>
      </c>
      <c r="G340" s="1" t="s">
        <v>2026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4"/>
        <v>기축</v>
      </c>
      <c r="N340" s="21" t="s">
        <v>2394</v>
      </c>
      <c r="O340" s="21"/>
      <c r="P340" s="1">
        <f t="shared" si="40"/>
        <v>36</v>
      </c>
      <c r="Q340" s="1">
        <v>15</v>
      </c>
      <c r="R340" s="64" t="str">
        <f>IFERROR(INDEX(입력!$J$2:$J$500, MATCH($BO340, 입력!$Z$2:$Z$500, 0)) &amp; "", "")</f>
        <v/>
      </c>
      <c r="S340" s="64" t="str">
        <f>IFERROR(INDEX(입력!$K$2:$K$500, MATCH($BO340, 입력!$Z$2:$Z$500, 0)) &amp; "", "")</f>
        <v>15</v>
      </c>
      <c r="T340" s="64">
        <f>MAX(0, 표1[[#This Row],[의무_면수]]-표1[[#This Row],[면수합]])</f>
        <v>21</v>
      </c>
      <c r="U340" s="44" t="str">
        <f t="shared" si="41"/>
        <v>미이행</v>
      </c>
      <c r="V340" s="1">
        <f t="shared" si="45"/>
        <v>14</v>
      </c>
      <c r="W340" s="1" t="str">
        <f t="shared" si="42"/>
        <v/>
      </c>
      <c r="X340" s="1">
        <v>15</v>
      </c>
      <c r="Y340" s="64" t="str">
        <f>IFERROR(INDEX(입력!$M$2:$M$500, MATCH($BO340, 입력!$Z$2:$Z$500, 0)) &amp; "", "")</f>
        <v/>
      </c>
      <c r="Z340" s="64" t="str">
        <f>IFERROR(INDEX(입력!$N$2:$N$500, MATCH($BO340,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7"/>
        <v>이행완료</v>
      </c>
      <c r="AC340" s="64" t="str">
        <f>IFERROR(INDEX(입력!$P$2:$P$500, MATCH($BO340, 입력!$Z$2:$Z$500, 0)) &amp; "", "")</f>
        <v>886</v>
      </c>
      <c r="AD340" s="64" t="str">
        <f>IFERROR(INDEX(입력!$Q$2:$Q$500, MATCH($BO340, 입력!$Z$2:$Z$500, 0)) &amp; "", "")</f>
        <v/>
      </c>
      <c r="AE340" s="64" t="str">
        <f>IFERROR(INDEX(입력!$R$2:$R$500, MATCH($BO340, 입력!$Z$2:$Z$500, 0)) &amp; "", "")</f>
        <v>여</v>
      </c>
      <c r="AF340" s="64" t="str">
        <f>IFERROR(INDEX(입력!$S$2:$S$500, MATCH($BO340, 입력!$Z$2:$Z$500, 0)) &amp; "", "")</f>
        <v>여</v>
      </c>
      <c r="AG340" s="64" t="str">
        <f>IFERROR(INDEX(입력!$T$2:$T$500, MATCH($BO340, 입력!$Z$2:$Z$500, 0)) &amp; "", "")</f>
        <v>여</v>
      </c>
      <c r="AH340" s="64" t="str">
        <f>IFERROR(INDEX(입력!$U$2:$U$500, MATCH($BO340, 입력!$Z$2:$Z$500, 0)) &amp; "", "")</f>
        <v>4</v>
      </c>
      <c r="AI340" s="64" t="str">
        <f>IFERROR(INDEX(입력!$V$2:$V$500, MATCH($BO340, 입력!$Z$2:$Z$500, 0)) &amp; "", "")</f>
        <v>여</v>
      </c>
      <c r="AJ340" s="44" t="str">
        <f>IFERROR(INDEX(입력!$W$2:$W$500, MATCH($BO340, 입력!$Z$2:$Z$500, 0)) &amp; "", "")</f>
        <v>권용환</v>
      </c>
      <c r="AK340" s="44" t="str">
        <f>IFERROR(INDEX(입력!$X$2:$X$500, MATCH($BO340, 입력!$Z$2:$Z$500, 0)) &amp; "", "")</f>
        <v>955-7183</v>
      </c>
      <c r="AL340" s="2"/>
      <c r="AM340" s="17" t="s">
        <v>1650</v>
      </c>
      <c r="AN340" s="101">
        <v>2025</v>
      </c>
      <c r="AO340" s="17" t="s">
        <v>3275</v>
      </c>
      <c r="AP340" s="101"/>
      <c r="AQ340" s="108"/>
      <c r="AR340" s="119"/>
      <c r="AS340" s="114" t="s">
        <v>3289</v>
      </c>
      <c r="AT340" s="109">
        <v>46034</v>
      </c>
      <c r="AU340" s="101" t="s">
        <v>3126</v>
      </c>
      <c r="AV340" s="101"/>
      <c r="AW340" s="101" t="s">
        <v>3149</v>
      </c>
      <c r="AX340" s="101" t="s">
        <v>3297</v>
      </c>
      <c r="AY340" s="83" t="s">
        <v>3137</v>
      </c>
      <c r="AZ340" s="71" t="str">
        <f>IFERROR(IF(INDEX(입력!$C$2:$C$500, MATCH($BO340, 입력!$Z$2:$Z$500, 0))="", "", TEXT(INDEX(입력!$C$2:$C$500, MATCH($BO340, 입력!$Z$2:$Z$500, 0)), "yyyy-mm-dd")), "")</f>
        <v>2026-04-13</v>
      </c>
      <c r="BA340" s="44" t="str">
        <f>IFERROR(INDEX(입력!$B$2:$B$500, MATCH($BO340, 입력!$Z$2:$Z$500, 0)) &amp; "", "")</f>
        <v>이승수</v>
      </c>
      <c r="BB340" s="83" t="str">
        <f>IFERROR(INDEX(입력!$Y$2:$Y$500, MATCH($BO340, 입력!$Z$2:$Z$500, 0)) &amp; "", "")</f>
        <v/>
      </c>
      <c r="BC340" s="83" t="s">
        <v>3280</v>
      </c>
      <c r="BD340" s="83"/>
      <c r="BE340" s="83" t="s">
        <v>1060</v>
      </c>
      <c r="BF340" s="113">
        <v>46162</v>
      </c>
      <c r="BG340" s="83" t="s">
        <v>1089</v>
      </c>
      <c r="BH340" s="83" t="s">
        <v>4002</v>
      </c>
      <c r="BI340" s="83" t="s">
        <v>3975</v>
      </c>
      <c r="BJ340" s="83"/>
      <c r="BK340" s="110"/>
      <c r="BL340" s="21" t="s">
        <v>2395</v>
      </c>
      <c r="BM340" s="22">
        <v>722</v>
      </c>
      <c r="BN340" s="23"/>
      <c r="BO340" s="47" t="s">
        <v>785</v>
      </c>
    </row>
    <row r="341" spans="1:67" x14ac:dyDescent="0.45">
      <c r="A341" s="19">
        <v>340</v>
      </c>
      <c r="B341" s="1" t="s">
        <v>1647</v>
      </c>
      <c r="C341" s="17" t="str">
        <f t="shared" si="43"/>
        <v>이행완료</v>
      </c>
      <c r="D341" s="17" t="str">
        <f t="shared" si="46"/>
        <v/>
      </c>
      <c r="E341" s="2" t="s">
        <v>2027</v>
      </c>
      <c r="F341" s="1" t="s">
        <v>786</v>
      </c>
      <c r="G341" s="1" t="s">
        <v>2028</v>
      </c>
      <c r="H341" s="18" t="s">
        <v>1202</v>
      </c>
      <c r="I341" s="19">
        <v>301</v>
      </c>
      <c r="J341" s="2"/>
      <c r="K341" s="20" t="s">
        <v>2473</v>
      </c>
      <c r="L341" s="20"/>
      <c r="M341" s="17" t="str">
        <f t="shared" si="44"/>
        <v>기축</v>
      </c>
      <c r="N341" s="21"/>
      <c r="O341" s="21"/>
      <c r="P341" s="1">
        <f t="shared" si="40"/>
        <v>6</v>
      </c>
      <c r="Q341" s="1">
        <v>11</v>
      </c>
      <c r="R341" s="64" t="str">
        <f>IFERROR(INDEX(입력!$J$2:$J$500, MATCH($BO341, 입력!$Z$2:$Z$500, 0)) &amp; "", "")</f>
        <v/>
      </c>
      <c r="S341" s="64" t="str">
        <f>IFERROR(INDEX(입력!$K$2:$K$500, MATCH($BO341, 입력!$Z$2:$Z$500, 0)) &amp; "", "")</f>
        <v/>
      </c>
      <c r="T341" s="64">
        <f>MAX(0, 표1[[#This Row],[의무_면수]]-표1[[#This Row],[면수합]])</f>
        <v>0</v>
      </c>
      <c r="U341" s="44" t="str">
        <f t="shared" si="41"/>
        <v>이행완료</v>
      </c>
      <c r="V341" s="1">
        <f t="shared" si="45"/>
        <v>6</v>
      </c>
      <c r="W341" s="1" t="str">
        <f t="shared" si="42"/>
        <v/>
      </c>
      <c r="X341" s="1">
        <v>11</v>
      </c>
      <c r="Y341" s="64" t="str">
        <f>IFERROR(INDEX(입력!$M$2:$M$500, MATCH($BO341, 입력!$Z$2:$Z$500, 0)) &amp; "", "")</f>
        <v/>
      </c>
      <c r="Z341" s="64" t="str">
        <f>IFERROR(INDEX(입력!$N$2:$N$500, MATCH($BO341, 입력!$Z$2:$Z$500, 0)) &amp; "", "")</f>
        <v/>
      </c>
      <c r="AA341" s="64">
        <f>MAX(0, 표1[[#This Row],[의무_시설]]-표1[[#This Row],[시설합]])</f>
        <v>0</v>
      </c>
      <c r="AB341" s="17" t="str">
        <f t="shared" si="47"/>
        <v>이행완료</v>
      </c>
      <c r="AC341" s="64" t="str">
        <f>IFERROR(INDEX(입력!$P$2:$P$500, MATCH($BO341, 입력!$Z$2:$Z$500, 0)) &amp; "", "")</f>
        <v/>
      </c>
      <c r="AD341" s="64" t="str">
        <f>IFERROR(INDEX(입력!$Q$2:$Q$500, MATCH($BO341, 입력!$Z$2:$Z$500, 0)) &amp; "", "")</f>
        <v/>
      </c>
      <c r="AE341" s="64" t="str">
        <f>IFERROR(INDEX(입력!$R$2:$R$500, MATCH($BO341, 입력!$Z$2:$Z$500, 0)) &amp; "", "")</f>
        <v/>
      </c>
      <c r="AF341" s="64" t="str">
        <f>IFERROR(INDEX(입력!$S$2:$S$500, MATCH($BO341, 입력!$Z$2:$Z$500, 0)) &amp; "", "")</f>
        <v/>
      </c>
      <c r="AG341" s="64" t="str">
        <f>IFERROR(INDEX(입력!$T$2:$T$500, MATCH($BO341, 입력!$Z$2:$Z$500, 0)) &amp; "", "")</f>
        <v/>
      </c>
      <c r="AH341" s="64" t="str">
        <f>IFERROR(INDEX(입력!$U$2:$U$500, MATCH($BO341, 입력!$Z$2:$Z$500, 0)) &amp; "", "")</f>
        <v/>
      </c>
      <c r="AI341" s="64" t="str">
        <f>IFERROR(INDEX(입력!$V$2:$V$500, MATCH($BO341, 입력!$Z$2:$Z$500, 0)) &amp; "", "")</f>
        <v/>
      </c>
      <c r="AJ341" s="44" t="str">
        <f>IFERROR(INDEX(입력!$W$2:$W$500, MATCH($BO341, 입력!$Z$2:$Z$500, 0)) &amp; "", "")</f>
        <v/>
      </c>
      <c r="AK341" s="44" t="str">
        <f>IFERROR(INDEX(입력!$X$2:$X$500, MATCH($BO341, 입력!$Z$2:$Z$500, 0)) &amp; "", "")</f>
        <v/>
      </c>
      <c r="AL341" s="2"/>
      <c r="AM341" s="17" t="s">
        <v>1650</v>
      </c>
      <c r="AN341" s="101">
        <v>2025</v>
      </c>
      <c r="AO341" s="17" t="s">
        <v>3274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3131</v>
      </c>
      <c r="AZ341" s="71" t="str">
        <f>IFERROR(IF(INDEX(입력!$C$2:$C$500, MATCH($BO341, 입력!$Z$2:$Z$500, 0))="", "", TEXT(INDEX(입력!$C$2:$C$500, MATCH($BO341, 입력!$Z$2:$Z$500, 0)), "yyyy-mm-dd")), "")</f>
        <v/>
      </c>
      <c r="BA341" s="44" t="str">
        <f>IFERROR(INDEX(입력!$B$2:$B$500, MATCH($BO341, 입력!$Z$2:$Z$500, 0)) &amp; "", "")</f>
        <v/>
      </c>
      <c r="BB341" s="83" t="str">
        <f>IFERROR(INDEX(입력!$Y$2:$Y$500, MATCH($BO341, 입력!$Z$2:$Z$500, 0)) &amp; "", "")</f>
        <v/>
      </c>
      <c r="BC341" s="83" t="s">
        <v>3112</v>
      </c>
      <c r="BD341" s="83"/>
      <c r="BE341" s="101"/>
      <c r="BF341" s="101"/>
      <c r="BG341" s="101"/>
      <c r="BH341" s="101"/>
      <c r="BI341" s="101"/>
      <c r="BJ341" s="101"/>
      <c r="BK341" s="110"/>
      <c r="BL341" s="21"/>
      <c r="BM341" s="22">
        <v>301</v>
      </c>
      <c r="BN341" s="23"/>
      <c r="BO341" s="47" t="s">
        <v>787</v>
      </c>
    </row>
    <row r="342" spans="1:67" x14ac:dyDescent="0.45">
      <c r="A342" s="46">
        <v>341</v>
      </c>
      <c r="B342" s="1" t="s">
        <v>1647</v>
      </c>
      <c r="C342" s="17" t="str">
        <f t="shared" si="43"/>
        <v>이행완료</v>
      </c>
      <c r="D342" s="17" t="str">
        <f t="shared" si="46"/>
        <v/>
      </c>
      <c r="E342" s="2" t="s">
        <v>2029</v>
      </c>
      <c r="F342" s="1" t="s">
        <v>788</v>
      </c>
      <c r="G342" s="1" t="s">
        <v>2030</v>
      </c>
      <c r="H342" s="18" t="s">
        <v>1202</v>
      </c>
      <c r="I342" s="19">
        <v>267</v>
      </c>
      <c r="J342" s="2"/>
      <c r="K342" s="20" t="s">
        <v>2517</v>
      </c>
      <c r="L342" s="20"/>
      <c r="M342" s="17" t="str">
        <f t="shared" si="44"/>
        <v>기축</v>
      </c>
      <c r="N342" s="21"/>
      <c r="O342" s="21"/>
      <c r="P342" s="1">
        <f t="shared" si="40"/>
        <v>5</v>
      </c>
      <c r="Q342" s="1">
        <v>6</v>
      </c>
      <c r="R342" s="64" t="str">
        <f>IFERROR(INDEX(입력!$J$2:$J$500, MATCH($BO342, 입력!$Z$2:$Z$500, 0)) &amp; "", "")</f>
        <v/>
      </c>
      <c r="S342" s="64" t="str">
        <f>IFERROR(INDEX(입력!$K$2:$K$500, MATCH($BO342, 입력!$Z$2:$Z$500, 0)) &amp; "", "")</f>
        <v/>
      </c>
      <c r="T342" s="64">
        <f>MAX(0, 표1[[#This Row],[의무_면수]]-표1[[#This Row],[면수합]])</f>
        <v>0</v>
      </c>
      <c r="U342" s="44" t="str">
        <f t="shared" si="41"/>
        <v>이행완료</v>
      </c>
      <c r="V342" s="1">
        <f t="shared" si="45"/>
        <v>5</v>
      </c>
      <c r="W342" s="1" t="str">
        <f t="shared" si="42"/>
        <v/>
      </c>
      <c r="X342" s="1">
        <v>6</v>
      </c>
      <c r="Y342" s="64" t="str">
        <f>IFERROR(INDEX(입력!$M$2:$M$500, MATCH($BO342, 입력!$Z$2:$Z$500, 0)) &amp; "", "")</f>
        <v/>
      </c>
      <c r="Z342" s="64" t="str">
        <f>IFERROR(INDEX(입력!$N$2:$N$500, MATCH($BO342, 입력!$Z$2:$Z$500, 0)) &amp; "", "")</f>
        <v/>
      </c>
      <c r="AA342" s="64">
        <f>MAX(0, 표1[[#This Row],[의무_시설]]-표1[[#This Row],[시설합]])</f>
        <v>0</v>
      </c>
      <c r="AB342" s="17" t="str">
        <f t="shared" si="47"/>
        <v>이행완료</v>
      </c>
      <c r="AC342" s="64" t="str">
        <f>IFERROR(INDEX(입력!$P$2:$P$500, MATCH($BO342, 입력!$Z$2:$Z$500, 0)) &amp; "", "")</f>
        <v/>
      </c>
      <c r="AD342" s="64" t="str">
        <f>IFERROR(INDEX(입력!$Q$2:$Q$500, MATCH($BO342, 입력!$Z$2:$Z$500, 0)) &amp; "", "")</f>
        <v/>
      </c>
      <c r="AE342" s="64" t="str">
        <f>IFERROR(INDEX(입력!$R$2:$R$500, MATCH($BO342, 입력!$Z$2:$Z$500, 0)) &amp; "", "")</f>
        <v/>
      </c>
      <c r="AF342" s="64" t="str">
        <f>IFERROR(INDEX(입력!$S$2:$S$500, MATCH($BO342, 입력!$Z$2:$Z$500, 0)) &amp; "", "")</f>
        <v/>
      </c>
      <c r="AG342" s="64" t="str">
        <f>IFERROR(INDEX(입력!$T$2:$T$500, MATCH($BO342, 입력!$Z$2:$Z$500, 0)) &amp; "", "")</f>
        <v/>
      </c>
      <c r="AH342" s="64" t="str">
        <f>IFERROR(INDEX(입력!$U$2:$U$500, MATCH($BO342, 입력!$Z$2:$Z$500, 0)) &amp; "", "")</f>
        <v/>
      </c>
      <c r="AI342" s="64" t="str">
        <f>IFERROR(INDEX(입력!$V$2:$V$500, MATCH($BO342, 입력!$Z$2:$Z$500, 0)) &amp; "", "")</f>
        <v/>
      </c>
      <c r="AJ342" s="44" t="str">
        <f>IFERROR(INDEX(입력!$W$2:$W$500, MATCH($BO342, 입력!$Z$2:$Z$500, 0)) &amp; "", "")</f>
        <v/>
      </c>
      <c r="AK342" s="44" t="str">
        <f>IFERROR(INDEX(입력!$X$2:$X$500, MATCH($BO342, 입력!$Z$2:$Z$500, 0)) &amp; "", "")</f>
        <v/>
      </c>
      <c r="AL342" s="2"/>
      <c r="AM342" s="17" t="s">
        <v>1650</v>
      </c>
      <c r="AN342" s="101">
        <v>2025</v>
      </c>
      <c r="AO342" s="17" t="s">
        <v>3274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3131</v>
      </c>
      <c r="AZ342" s="71" t="str">
        <f>IFERROR(IF(INDEX(입력!$C$2:$C$500, MATCH($BO342, 입력!$Z$2:$Z$500, 0))="", "", TEXT(INDEX(입력!$C$2:$C$500, MATCH($BO342, 입력!$Z$2:$Z$500, 0)), "yyyy-mm-dd")), "")</f>
        <v/>
      </c>
      <c r="BA342" s="44" t="str">
        <f>IFERROR(INDEX(입력!$B$2:$B$500, MATCH($BO342, 입력!$Z$2:$Z$500, 0)) &amp; "", "")</f>
        <v/>
      </c>
      <c r="BB342" s="83" t="str">
        <f>IFERROR(INDEX(입력!$Y$2:$Y$500, MATCH($BO342, 입력!$Z$2:$Z$500, 0)) &amp; "", "")</f>
        <v/>
      </c>
      <c r="BC342" s="83" t="s">
        <v>3112</v>
      </c>
      <c r="BD342" s="83"/>
      <c r="BE342" s="101"/>
      <c r="BF342" s="101"/>
      <c r="BG342" s="101"/>
      <c r="BH342" s="101"/>
      <c r="BI342" s="101"/>
      <c r="BJ342" s="101"/>
      <c r="BK342" s="110"/>
      <c r="BL342" s="21"/>
      <c r="BM342" s="22">
        <v>267</v>
      </c>
      <c r="BN342" s="23"/>
      <c r="BO342" s="47" t="s">
        <v>789</v>
      </c>
    </row>
    <row r="343" spans="1:67" x14ac:dyDescent="0.45">
      <c r="A343" s="19">
        <v>342</v>
      </c>
      <c r="B343" s="1" t="s">
        <v>1647</v>
      </c>
      <c r="C343" s="44" t="str">
        <f t="shared" si="43"/>
        <v>이행완료</v>
      </c>
      <c r="D343" s="17" t="str">
        <f t="shared" si="46"/>
        <v>조사완료</v>
      </c>
      <c r="E343" s="2" t="s">
        <v>2031</v>
      </c>
      <c r="F343" s="1" t="s">
        <v>790</v>
      </c>
      <c r="G343" s="1" t="s">
        <v>2032</v>
      </c>
      <c r="H343" s="18" t="s">
        <v>1202</v>
      </c>
      <c r="I343" s="19">
        <v>562</v>
      </c>
      <c r="J343" s="2"/>
      <c r="K343" s="20">
        <v>39287</v>
      </c>
      <c r="L343" s="20"/>
      <c r="M343" s="17" t="str">
        <f t="shared" si="44"/>
        <v>기축</v>
      </c>
      <c r="N343" s="45" t="s">
        <v>1057</v>
      </c>
      <c r="O343" s="21"/>
      <c r="P343" s="1">
        <f t="shared" si="40"/>
        <v>28</v>
      </c>
      <c r="Q343" s="1">
        <v>29</v>
      </c>
      <c r="R343" s="64" t="str">
        <f>IFERROR(INDEX(입력!$J$2:$J$500, MATCH($BO343, 입력!$Z$2:$Z$500, 0)) &amp; "", "")</f>
        <v>21</v>
      </c>
      <c r="S343" s="64" t="str">
        <f>IFERROR(INDEX(입력!$K$2:$K$500, MATCH($BO343, 입력!$Z$2:$Z$500, 0)) &amp; "", "")</f>
        <v>8</v>
      </c>
      <c r="T343" s="64">
        <f>MAX(0, 표1[[#This Row],[의무_면수]]-표1[[#This Row],[면수합]])</f>
        <v>0</v>
      </c>
      <c r="U343" s="44" t="str">
        <f t="shared" si="41"/>
        <v>이행완료</v>
      </c>
      <c r="V343" s="1">
        <f t="shared" si="45"/>
        <v>11</v>
      </c>
      <c r="W343" s="1" t="str">
        <f t="shared" si="42"/>
        <v/>
      </c>
      <c r="X343" s="1">
        <v>11</v>
      </c>
      <c r="Y343" s="64" t="str">
        <f>IFERROR(INDEX(입력!$M$2:$M$500, MATCH($BO343, 입력!$Z$2:$Z$500, 0)) &amp; "", "")</f>
        <v/>
      </c>
      <c r="Z343" s="64" t="str">
        <f>IFERROR(INDEX(입력!$N$2:$N$500, MATCH($BO343,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7"/>
        <v>이행완료</v>
      </c>
      <c r="AC343" s="64" t="str">
        <f>IFERROR(INDEX(입력!$P$2:$P$500, MATCH($BO343, 입력!$Z$2:$Z$500, 0)) &amp; "", "")</f>
        <v>603</v>
      </c>
      <c r="AD343" s="64" t="str">
        <f>IFERROR(INDEX(입력!$Q$2:$Q$500, MATCH($BO343, 입력!$Z$2:$Z$500, 0)) &amp; "", "")</f>
        <v>7</v>
      </c>
      <c r="AE343" s="64" t="str">
        <f>IFERROR(INDEX(입력!$R$2:$R$500, MATCH($BO343, 입력!$Z$2:$Z$500, 0)) &amp; "", "")</f>
        <v>여</v>
      </c>
      <c r="AF343" s="64" t="str">
        <f>IFERROR(INDEX(입력!$S$2:$S$500, MATCH($BO343, 입력!$Z$2:$Z$500, 0)) &amp; "", "")</f>
        <v>여</v>
      </c>
      <c r="AG343" s="64" t="str">
        <f>IFERROR(INDEX(입력!$T$2:$T$500, MATCH($BO343, 입력!$Z$2:$Z$500, 0)) &amp; "", "")</f>
        <v>부</v>
      </c>
      <c r="AH343" s="64" t="str">
        <f>IFERROR(INDEX(입력!$U$2:$U$500, MATCH($BO343, 입력!$Z$2:$Z$500, 0)) &amp; "", "")</f>
        <v/>
      </c>
      <c r="AI343" s="64" t="str">
        <f>IFERROR(INDEX(입력!$V$2:$V$500, MATCH($BO343, 입력!$Z$2:$Z$500, 0)) &amp; "", "")</f>
        <v>여</v>
      </c>
      <c r="AJ343" s="44" t="str">
        <f>IFERROR(INDEX(입력!$W$2:$W$500, MATCH($BO343, 입력!$Z$2:$Z$500, 0)) &amp; "", "")</f>
        <v>박미경</v>
      </c>
      <c r="AK343" s="44" t="str">
        <f>IFERROR(INDEX(입력!$X$2:$X$500, MATCH($BO343, 입력!$Z$2:$Z$500, 0)) &amp; "", "")</f>
        <v>951-0180</v>
      </c>
      <c r="AL343" s="2" t="s">
        <v>2033</v>
      </c>
      <c r="AM343" s="17" t="s">
        <v>1650</v>
      </c>
      <c r="AN343" s="101">
        <v>2025</v>
      </c>
      <c r="AO343" s="17" t="s">
        <v>3274</v>
      </c>
      <c r="AP343" s="101"/>
      <c r="AQ343" s="108"/>
      <c r="AR343" s="119"/>
      <c r="AS343" s="101" t="s">
        <v>3124</v>
      </c>
      <c r="AT343" s="109">
        <v>46034</v>
      </c>
      <c r="AU343" s="101" t="s">
        <v>3141</v>
      </c>
      <c r="AV343" s="108" t="s">
        <v>2034</v>
      </c>
      <c r="AW343" s="101" t="s">
        <v>3298</v>
      </c>
      <c r="AX343" s="101" t="s">
        <v>3299</v>
      </c>
      <c r="AY343" s="83" t="s">
        <v>3131</v>
      </c>
      <c r="AZ343" s="71" t="str">
        <f>IFERROR(IF(INDEX(입력!$C$2:$C$500, MATCH($BO343, 입력!$Z$2:$Z$500, 0))="", "", TEXT(INDEX(입력!$C$2:$C$500, MATCH($BO343, 입력!$Z$2:$Z$500, 0)), "yyyy-mm-dd")), "")</f>
        <v>2026-04-09</v>
      </c>
      <c r="BA343" s="44" t="str">
        <f>IFERROR(INDEX(입력!$B$2:$B$500, MATCH($BO343, 입력!$Z$2:$Z$500, 0)) &amp; "", "")</f>
        <v>노기섭</v>
      </c>
      <c r="BB343" s="83" t="str">
        <f>IFERROR(INDEX(입력!$Y$2:$Y$500, MATCH($BO343, 입력!$Z$2:$Z$500, 0)) &amp; "", "")</f>
        <v>26.4.까지 나머지 17면(지상9,지하8) 설치예정.</v>
      </c>
      <c r="BC343" s="83" t="s">
        <v>3183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3822</v>
      </c>
      <c r="BI343" s="101"/>
      <c r="BJ343" s="101"/>
      <c r="BK343" s="110"/>
      <c r="BL343" s="21" t="s">
        <v>2410</v>
      </c>
      <c r="BM343" s="22">
        <v>562</v>
      </c>
      <c r="BN343" s="23"/>
      <c r="BO343" s="47" t="s">
        <v>791</v>
      </c>
    </row>
    <row r="344" spans="1:67" x14ac:dyDescent="0.45">
      <c r="A344" s="46">
        <v>343</v>
      </c>
      <c r="B344" s="1" t="s">
        <v>1647</v>
      </c>
      <c r="C344" s="17" t="str">
        <f t="shared" si="43"/>
        <v>이행완료</v>
      </c>
      <c r="D344" s="17" t="str">
        <f t="shared" si="46"/>
        <v>조사완료</v>
      </c>
      <c r="E344" s="2" t="s">
        <v>2035</v>
      </c>
      <c r="F344" s="1" t="s">
        <v>792</v>
      </c>
      <c r="G344" s="1" t="s">
        <v>2036</v>
      </c>
      <c r="H344" s="18" t="s">
        <v>1202</v>
      </c>
      <c r="I344" s="19">
        <v>1010</v>
      </c>
      <c r="J344" s="2"/>
      <c r="K344" s="20">
        <v>40452</v>
      </c>
      <c r="L344" s="20"/>
      <c r="M344" s="17" t="str">
        <f t="shared" si="44"/>
        <v>기축</v>
      </c>
      <c r="N344" s="45" t="s">
        <v>1057</v>
      </c>
      <c r="O344" s="21"/>
      <c r="P344" s="1">
        <f t="shared" si="40"/>
        <v>51</v>
      </c>
      <c r="Q344" s="1">
        <v>51</v>
      </c>
      <c r="R344" s="64" t="str">
        <f>IFERROR(INDEX(입력!$J$2:$J$500, MATCH($BO344, 입력!$Z$2:$Z$500, 0)) &amp; "", "")</f>
        <v>15</v>
      </c>
      <c r="S344" s="64" t="str">
        <f>IFERROR(INDEX(입력!$K$2:$K$500, MATCH($BO344, 입력!$Z$2:$Z$500, 0)) &amp; "", "")</f>
        <v>36</v>
      </c>
      <c r="T344" s="64">
        <f>MAX(0, 표1[[#This Row],[의무_면수]]-표1[[#This Row],[면수합]])</f>
        <v>0</v>
      </c>
      <c r="U344" s="44" t="str">
        <f t="shared" si="41"/>
        <v>이행완료</v>
      </c>
      <c r="V344" s="1">
        <f t="shared" si="45"/>
        <v>20</v>
      </c>
      <c r="W344" s="1" t="str">
        <f t="shared" si="42"/>
        <v/>
      </c>
      <c r="X344" s="1">
        <v>20</v>
      </c>
      <c r="Y344" s="64" t="str">
        <f>IFERROR(INDEX(입력!$M$2:$M$500, MATCH($BO344, 입력!$Z$2:$Z$500, 0)) &amp; "", "")</f>
        <v/>
      </c>
      <c r="Z344" s="64" t="str">
        <f>IFERROR(INDEX(입력!$N$2:$N$500, MATCH($BO344,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7"/>
        <v>이행완료</v>
      </c>
      <c r="AC344" s="64" t="str">
        <f>IFERROR(INDEX(입력!$P$2:$P$500, MATCH($BO344, 입력!$Z$2:$Z$500, 0)) &amp; "", "")</f>
        <v>1116</v>
      </c>
      <c r="AD344" s="64" t="str">
        <f>IFERROR(INDEX(입력!$Q$2:$Q$500, MATCH($BO344, 입력!$Z$2:$Z$500, 0)) &amp; "", "")</f>
        <v>14</v>
      </c>
      <c r="AE344" s="64" t="str">
        <f>IFERROR(INDEX(입력!$R$2:$R$500, MATCH($BO344, 입력!$Z$2:$Z$500, 0)) &amp; "", "")</f>
        <v>여</v>
      </c>
      <c r="AF344" s="64" t="str">
        <f>IFERROR(INDEX(입력!$S$2:$S$500, MATCH($BO344, 입력!$Z$2:$Z$500, 0)) &amp; "", "")</f>
        <v>여</v>
      </c>
      <c r="AG344" s="64" t="str">
        <f>IFERROR(INDEX(입력!$T$2:$T$500, MATCH($BO344, 입력!$Z$2:$Z$500, 0)) &amp; "", "")</f>
        <v>부</v>
      </c>
      <c r="AH344" s="64" t="str">
        <f>IFERROR(INDEX(입력!$U$2:$U$500, MATCH($BO344, 입력!$Z$2:$Z$500, 0)) &amp; "", "")</f>
        <v/>
      </c>
      <c r="AI344" s="64" t="str">
        <f>IFERROR(INDEX(입력!$V$2:$V$500, MATCH($BO344, 입력!$Z$2:$Z$500, 0)) &amp; "", "")</f>
        <v>여</v>
      </c>
      <c r="AJ344" s="44" t="str">
        <f>IFERROR(INDEX(입력!$W$2:$W$500, MATCH($BO344, 입력!$Z$2:$Z$500, 0)) &amp; "", "")</f>
        <v>서영주</v>
      </c>
      <c r="AK344" s="44" t="str">
        <f>IFERROR(INDEX(입력!$X$2:$X$500, MATCH($BO344, 입력!$Z$2:$Z$500, 0)) &amp; "", "")</f>
        <v>952-3575</v>
      </c>
      <c r="AL344" s="2" t="s">
        <v>2037</v>
      </c>
      <c r="AM344" s="17" t="s">
        <v>1650</v>
      </c>
      <c r="AN344" s="101">
        <v>2025</v>
      </c>
      <c r="AO344" s="17" t="s">
        <v>3274</v>
      </c>
      <c r="AP344" s="101"/>
      <c r="AQ344" s="108"/>
      <c r="AR344" s="119"/>
      <c r="AS344" s="101" t="s">
        <v>3163</v>
      </c>
      <c r="AT344" s="109">
        <v>46034</v>
      </c>
      <c r="AU344" s="101" t="s">
        <v>3126</v>
      </c>
      <c r="AV344" s="108" t="s">
        <v>1927</v>
      </c>
      <c r="AW344" s="101" t="s">
        <v>3300</v>
      </c>
      <c r="AX344" s="101" t="s">
        <v>3301</v>
      </c>
      <c r="AY344" s="83" t="s">
        <v>3131</v>
      </c>
      <c r="AZ344" s="71" t="str">
        <f>IFERROR(IF(INDEX(입력!$C$2:$C$500, MATCH($BO344, 입력!$Z$2:$Z$500, 0))="", "", TEXT(INDEX(입력!$C$2:$C$500, MATCH($BO344, 입력!$Z$2:$Z$500, 0)), "yyyy-mm-dd")), "")</f>
        <v>2026-04-06</v>
      </c>
      <c r="BA344" s="44" t="str">
        <f>IFERROR(INDEX(입력!$B$2:$B$500, MATCH($BO344, 입력!$Z$2:$Z$500, 0)) &amp; "", "")</f>
        <v>정은진</v>
      </c>
      <c r="BB344" s="83" t="str">
        <f>IFERROR(INDEX(입력!$Y$2:$Y$500, MATCH($BO344, 입력!$Z$2:$Z$500, 0)) &amp; "", "")</f>
        <v>충전시설 신고후 허가진행중, 전용 31면</v>
      </c>
      <c r="BC344" s="83" t="s">
        <v>3159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3373</v>
      </c>
      <c r="BI344" s="101"/>
      <c r="BJ344" s="101"/>
      <c r="BK344" s="110"/>
      <c r="BL344" s="21" t="s">
        <v>2410</v>
      </c>
      <c r="BM344" s="22">
        <v>1016</v>
      </c>
      <c r="BN344" s="23"/>
      <c r="BO344" s="47" t="s">
        <v>793</v>
      </c>
    </row>
    <row r="345" spans="1:67" ht="23" x14ac:dyDescent="0.45">
      <c r="A345" s="19">
        <v>344</v>
      </c>
      <c r="B345" s="1" t="s">
        <v>1647</v>
      </c>
      <c r="C345" s="17" t="str">
        <f t="shared" si="43"/>
        <v>미이행</v>
      </c>
      <c r="D345" s="17" t="str">
        <f t="shared" si="46"/>
        <v>조사완료</v>
      </c>
      <c r="E345" s="2" t="s">
        <v>2038</v>
      </c>
      <c r="F345" s="1" t="s">
        <v>794</v>
      </c>
      <c r="G345" s="1" t="s">
        <v>2039</v>
      </c>
      <c r="H345" s="18" t="s">
        <v>1202</v>
      </c>
      <c r="I345" s="19">
        <v>1105</v>
      </c>
      <c r="J345" s="2"/>
      <c r="K345" s="20">
        <v>40646</v>
      </c>
      <c r="L345" s="20"/>
      <c r="M345" s="17" t="str">
        <f t="shared" si="44"/>
        <v>기축</v>
      </c>
      <c r="N345" s="45" t="s">
        <v>1057</v>
      </c>
      <c r="O345" s="21"/>
      <c r="P345" s="1">
        <f t="shared" si="40"/>
        <v>55</v>
      </c>
      <c r="Q345" s="1">
        <v>10</v>
      </c>
      <c r="R345" s="64" t="str">
        <f>IFERROR(INDEX(입력!$J$2:$J$500, MATCH($BO345, 입력!$Z$2:$Z$500, 0)) &amp; "", "")</f>
        <v/>
      </c>
      <c r="S345" s="64" t="str">
        <f>IFERROR(INDEX(입력!$K$2:$K$500, MATCH($BO345, 입력!$Z$2:$Z$500, 0)) &amp; "", "")</f>
        <v>10</v>
      </c>
      <c r="T345" s="64">
        <f>MAX(0, 표1[[#This Row],[의무_면수]]-표1[[#This Row],[면수합]])</f>
        <v>45</v>
      </c>
      <c r="U345" s="44" t="str">
        <f t="shared" si="41"/>
        <v>미이행</v>
      </c>
      <c r="V345" s="1">
        <f t="shared" si="45"/>
        <v>22</v>
      </c>
      <c r="W345" s="1" t="str">
        <f t="shared" si="42"/>
        <v/>
      </c>
      <c r="X345" s="1">
        <v>22</v>
      </c>
      <c r="Y345" s="64" t="str">
        <f>IFERROR(INDEX(입력!$M$2:$M$500, MATCH($BO345, 입력!$Z$2:$Z$500, 0)) &amp; "", "")</f>
        <v/>
      </c>
      <c r="Z345" s="64">
        <v>22</v>
      </c>
      <c r="AA345" s="64">
        <f>MAX(0, 표1[[#This Row],[의무_시설]]-표1[[#This Row],[시설합]])</f>
        <v>0</v>
      </c>
      <c r="AB345" s="17" t="str">
        <f t="shared" si="47"/>
        <v>이행완료</v>
      </c>
      <c r="AC345" s="64" t="str">
        <f>IFERROR(INDEX(입력!$P$2:$P$500, MATCH($BO345, 입력!$Z$2:$Z$500, 0)) &amp; "", "")</f>
        <v>1215</v>
      </c>
      <c r="AD345" s="64" t="str">
        <f>IFERROR(INDEX(입력!$Q$2:$Q$500, MATCH($BO345, 입력!$Z$2:$Z$500, 0)) &amp; "", "")</f>
        <v>2</v>
      </c>
      <c r="AE345" s="64" t="str">
        <f>IFERROR(INDEX(입력!$R$2:$R$500, MATCH($BO345, 입력!$Z$2:$Z$500, 0)) &amp; "", "")</f>
        <v>여</v>
      </c>
      <c r="AF345" s="64" t="str">
        <f>IFERROR(INDEX(입력!$S$2:$S$500, MATCH($BO345, 입력!$Z$2:$Z$500, 0)) &amp; "", "")</f>
        <v>여</v>
      </c>
      <c r="AG345" s="64" t="str">
        <f>IFERROR(INDEX(입력!$T$2:$T$500, MATCH($BO345, 입력!$Z$2:$Z$500, 0)) &amp; "", "")</f>
        <v>부</v>
      </c>
      <c r="AH345" s="64" t="str">
        <f>IFERROR(INDEX(입력!$U$2:$U$500, MATCH($BO345, 입력!$Z$2:$Z$500, 0)) &amp; "", "")</f>
        <v/>
      </c>
      <c r="AI345" s="64" t="str">
        <f>IFERROR(INDEX(입력!$V$2:$V$500, MATCH($BO345, 입력!$Z$2:$Z$500, 0)) &amp; "", "")</f>
        <v>여</v>
      </c>
      <c r="AJ345" s="44" t="str">
        <f>IFERROR(INDEX(입력!$W$2:$W$500, MATCH($BO345, 입력!$Z$2:$Z$500, 0)) &amp; "", "")</f>
        <v>최탁수</v>
      </c>
      <c r="AK345" s="44" t="str">
        <f>IFERROR(INDEX(입력!$X$2:$X$500, MATCH($BO345, 입력!$Z$2:$Z$500, 0)) &amp; "", "")</f>
        <v>954-0577</v>
      </c>
      <c r="AL345" s="2" t="s">
        <v>2040</v>
      </c>
      <c r="AM345" s="17" t="s">
        <v>1650</v>
      </c>
      <c r="AN345" s="101">
        <v>2025</v>
      </c>
      <c r="AO345" s="17" t="s">
        <v>3275</v>
      </c>
      <c r="AP345" s="101"/>
      <c r="AQ345" s="108"/>
      <c r="AR345" s="119"/>
      <c r="AS345" s="101" t="s">
        <v>3124</v>
      </c>
      <c r="AT345" s="109">
        <v>46034</v>
      </c>
      <c r="AU345" s="101" t="s">
        <v>3126</v>
      </c>
      <c r="AV345" s="108" t="s">
        <v>2034</v>
      </c>
      <c r="AW345" s="101" t="s">
        <v>3302</v>
      </c>
      <c r="AX345" s="101" t="s">
        <v>3303</v>
      </c>
      <c r="AY345" s="83" t="s">
        <v>3137</v>
      </c>
      <c r="AZ345" s="71" t="str">
        <f>IFERROR(IF(INDEX(입력!$C$2:$C$500, MATCH($BO345, 입력!$Z$2:$Z$500, 0))="", "", TEXT(INDEX(입력!$C$2:$C$500, MATCH($BO345, 입력!$Z$2:$Z$500, 0)), "yyyy-mm-dd")), "")</f>
        <v>2026-04-06</v>
      </c>
      <c r="BA345" s="44" t="str">
        <f>IFERROR(INDEX(입력!$B$2:$B$500, MATCH($BO345, 입력!$Z$2:$Z$500, 0)) &amp; "", "")</f>
        <v>정은진</v>
      </c>
      <c r="BB345" s="83" t="str">
        <f>IFERROR(INDEX(입력!$Y$2:$Y$500, MATCH($BO345, 입력!$Z$2:$Z$500, 0)) &amp; "", "")</f>
        <v>4월중 12대 설치예정, 병행도 같이 시행예정.</v>
      </c>
      <c r="BC345" s="83" t="s">
        <v>3134</v>
      </c>
      <c r="BD345" s="83"/>
      <c r="BE345" s="116" t="s">
        <v>3824</v>
      </c>
      <c r="BF345" s="142" t="s">
        <v>3825</v>
      </c>
      <c r="BG345" s="116" t="s">
        <v>3826</v>
      </c>
      <c r="BH345" s="101" t="s">
        <v>3827</v>
      </c>
      <c r="BI345" s="101" t="s">
        <v>3810</v>
      </c>
      <c r="BJ345" s="101"/>
      <c r="BK345" s="110"/>
      <c r="BL345" s="21" t="s">
        <v>2410</v>
      </c>
      <c r="BM345" s="22">
        <v>1105</v>
      </c>
      <c r="BN345" s="23"/>
      <c r="BO345" s="47" t="s">
        <v>795</v>
      </c>
    </row>
    <row r="346" spans="1:67" x14ac:dyDescent="0.45">
      <c r="A346" s="46">
        <v>345</v>
      </c>
      <c r="B346" s="1" t="s">
        <v>1647</v>
      </c>
      <c r="C346" s="17" t="str">
        <f t="shared" si="43"/>
        <v>이행완료</v>
      </c>
      <c r="D346" s="17" t="str">
        <f t="shared" si="46"/>
        <v/>
      </c>
      <c r="E346" s="2" t="s">
        <v>2041</v>
      </c>
      <c r="F346" s="1" t="s">
        <v>796</v>
      </c>
      <c r="G346" s="1" t="s">
        <v>2042</v>
      </c>
      <c r="H346" s="18" t="s">
        <v>1172</v>
      </c>
      <c r="I346" s="19">
        <v>909</v>
      </c>
      <c r="J346" s="2"/>
      <c r="K346" s="20" t="s">
        <v>2518</v>
      </c>
      <c r="L346" s="20"/>
      <c r="M346" s="17" t="str">
        <f t="shared" si="44"/>
        <v>기축</v>
      </c>
      <c r="N346" s="21"/>
      <c r="O346" s="21"/>
      <c r="P346" s="1">
        <f t="shared" si="40"/>
        <v>18</v>
      </c>
      <c r="Q346" s="1">
        <v>27</v>
      </c>
      <c r="R346" s="64" t="str">
        <f>IFERROR(INDEX(입력!$J$2:$J$500, MATCH($BO346, 입력!$Z$2:$Z$500, 0)) &amp; "", "")</f>
        <v/>
      </c>
      <c r="S346" s="64" t="str">
        <f>IFERROR(INDEX(입력!$K$2:$K$500, MATCH($BO346, 입력!$Z$2:$Z$500, 0)) &amp; "", "")</f>
        <v/>
      </c>
      <c r="T346" s="64">
        <f>MAX(0, 표1[[#This Row],[의무_면수]]-표1[[#This Row],[면수합]])</f>
        <v>0</v>
      </c>
      <c r="U346" s="44" t="str">
        <f t="shared" si="41"/>
        <v>이행완료</v>
      </c>
      <c r="V346" s="1">
        <f t="shared" si="45"/>
        <v>18</v>
      </c>
      <c r="W346" s="1" t="str">
        <f t="shared" si="42"/>
        <v/>
      </c>
      <c r="X346" s="1">
        <v>27</v>
      </c>
      <c r="Y346" s="64" t="str">
        <f>IFERROR(INDEX(입력!$M$2:$M$500, MATCH($BO346, 입력!$Z$2:$Z$500, 0)) &amp; "", "")</f>
        <v/>
      </c>
      <c r="Z346" s="64" t="str">
        <f>IFERROR(INDEX(입력!$N$2:$N$500, MATCH($BO346, 입력!$Z$2:$Z$500, 0)) &amp; "", "")</f>
        <v/>
      </c>
      <c r="AA346" s="64">
        <f>MAX(0, 표1[[#This Row],[의무_시설]]-표1[[#This Row],[시설합]])</f>
        <v>0</v>
      </c>
      <c r="AB346" s="17" t="str">
        <f t="shared" si="47"/>
        <v>이행완료</v>
      </c>
      <c r="AC346" s="64" t="str">
        <f>IFERROR(INDEX(입력!$P$2:$P$500, MATCH($BO346, 입력!$Z$2:$Z$500, 0)) &amp; "", "")</f>
        <v/>
      </c>
      <c r="AD346" s="64" t="str">
        <f>IFERROR(INDEX(입력!$Q$2:$Q$500, MATCH($BO346, 입력!$Z$2:$Z$500, 0)) &amp; "", "")</f>
        <v/>
      </c>
      <c r="AE346" s="64" t="str">
        <f>IFERROR(INDEX(입력!$R$2:$R$500, MATCH($BO346, 입력!$Z$2:$Z$500, 0)) &amp; "", "")</f>
        <v/>
      </c>
      <c r="AF346" s="64" t="str">
        <f>IFERROR(INDEX(입력!$S$2:$S$500, MATCH($BO346, 입력!$Z$2:$Z$500, 0)) &amp; "", "")</f>
        <v/>
      </c>
      <c r="AG346" s="64" t="str">
        <f>IFERROR(INDEX(입력!$T$2:$T$500, MATCH($BO346, 입력!$Z$2:$Z$500, 0)) &amp; "", "")</f>
        <v/>
      </c>
      <c r="AH346" s="64" t="str">
        <f>IFERROR(INDEX(입력!$U$2:$U$500, MATCH($BO346, 입력!$Z$2:$Z$500, 0)) &amp; "", "")</f>
        <v/>
      </c>
      <c r="AI346" s="64" t="str">
        <f>IFERROR(INDEX(입력!$V$2:$V$500, MATCH($BO346, 입력!$Z$2:$Z$500, 0)) &amp; "", "")</f>
        <v/>
      </c>
      <c r="AJ346" s="44" t="str">
        <f>IFERROR(INDEX(입력!$W$2:$W$500, MATCH($BO346, 입력!$Z$2:$Z$500, 0)) &amp; "", "")</f>
        <v/>
      </c>
      <c r="AK346" s="44" t="str">
        <f>IFERROR(INDEX(입력!$X$2:$X$500, MATCH($BO346, 입력!$Z$2:$Z$500, 0)) &amp; "", "")</f>
        <v/>
      </c>
      <c r="AL346" s="2"/>
      <c r="AM346" s="17" t="s">
        <v>1650</v>
      </c>
      <c r="AN346" s="101">
        <v>2025</v>
      </c>
      <c r="AO346" s="17" t="s">
        <v>3274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3132</v>
      </c>
      <c r="AZ346" s="71" t="str">
        <f>IFERROR(IF(INDEX(입력!$C$2:$C$500, MATCH($BO346, 입력!$Z$2:$Z$500, 0))="", "", TEXT(INDEX(입력!$C$2:$C$500, MATCH($BO346, 입력!$Z$2:$Z$500, 0)), "yyyy-mm-dd")), "")</f>
        <v/>
      </c>
      <c r="BA346" s="44" t="str">
        <f>IFERROR(INDEX(입력!$B$2:$B$500, MATCH($BO346, 입력!$Z$2:$Z$500, 0)) &amp; "", "")</f>
        <v/>
      </c>
      <c r="BB346" s="83" t="str">
        <f>IFERROR(INDEX(입력!$Y$2:$Y$500, MATCH($BO346, 입력!$Z$2:$Z$500, 0)) &amp; "", "")</f>
        <v/>
      </c>
      <c r="BC346" s="83" t="s">
        <v>3112</v>
      </c>
      <c r="BD346" s="83"/>
      <c r="BE346" s="101"/>
      <c r="BF346" s="101"/>
      <c r="BG346" s="101"/>
      <c r="BH346" s="101"/>
      <c r="BI346" s="101"/>
      <c r="BJ346" s="101"/>
      <c r="BK346" s="110"/>
      <c r="BL346" s="21"/>
      <c r="BM346" s="22">
        <v>903</v>
      </c>
      <c r="BN346" s="23"/>
      <c r="BO346" s="47" t="s">
        <v>797</v>
      </c>
    </row>
    <row r="347" spans="1:67" x14ac:dyDescent="0.45">
      <c r="A347" s="19">
        <v>346</v>
      </c>
      <c r="B347" s="1" t="s">
        <v>1647</v>
      </c>
      <c r="C347" s="17" t="str">
        <f t="shared" si="43"/>
        <v>이행완료</v>
      </c>
      <c r="D347" s="17" t="str">
        <f t="shared" si="46"/>
        <v/>
      </c>
      <c r="E347" s="2" t="s">
        <v>2043</v>
      </c>
      <c r="F347" s="1" t="s">
        <v>798</v>
      </c>
      <c r="G347" s="1" t="s">
        <v>2044</v>
      </c>
      <c r="H347" s="18" t="s">
        <v>1172</v>
      </c>
      <c r="I347" s="19">
        <v>791</v>
      </c>
      <c r="J347" s="2"/>
      <c r="K347" s="20" t="s">
        <v>2519</v>
      </c>
      <c r="L347" s="20"/>
      <c r="M347" s="17" t="str">
        <f t="shared" si="44"/>
        <v>기축</v>
      </c>
      <c r="N347" s="21"/>
      <c r="O347" s="21"/>
      <c r="P347" s="1">
        <f t="shared" si="40"/>
        <v>16</v>
      </c>
      <c r="Q347" s="1">
        <v>28</v>
      </c>
      <c r="R347" s="64" t="str">
        <f>IFERROR(INDEX(입력!$J$2:$J$500, MATCH($BO347, 입력!$Z$2:$Z$500, 0)) &amp; "", "")</f>
        <v/>
      </c>
      <c r="S347" s="64" t="str">
        <f>IFERROR(INDEX(입력!$K$2:$K$500, MATCH($BO347, 입력!$Z$2:$Z$500, 0)) &amp; "", "")</f>
        <v/>
      </c>
      <c r="T347" s="64">
        <f>MAX(0, 표1[[#This Row],[의무_면수]]-표1[[#This Row],[면수합]])</f>
        <v>0</v>
      </c>
      <c r="U347" s="44" t="str">
        <f t="shared" si="41"/>
        <v>이행완료</v>
      </c>
      <c r="V347" s="1">
        <f t="shared" si="45"/>
        <v>16</v>
      </c>
      <c r="W347" s="1" t="str">
        <f t="shared" si="42"/>
        <v/>
      </c>
      <c r="X347" s="1">
        <v>28</v>
      </c>
      <c r="Y347" s="64" t="str">
        <f>IFERROR(INDEX(입력!$M$2:$M$500, MATCH($BO347, 입력!$Z$2:$Z$500, 0)) &amp; "", "")</f>
        <v/>
      </c>
      <c r="Z347" s="64" t="str">
        <f>IFERROR(INDEX(입력!$N$2:$N$500, MATCH($BO347, 입력!$Z$2:$Z$500, 0)) &amp; "", "")</f>
        <v/>
      </c>
      <c r="AA347" s="64">
        <f>MAX(0, 표1[[#This Row],[의무_시설]]-표1[[#This Row],[시설합]])</f>
        <v>0</v>
      </c>
      <c r="AB347" s="17" t="str">
        <f t="shared" si="47"/>
        <v>이행완료</v>
      </c>
      <c r="AC347" s="64" t="str">
        <f>IFERROR(INDEX(입력!$P$2:$P$500, MATCH($BO347, 입력!$Z$2:$Z$500, 0)) &amp; "", "")</f>
        <v/>
      </c>
      <c r="AD347" s="64" t="str">
        <f>IFERROR(INDEX(입력!$Q$2:$Q$500, MATCH($BO347, 입력!$Z$2:$Z$500, 0)) &amp; "", "")</f>
        <v/>
      </c>
      <c r="AE347" s="64" t="str">
        <f>IFERROR(INDEX(입력!$R$2:$R$500, MATCH($BO347, 입력!$Z$2:$Z$500, 0)) &amp; "", "")</f>
        <v/>
      </c>
      <c r="AF347" s="64" t="str">
        <f>IFERROR(INDEX(입력!$S$2:$S$500, MATCH($BO347, 입력!$Z$2:$Z$500, 0)) &amp; "", "")</f>
        <v/>
      </c>
      <c r="AG347" s="64" t="str">
        <f>IFERROR(INDEX(입력!$T$2:$T$500, MATCH($BO347, 입력!$Z$2:$Z$500, 0)) &amp; "", "")</f>
        <v/>
      </c>
      <c r="AH347" s="64" t="str">
        <f>IFERROR(INDEX(입력!$U$2:$U$500, MATCH($BO347, 입력!$Z$2:$Z$500, 0)) &amp; "", "")</f>
        <v/>
      </c>
      <c r="AI347" s="64" t="str">
        <f>IFERROR(INDEX(입력!$V$2:$V$500, MATCH($BO347, 입력!$Z$2:$Z$500, 0)) &amp; "", "")</f>
        <v/>
      </c>
      <c r="AJ347" s="44" t="str">
        <f>IFERROR(INDEX(입력!$W$2:$W$500, MATCH($BO347, 입력!$Z$2:$Z$500, 0)) &amp; "", "")</f>
        <v/>
      </c>
      <c r="AK347" s="44" t="str">
        <f>IFERROR(INDEX(입력!$X$2:$X$500, MATCH($BO347, 입력!$Z$2:$Z$500, 0)) &amp; "", "")</f>
        <v/>
      </c>
      <c r="AL347" s="2"/>
      <c r="AM347" s="17" t="s">
        <v>1650</v>
      </c>
      <c r="AN347" s="101">
        <v>2025</v>
      </c>
      <c r="AO347" s="17" t="s">
        <v>3275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3137</v>
      </c>
      <c r="AZ347" s="71" t="str">
        <f>IFERROR(IF(INDEX(입력!$C$2:$C$500, MATCH($BO347, 입력!$Z$2:$Z$500, 0))="", "", TEXT(INDEX(입력!$C$2:$C$500, MATCH($BO347, 입력!$Z$2:$Z$500, 0)), "yyyy-mm-dd")), "")</f>
        <v/>
      </c>
      <c r="BA347" s="44" t="str">
        <f>IFERROR(INDEX(입력!$B$2:$B$500, MATCH($BO347, 입력!$Z$2:$Z$500, 0)) &amp; "", "")</f>
        <v/>
      </c>
      <c r="BB347" s="83" t="str">
        <f>IFERROR(INDEX(입력!$Y$2:$Y$500, MATCH($BO347, 입력!$Z$2:$Z$500, 0)) &amp; "", "")</f>
        <v/>
      </c>
      <c r="BC347" s="83" t="s">
        <v>3112</v>
      </c>
      <c r="BD347" s="83"/>
      <c r="BE347" s="101"/>
      <c r="BF347" s="101"/>
      <c r="BG347" s="101"/>
      <c r="BH347" s="101"/>
      <c r="BI347" s="101"/>
      <c r="BJ347" s="101"/>
      <c r="BK347" s="110"/>
      <c r="BL347" s="21"/>
      <c r="BM347" s="22">
        <v>825</v>
      </c>
      <c r="BN347" s="23"/>
      <c r="BO347" s="47" t="s">
        <v>799</v>
      </c>
    </row>
    <row r="348" spans="1:67" x14ac:dyDescent="0.45">
      <c r="A348" s="46">
        <v>347</v>
      </c>
      <c r="B348" s="1" t="s">
        <v>1647</v>
      </c>
      <c r="C348" s="17" t="str">
        <f t="shared" si="43"/>
        <v>이행완료</v>
      </c>
      <c r="D348" s="17" t="str">
        <f t="shared" si="46"/>
        <v>조사완료</v>
      </c>
      <c r="E348" s="2" t="s">
        <v>2045</v>
      </c>
      <c r="F348" s="1" t="s">
        <v>800</v>
      </c>
      <c r="G348" s="1" t="s">
        <v>2046</v>
      </c>
      <c r="H348" s="18" t="s">
        <v>1202</v>
      </c>
      <c r="I348" s="19">
        <v>542</v>
      </c>
      <c r="J348" s="2"/>
      <c r="K348" s="20" t="s">
        <v>2417</v>
      </c>
      <c r="L348" s="20"/>
      <c r="M348" s="17" t="str">
        <f t="shared" si="44"/>
        <v>기축</v>
      </c>
      <c r="N348" s="21"/>
      <c r="O348" s="21"/>
      <c r="P348" s="1">
        <f t="shared" si="40"/>
        <v>11</v>
      </c>
      <c r="Q348" s="1">
        <v>11</v>
      </c>
      <c r="R348" s="64" t="str">
        <f>IFERROR(INDEX(입력!$J$2:$J$500, MATCH($BO348, 입력!$Z$2:$Z$500, 0)) &amp; "", "")</f>
        <v>11</v>
      </c>
      <c r="S348" s="64" t="str">
        <f>IFERROR(INDEX(입력!$K$2:$K$500, MATCH($BO348, 입력!$Z$2:$Z$500, 0)) &amp; "", "")</f>
        <v/>
      </c>
      <c r="T348" s="64">
        <f>MAX(0, 표1[[#This Row],[의무_면수]]-표1[[#This Row],[면수합]])</f>
        <v>0</v>
      </c>
      <c r="U348" s="44" t="str">
        <f t="shared" si="41"/>
        <v>이행완료</v>
      </c>
      <c r="V348" s="1">
        <f t="shared" si="45"/>
        <v>11</v>
      </c>
      <c r="W348" s="1" t="str">
        <f t="shared" si="42"/>
        <v/>
      </c>
      <c r="X348" s="1">
        <v>11</v>
      </c>
      <c r="Y348" s="64" t="str">
        <f>IFERROR(INDEX(입력!$M$2:$M$500, MATCH($BO348, 입력!$Z$2:$Z$500, 0)) &amp; "", "")</f>
        <v/>
      </c>
      <c r="Z348" s="64" t="str">
        <f>IFERROR(INDEX(입력!$N$2:$N$500, MATCH($BO348,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7"/>
        <v>이행완료</v>
      </c>
      <c r="AC348" s="64" t="str">
        <f>IFERROR(INDEX(입력!$P$2:$P$500, MATCH($BO348, 입력!$Z$2:$Z$500, 0)) &amp; "", "")</f>
        <v>430</v>
      </c>
      <c r="AD348" s="64" t="str">
        <f>IFERROR(INDEX(입력!$Q$2:$Q$500, MATCH($BO348, 입력!$Z$2:$Z$500, 0)) &amp; "", "")</f>
        <v/>
      </c>
      <c r="AE348" s="64" t="str">
        <f>IFERROR(INDEX(입력!$R$2:$R$500, MATCH($BO348, 입력!$Z$2:$Z$500, 0)) &amp; "", "")</f>
        <v/>
      </c>
      <c r="AF348" s="64" t="str">
        <f>IFERROR(INDEX(입력!$S$2:$S$500, MATCH($BO348, 입력!$Z$2:$Z$500, 0)) &amp; "", "")</f>
        <v/>
      </c>
      <c r="AG348" s="64" t="str">
        <f>IFERROR(INDEX(입력!$T$2:$T$500, MATCH($BO348, 입력!$Z$2:$Z$500, 0)) &amp; "", "")</f>
        <v/>
      </c>
      <c r="AH348" s="64" t="str">
        <f>IFERROR(INDEX(입력!$U$2:$U$500, MATCH($BO348, 입력!$Z$2:$Z$500, 0)) &amp; "", "")</f>
        <v/>
      </c>
      <c r="AI348" s="64" t="str">
        <f>IFERROR(INDEX(입력!$V$2:$V$500, MATCH($BO348, 입력!$Z$2:$Z$500, 0)) &amp; "", "")</f>
        <v>여</v>
      </c>
      <c r="AJ348" s="44" t="str">
        <f>IFERROR(INDEX(입력!$W$2:$W$500, MATCH($BO348, 입력!$Z$2:$Z$500, 0)) &amp; "", "")</f>
        <v>김진찬</v>
      </c>
      <c r="AK348" s="44" t="str">
        <f>IFERROR(INDEX(입력!$X$2:$X$500, MATCH($BO348, 입력!$Z$2:$Z$500, 0)) &amp; "", "")</f>
        <v>952-0267</v>
      </c>
      <c r="AL348" s="2" t="s">
        <v>103</v>
      </c>
      <c r="AM348" s="17" t="s">
        <v>1650</v>
      </c>
      <c r="AN348" s="101">
        <v>2025</v>
      </c>
      <c r="AO348" s="17" t="s">
        <v>3274</v>
      </c>
      <c r="AP348" s="118"/>
      <c r="AQ348" s="21"/>
      <c r="AR348" s="119"/>
      <c r="AS348" s="101" t="s">
        <v>3163</v>
      </c>
      <c r="AT348" s="109">
        <v>46034</v>
      </c>
      <c r="AU348" s="101" t="s">
        <v>3141</v>
      </c>
      <c r="AV348" s="21" t="s">
        <v>2047</v>
      </c>
      <c r="AW348" s="101"/>
      <c r="AX348" s="119" t="s">
        <v>2048</v>
      </c>
      <c r="AY348" s="83" t="s">
        <v>3137</v>
      </c>
      <c r="AZ348" s="71" t="str">
        <f>IFERROR(IF(INDEX(입력!$C$2:$C$500, MATCH($BO348, 입력!$Z$2:$Z$500, 0))="", "", TEXT(INDEX(입력!$C$2:$C$500, MATCH($BO348, 입력!$Z$2:$Z$500, 0)), "yyyy-mm-dd")), "")</f>
        <v>2026-04-13</v>
      </c>
      <c r="BA348" s="44" t="str">
        <f>IFERROR(INDEX(입력!$B$2:$B$500, MATCH($BO348, 입력!$Z$2:$Z$500, 0)) &amp; "", "")</f>
        <v>노기섭</v>
      </c>
      <c r="BB348" s="83" t="str">
        <f>IFERROR(INDEX(입력!$Y$2:$Y$500, MATCH($BO348, 입력!$Z$2:$Z$500, 0)) &amp; "", "")</f>
        <v/>
      </c>
      <c r="BC348" s="83" t="s">
        <v>3112</v>
      </c>
      <c r="BD348" s="83"/>
      <c r="BE348" s="101"/>
      <c r="BF348" s="101"/>
      <c r="BG348" s="101"/>
      <c r="BH348" s="101"/>
      <c r="BI348" s="101"/>
      <c r="BJ348" s="101"/>
      <c r="BK348" s="110"/>
      <c r="BL348" s="21"/>
      <c r="BM348" s="22">
        <v>542</v>
      </c>
      <c r="BN348" s="23"/>
      <c r="BO348" s="47" t="s">
        <v>801</v>
      </c>
    </row>
    <row r="349" spans="1:67" x14ac:dyDescent="0.45">
      <c r="A349" s="19">
        <v>348</v>
      </c>
      <c r="B349" s="1" t="s">
        <v>1647</v>
      </c>
      <c r="C349" s="17" t="str">
        <f t="shared" si="43"/>
        <v>이행완료</v>
      </c>
      <c r="D349" s="17" t="str">
        <f t="shared" si="46"/>
        <v/>
      </c>
      <c r="E349" s="2" t="s">
        <v>2049</v>
      </c>
      <c r="F349" s="1" t="s">
        <v>802</v>
      </c>
      <c r="G349" s="1" t="s">
        <v>2050</v>
      </c>
      <c r="H349" s="18" t="s">
        <v>1202</v>
      </c>
      <c r="I349" s="19">
        <v>529</v>
      </c>
      <c r="J349" s="70"/>
      <c r="K349" s="20">
        <v>38758</v>
      </c>
      <c r="L349" s="20"/>
      <c r="M349" s="17" t="str">
        <f t="shared" si="44"/>
        <v>기축</v>
      </c>
      <c r="N349" s="21"/>
      <c r="O349" s="21"/>
      <c r="P349" s="1">
        <f t="shared" si="40"/>
        <v>11</v>
      </c>
      <c r="Q349" s="1">
        <v>22</v>
      </c>
      <c r="R349" s="64" t="str">
        <f>IFERROR(INDEX(입력!$J$2:$J$500, MATCH($BO349, 입력!$Z$2:$Z$500, 0)) &amp; "", "")</f>
        <v/>
      </c>
      <c r="S349" s="64" t="str">
        <f>IFERROR(INDEX(입력!$K$2:$K$500, MATCH($BO349, 입력!$Z$2:$Z$500, 0)) &amp; "", "")</f>
        <v/>
      </c>
      <c r="T349" s="64">
        <f>MAX(0, 표1[[#This Row],[의무_면수]]-표1[[#This Row],[면수합]])</f>
        <v>0</v>
      </c>
      <c r="U349" s="44" t="str">
        <f t="shared" si="41"/>
        <v>이행완료</v>
      </c>
      <c r="V349" s="1">
        <f t="shared" si="45"/>
        <v>11</v>
      </c>
      <c r="W349" s="1" t="str">
        <f t="shared" si="42"/>
        <v/>
      </c>
      <c r="X349" s="1">
        <v>22</v>
      </c>
      <c r="Y349" s="64" t="str">
        <f>IFERROR(INDEX(입력!$M$2:$M$500, MATCH($BO349, 입력!$Z$2:$Z$500, 0)) &amp; "", "")</f>
        <v/>
      </c>
      <c r="Z349" s="64" t="str">
        <f>IFERROR(INDEX(입력!$N$2:$N$500, MATCH($BO349, 입력!$Z$2:$Z$500, 0)) &amp; "", "")</f>
        <v/>
      </c>
      <c r="AA349" s="64">
        <f>MAX(0, 표1[[#This Row],[의무_시설]]-표1[[#This Row],[시설합]])</f>
        <v>0</v>
      </c>
      <c r="AB349" s="17" t="str">
        <f t="shared" si="47"/>
        <v>이행완료</v>
      </c>
      <c r="AC349" s="64" t="str">
        <f>IFERROR(INDEX(입력!$P$2:$P$500, MATCH($BO349, 입력!$Z$2:$Z$500, 0)) &amp; "", "")</f>
        <v/>
      </c>
      <c r="AD349" s="64" t="str">
        <f>IFERROR(INDEX(입력!$Q$2:$Q$500, MATCH($BO349, 입력!$Z$2:$Z$500, 0)) &amp; "", "")</f>
        <v/>
      </c>
      <c r="AE349" s="64" t="str">
        <f>IFERROR(INDEX(입력!$R$2:$R$500, MATCH($BO349, 입력!$Z$2:$Z$500, 0)) &amp; "", "")</f>
        <v/>
      </c>
      <c r="AF349" s="64" t="str">
        <f>IFERROR(INDEX(입력!$S$2:$S$500, MATCH($BO349, 입력!$Z$2:$Z$500, 0)) &amp; "", "")</f>
        <v/>
      </c>
      <c r="AG349" s="64" t="str">
        <f>IFERROR(INDEX(입력!$T$2:$T$500, MATCH($BO349, 입력!$Z$2:$Z$500, 0)) &amp; "", "")</f>
        <v/>
      </c>
      <c r="AH349" s="64" t="str">
        <f>IFERROR(INDEX(입력!$U$2:$U$500, MATCH($BO349, 입력!$Z$2:$Z$500, 0)) &amp; "", "")</f>
        <v/>
      </c>
      <c r="AI349" s="64" t="str">
        <f>IFERROR(INDEX(입력!$V$2:$V$500, MATCH($BO349, 입력!$Z$2:$Z$500, 0)) &amp; "", "")</f>
        <v/>
      </c>
      <c r="AJ349" s="44" t="str">
        <f>IFERROR(INDEX(입력!$W$2:$W$500, MATCH($BO349, 입력!$Z$2:$Z$500, 0)) &amp; "", "")</f>
        <v/>
      </c>
      <c r="AK349" s="44" t="str">
        <f>IFERROR(INDEX(입력!$X$2:$X$500, MATCH($BO349, 입력!$Z$2:$Z$500, 0)) &amp; "", "")</f>
        <v/>
      </c>
      <c r="AL349" s="2"/>
      <c r="AM349" s="17" t="s">
        <v>1650</v>
      </c>
      <c r="AN349" s="101">
        <v>2025</v>
      </c>
      <c r="AO349" s="17" t="s">
        <v>3277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3131</v>
      </c>
      <c r="AZ349" s="71" t="str">
        <f>IFERROR(IF(INDEX(입력!$C$2:$C$500, MATCH($BO349, 입력!$Z$2:$Z$500, 0))="", "", TEXT(INDEX(입력!$C$2:$C$500, MATCH($BO349, 입력!$Z$2:$Z$500, 0)), "yyyy-mm-dd")), "")</f>
        <v/>
      </c>
      <c r="BA349" s="44" t="str">
        <f>IFERROR(INDEX(입력!$B$2:$B$500, MATCH($BO349, 입력!$Z$2:$Z$500, 0)) &amp; "", "")</f>
        <v/>
      </c>
      <c r="BB349" s="83" t="str">
        <f>IFERROR(INDEX(입력!$Y$2:$Y$500, MATCH($BO349, 입력!$Z$2:$Z$500, 0)) &amp; "", "")</f>
        <v/>
      </c>
      <c r="BC349" s="83" t="s">
        <v>3112</v>
      </c>
      <c r="BD349" s="83"/>
      <c r="BE349" s="101"/>
      <c r="BF349" s="101"/>
      <c r="BG349" s="101"/>
      <c r="BH349" s="101"/>
      <c r="BI349" s="101"/>
      <c r="BJ349" s="101"/>
      <c r="BK349" s="110"/>
      <c r="BL349" s="21"/>
      <c r="BM349" s="22">
        <v>529</v>
      </c>
      <c r="BN349" s="23"/>
      <c r="BO349" s="47" t="s">
        <v>803</v>
      </c>
    </row>
    <row r="350" spans="1:67" x14ac:dyDescent="0.45">
      <c r="A350" s="46">
        <v>349</v>
      </c>
      <c r="B350" s="1" t="s">
        <v>1647</v>
      </c>
      <c r="C350" s="17" t="str">
        <f t="shared" si="43"/>
        <v>이행완료</v>
      </c>
      <c r="D350" s="17" t="str">
        <f t="shared" si="46"/>
        <v>조사완료</v>
      </c>
      <c r="E350" s="2" t="s">
        <v>2051</v>
      </c>
      <c r="F350" s="1" t="s">
        <v>804</v>
      </c>
      <c r="G350" s="1" t="s">
        <v>2052</v>
      </c>
      <c r="H350" s="18" t="s">
        <v>1202</v>
      </c>
      <c r="I350" s="19">
        <v>546</v>
      </c>
      <c r="J350" s="2"/>
      <c r="K350" s="20" t="s">
        <v>2418</v>
      </c>
      <c r="L350" s="20"/>
      <c r="M350" s="17" t="str">
        <f t="shared" si="44"/>
        <v>기축</v>
      </c>
      <c r="N350" s="21"/>
      <c r="O350" s="21"/>
      <c r="P350" s="1">
        <f t="shared" si="40"/>
        <v>11</v>
      </c>
      <c r="Q350" s="1">
        <v>17</v>
      </c>
      <c r="R350" s="64" t="str">
        <f>IFERROR(INDEX(입력!$J$2:$J$500, MATCH($BO350, 입력!$Z$2:$Z$500, 0)) &amp; "", "")</f>
        <v>11</v>
      </c>
      <c r="S350" s="64" t="str">
        <f>IFERROR(INDEX(입력!$K$2:$K$500, MATCH($BO350, 입력!$Z$2:$Z$500, 0)) &amp; "", "")</f>
        <v>6</v>
      </c>
      <c r="T350" s="64">
        <f>MAX(0, 표1[[#This Row],[의무_면수]]-표1[[#This Row],[면수합]])</f>
        <v>0</v>
      </c>
      <c r="U350" s="44" t="str">
        <f t="shared" si="41"/>
        <v>이행완료</v>
      </c>
      <c r="V350" s="1">
        <f t="shared" si="45"/>
        <v>11</v>
      </c>
      <c r="W350" s="1" t="str">
        <f t="shared" si="42"/>
        <v/>
      </c>
      <c r="X350" s="1">
        <v>17</v>
      </c>
      <c r="Y350" s="64" t="str">
        <f>IFERROR(INDEX(입력!$M$2:$M$500, MATCH($BO350, 입력!$Z$2:$Z$500, 0)) &amp; "", "")</f>
        <v/>
      </c>
      <c r="Z350" s="64" t="str">
        <f>IFERROR(INDEX(입력!$N$2:$N$500, MATCH($BO350,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7"/>
        <v>이행완료</v>
      </c>
      <c r="AC350" s="64" t="str">
        <f>IFERROR(INDEX(입력!$P$2:$P$500, MATCH($BO350, 입력!$Z$2:$Z$500, 0)) &amp; "", "")</f>
        <v>449</v>
      </c>
      <c r="AD350" s="64" t="str">
        <f>IFERROR(INDEX(입력!$Q$2:$Q$500, MATCH($BO350, 입력!$Z$2:$Z$500, 0)) &amp; "", "")</f>
        <v>27</v>
      </c>
      <c r="AE350" s="64" t="str">
        <f>IFERROR(INDEX(입력!$R$2:$R$500, MATCH($BO350, 입력!$Z$2:$Z$500, 0)) &amp; "", "")</f>
        <v>여</v>
      </c>
      <c r="AF350" s="64" t="str">
        <f>IFERROR(INDEX(입력!$S$2:$S$500, MATCH($BO350, 입력!$Z$2:$Z$500, 0)) &amp; "", "")</f>
        <v>여</v>
      </c>
      <c r="AG350" s="64" t="str">
        <f>IFERROR(INDEX(입력!$T$2:$T$500, MATCH($BO350, 입력!$Z$2:$Z$500, 0)) &amp; "", "")</f>
        <v>부</v>
      </c>
      <c r="AH350" s="64" t="str">
        <f>IFERROR(INDEX(입력!$U$2:$U$500, MATCH($BO350, 입력!$Z$2:$Z$500, 0)) &amp; "", "")</f>
        <v/>
      </c>
      <c r="AI350" s="64" t="str">
        <f>IFERROR(INDEX(입력!$V$2:$V$500, MATCH($BO350, 입력!$Z$2:$Z$500, 0)) &amp; "", "")</f>
        <v>여</v>
      </c>
      <c r="AJ350" s="44" t="str">
        <f>IFERROR(INDEX(입력!$W$2:$W$500, MATCH($BO350, 입력!$Z$2:$Z$500, 0)) &amp; "", "")</f>
        <v>한동옥</v>
      </c>
      <c r="AK350" s="44" t="str">
        <f>IFERROR(INDEX(입력!$X$2:$X$500, MATCH($BO350, 입력!$Z$2:$Z$500, 0)) &amp; "", "")</f>
        <v>953-0262</v>
      </c>
      <c r="AL350" s="2" t="s">
        <v>2053</v>
      </c>
      <c r="AM350" s="17" t="s">
        <v>1650</v>
      </c>
      <c r="AN350" s="101">
        <v>2025</v>
      </c>
      <c r="AO350" s="17" t="s">
        <v>3275</v>
      </c>
      <c r="AP350" s="118"/>
      <c r="AQ350" s="21"/>
      <c r="AR350" s="119"/>
      <c r="AS350" s="101" t="s">
        <v>3124</v>
      </c>
      <c r="AT350" s="109">
        <v>46034</v>
      </c>
      <c r="AU350" s="101" t="s">
        <v>3126</v>
      </c>
      <c r="AV350" s="21" t="s">
        <v>2034</v>
      </c>
      <c r="AW350" s="101"/>
      <c r="AX350" s="119" t="s">
        <v>2054</v>
      </c>
      <c r="AY350" s="83" t="s">
        <v>3131</v>
      </c>
      <c r="AZ350" s="71" t="str">
        <f>IFERROR(IF(INDEX(입력!$C$2:$C$500, MATCH($BO350, 입력!$Z$2:$Z$500, 0))="", "", TEXT(INDEX(입력!$C$2:$C$500, MATCH($BO350, 입력!$Z$2:$Z$500, 0)), "yyyy-mm-dd")), "")</f>
        <v>2026-04-09</v>
      </c>
      <c r="BA350" s="44" t="str">
        <f>IFERROR(INDEX(입력!$B$2:$B$500, MATCH($BO350, 입력!$Z$2:$Z$500, 0)) &amp; "", "")</f>
        <v>노기섭</v>
      </c>
      <c r="BB350" s="83" t="str">
        <f>IFERROR(INDEX(입력!$Y$2:$Y$500, MATCH($BO350, 입력!$Z$2:$Z$500, 0)) &amp; "", "")</f>
        <v/>
      </c>
      <c r="BC350" s="83" t="s">
        <v>3112</v>
      </c>
      <c r="BD350" s="83"/>
      <c r="BE350" s="101"/>
      <c r="BF350" s="101"/>
      <c r="BG350" s="101"/>
      <c r="BH350" s="101"/>
      <c r="BI350" s="101"/>
      <c r="BJ350" s="101"/>
      <c r="BK350" s="110"/>
      <c r="BL350" s="21"/>
      <c r="BM350" s="22">
        <v>546</v>
      </c>
      <c r="BN350" s="23"/>
      <c r="BO350" s="47" t="s">
        <v>805</v>
      </c>
    </row>
    <row r="351" spans="1:67" x14ac:dyDescent="0.45">
      <c r="A351" s="19">
        <v>350</v>
      </c>
      <c r="B351" s="1" t="s">
        <v>1647</v>
      </c>
      <c r="C351" s="17" t="str">
        <f t="shared" si="43"/>
        <v>이행완료</v>
      </c>
      <c r="D351" s="17" t="str">
        <f t="shared" si="46"/>
        <v>조사완료</v>
      </c>
      <c r="E351" s="1" t="s">
        <v>83</v>
      </c>
      <c r="F351" s="1" t="s">
        <v>806</v>
      </c>
      <c r="G351" s="1" t="s">
        <v>2055</v>
      </c>
      <c r="H351" s="18" t="s">
        <v>1202</v>
      </c>
      <c r="I351" s="19">
        <v>568</v>
      </c>
      <c r="J351" s="2"/>
      <c r="K351" s="20" t="s">
        <v>2419</v>
      </c>
      <c r="L351" s="20"/>
      <c r="M351" s="17" t="str">
        <f t="shared" si="44"/>
        <v>기축</v>
      </c>
      <c r="N351" s="21" t="s">
        <v>2396</v>
      </c>
      <c r="O351" s="21"/>
      <c r="P351" s="1">
        <f t="shared" si="40"/>
        <v>28</v>
      </c>
      <c r="Q351" s="1">
        <v>28</v>
      </c>
      <c r="R351" s="64" t="str">
        <f>IFERROR(INDEX(입력!$J$2:$J$500, MATCH($BO351, 입력!$Z$2:$Z$500, 0)) &amp; "", "")</f>
        <v>18</v>
      </c>
      <c r="S351" s="64" t="str">
        <f>IFERROR(INDEX(입력!$K$2:$K$500, MATCH($BO351, 입력!$Z$2:$Z$500, 0)) &amp; "", "")</f>
        <v>10</v>
      </c>
      <c r="T351" s="64">
        <f>MAX(0, 표1[[#This Row],[의무_면수]]-표1[[#This Row],[면수합]])</f>
        <v>0</v>
      </c>
      <c r="U351" s="44" t="str">
        <f t="shared" si="41"/>
        <v>이행완료</v>
      </c>
      <c r="V351" s="1">
        <f t="shared" si="45"/>
        <v>11</v>
      </c>
      <c r="W351" s="1" t="str">
        <f t="shared" si="42"/>
        <v/>
      </c>
      <c r="X351" s="1">
        <v>11</v>
      </c>
      <c r="Y351" s="64" t="str">
        <f>IFERROR(INDEX(입력!$M$2:$M$500, MATCH($BO351, 입력!$Z$2:$Z$500, 0)) &amp; "", "")</f>
        <v/>
      </c>
      <c r="Z351" s="64" t="str">
        <f>IFERROR(INDEX(입력!$N$2:$N$500, MATCH($BO351,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7"/>
        <v>이행완료</v>
      </c>
      <c r="AC351" s="64" t="str">
        <f>IFERROR(INDEX(입력!$P$2:$P$500, MATCH($BO351, 입력!$Z$2:$Z$500, 0)) &amp; "", "")</f>
        <v>632</v>
      </c>
      <c r="AD351" s="64" t="str">
        <f>IFERROR(INDEX(입력!$Q$2:$Q$500, MATCH($BO351, 입력!$Z$2:$Z$500, 0)) &amp; "", "")</f>
        <v>2</v>
      </c>
      <c r="AE351" s="64" t="str">
        <f>IFERROR(INDEX(입력!$R$2:$R$500, MATCH($BO351, 입력!$Z$2:$Z$500, 0)) &amp; "", "")</f>
        <v>여</v>
      </c>
      <c r="AF351" s="64" t="str">
        <f>IFERROR(INDEX(입력!$S$2:$S$500, MATCH($BO351, 입력!$Z$2:$Z$500, 0)) &amp; "", "")</f>
        <v>여</v>
      </c>
      <c r="AG351" s="64" t="str">
        <f>IFERROR(INDEX(입력!$T$2:$T$500, MATCH($BO351, 입력!$Z$2:$Z$500, 0)) &amp; "", "")</f>
        <v>부</v>
      </c>
      <c r="AH351" s="64" t="str">
        <f>IFERROR(INDEX(입력!$U$2:$U$500, MATCH($BO351, 입력!$Z$2:$Z$500, 0)) &amp; "", "")</f>
        <v/>
      </c>
      <c r="AI351" s="64" t="str">
        <f>IFERROR(INDEX(입력!$V$2:$V$500, MATCH($BO351, 입력!$Z$2:$Z$500, 0)) &amp; "", "")</f>
        <v>여</v>
      </c>
      <c r="AJ351" s="44" t="str">
        <f>IFERROR(INDEX(입력!$W$2:$W$500, MATCH($BO351, 입력!$Z$2:$Z$500, 0)) &amp; "", "")</f>
        <v>최상길</v>
      </c>
      <c r="AK351" s="44" t="str">
        <f>IFERROR(INDEX(입력!$X$2:$X$500, MATCH($BO351, 입력!$Z$2:$Z$500, 0)) &amp; "", "")</f>
        <v>010-9655-5885</v>
      </c>
      <c r="AL351" s="2" t="s">
        <v>2427</v>
      </c>
      <c r="AM351" s="17" t="s">
        <v>1650</v>
      </c>
      <c r="AN351" s="101">
        <v>2025</v>
      </c>
      <c r="AO351" s="17" t="s">
        <v>3274</v>
      </c>
      <c r="AP351" s="101"/>
      <c r="AQ351" s="108"/>
      <c r="AR351" s="119"/>
      <c r="AS351" s="101" t="s">
        <v>3125</v>
      </c>
      <c r="AT351" s="109">
        <v>46034</v>
      </c>
      <c r="AU351" s="101" t="s">
        <v>3141</v>
      </c>
      <c r="AV351" s="101" t="s">
        <v>1743</v>
      </c>
      <c r="AW351" s="101" t="s">
        <v>2056</v>
      </c>
      <c r="AX351" s="101"/>
      <c r="AY351" s="83" t="s">
        <v>3137</v>
      </c>
      <c r="AZ351" s="71" t="str">
        <f>IFERROR(IF(INDEX(입력!$C$2:$C$500, MATCH($BO351, 입력!$Z$2:$Z$500, 0))="", "", TEXT(INDEX(입력!$C$2:$C$500, MATCH($BO351, 입력!$Z$2:$Z$500, 0)), "yyyy-mm-dd")), "")</f>
        <v>2026-04-08</v>
      </c>
      <c r="BA351" s="44" t="str">
        <f>IFERROR(INDEX(입력!$B$2:$B$500, MATCH($BO351, 입력!$Z$2:$Z$500, 0)) &amp; "", "")</f>
        <v>노기섭</v>
      </c>
      <c r="BB351" s="83" t="str">
        <f>IFERROR(INDEX(입력!$Y$2:$Y$500, MATCH($BO351, 입력!$Z$2:$Z$500, 0)) &amp; "", "")</f>
        <v>26.4.9. 설치예정</v>
      </c>
      <c r="BC351" s="83" t="s">
        <v>3133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3816</v>
      </c>
      <c r="BI351" s="101"/>
      <c r="BJ351" s="101"/>
      <c r="BK351" s="110"/>
      <c r="BL351" s="21" t="s">
        <v>2410</v>
      </c>
      <c r="BM351" s="22">
        <v>568</v>
      </c>
      <c r="BN351" s="23"/>
      <c r="BO351" s="47" t="s">
        <v>807</v>
      </c>
    </row>
    <row r="352" spans="1:67" x14ac:dyDescent="0.45">
      <c r="A352" s="46">
        <v>351</v>
      </c>
      <c r="B352" s="1" t="s">
        <v>1647</v>
      </c>
      <c r="C352" s="17" t="str">
        <f t="shared" si="43"/>
        <v>미이행</v>
      </c>
      <c r="D352" s="17" t="str">
        <f t="shared" si="46"/>
        <v>조사완료</v>
      </c>
      <c r="E352" s="2" t="s">
        <v>2057</v>
      </c>
      <c r="F352" s="1" t="s">
        <v>808</v>
      </c>
      <c r="G352" s="1" t="s">
        <v>2058</v>
      </c>
      <c r="H352" s="18" t="s">
        <v>1202</v>
      </c>
      <c r="I352" s="19">
        <v>895</v>
      </c>
      <c r="J352" s="2"/>
      <c r="K352" s="20" t="s">
        <v>2419</v>
      </c>
      <c r="L352" s="20"/>
      <c r="M352" s="17" t="str">
        <f t="shared" si="44"/>
        <v>기축</v>
      </c>
      <c r="N352" s="45" t="s">
        <v>1057</v>
      </c>
      <c r="O352" s="21"/>
      <c r="P352" s="1">
        <f t="shared" si="40"/>
        <v>45</v>
      </c>
      <c r="Q352" s="1">
        <v>18</v>
      </c>
      <c r="R352" s="64" t="str">
        <f>IFERROR(INDEX(입력!$J$2:$J$500, MATCH($BO352, 입력!$Z$2:$Z$500, 0)) &amp; "", "")</f>
        <v>8</v>
      </c>
      <c r="S352" s="64" t="str">
        <f>IFERROR(INDEX(입력!$K$2:$K$500, MATCH($BO352, 입력!$Z$2:$Z$500, 0)) &amp; "", "")</f>
        <v>10</v>
      </c>
      <c r="T352" s="64">
        <f>MAX(0, 표1[[#This Row],[의무_면수]]-표1[[#This Row],[면수합]])</f>
        <v>27</v>
      </c>
      <c r="U352" s="44" t="str">
        <f t="shared" si="41"/>
        <v>미이행</v>
      </c>
      <c r="V352" s="1">
        <f t="shared" si="45"/>
        <v>18</v>
      </c>
      <c r="W352" s="1" t="str">
        <f t="shared" si="42"/>
        <v/>
      </c>
      <c r="X352" s="1">
        <v>18</v>
      </c>
      <c r="Y352" s="64" t="str">
        <f>IFERROR(INDEX(입력!$M$2:$M$500, MATCH($BO352, 입력!$Z$2:$Z$500, 0)) &amp; "", "")</f>
        <v/>
      </c>
      <c r="Z352" s="64" t="str">
        <f>IFERROR(INDEX(입력!$N$2:$N$500, MATCH($BO352,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7"/>
        <v>이행완료</v>
      </c>
      <c r="AC352" s="64" t="str">
        <f>IFERROR(INDEX(입력!$P$2:$P$500, MATCH($BO352, 입력!$Z$2:$Z$500, 0)) &amp; "", "")</f>
        <v>996</v>
      </c>
      <c r="AD352" s="64" t="str">
        <f>IFERROR(INDEX(입력!$Q$2:$Q$500, MATCH($BO352, 입력!$Z$2:$Z$500, 0)) &amp; "", "")</f>
        <v>7</v>
      </c>
      <c r="AE352" s="64" t="str">
        <f>IFERROR(INDEX(입력!$R$2:$R$500, MATCH($BO352, 입력!$Z$2:$Z$500, 0)) &amp; "", "")</f>
        <v>여</v>
      </c>
      <c r="AF352" s="64" t="str">
        <f>IFERROR(INDEX(입력!$S$2:$S$500, MATCH($BO352, 입력!$Z$2:$Z$500, 0)) &amp; "", "")</f>
        <v>여</v>
      </c>
      <c r="AG352" s="64" t="str">
        <f>IFERROR(INDEX(입력!$T$2:$T$500, MATCH($BO352, 입력!$Z$2:$Z$500, 0)) &amp; "", "")</f>
        <v>여</v>
      </c>
      <c r="AH352" s="64" t="str">
        <f>IFERROR(INDEX(입력!$U$2:$U$500, MATCH($BO352, 입력!$Z$2:$Z$500, 0)) &amp; "", "")</f>
        <v>11</v>
      </c>
      <c r="AI352" s="64" t="str">
        <f>IFERROR(INDEX(입력!$V$2:$V$500, MATCH($BO352, 입력!$Z$2:$Z$500, 0)) &amp; "", "")</f>
        <v>여</v>
      </c>
      <c r="AJ352" s="44" t="str">
        <f>IFERROR(INDEX(입력!$W$2:$W$500, MATCH($BO352, 입력!$Z$2:$Z$500, 0)) &amp; "", "")</f>
        <v>강성욱</v>
      </c>
      <c r="AK352" s="44" t="str">
        <f>IFERROR(INDEX(입력!$X$2:$X$500, MATCH($BO352, 입력!$Z$2:$Z$500, 0)) &amp; "", "")</f>
        <v>956-0820</v>
      </c>
      <c r="AL352" s="2" t="s">
        <v>2059</v>
      </c>
      <c r="AM352" s="17" t="s">
        <v>1650</v>
      </c>
      <c r="AN352" s="101">
        <v>2025</v>
      </c>
      <c r="AO352" s="17" t="s">
        <v>3274</v>
      </c>
      <c r="AP352" s="101"/>
      <c r="AQ352" s="108"/>
      <c r="AR352" s="122"/>
      <c r="AS352" s="101" t="s">
        <v>3138</v>
      </c>
      <c r="AT352" s="109">
        <v>46062</v>
      </c>
      <c r="AU352" s="101" t="s">
        <v>3126</v>
      </c>
      <c r="AV352" s="101" t="s">
        <v>1760</v>
      </c>
      <c r="AW352" s="119" t="s">
        <v>3304</v>
      </c>
      <c r="AX352" s="101" t="s">
        <v>3305</v>
      </c>
      <c r="AY352" s="83" t="s">
        <v>3137</v>
      </c>
      <c r="AZ352" s="71" t="str">
        <f>IFERROR(IF(INDEX(입력!$C$2:$C$500, MATCH($BO352, 입력!$Z$2:$Z$500, 0))="", "", TEXT(INDEX(입력!$C$2:$C$500, MATCH($BO352, 입력!$Z$2:$Z$500, 0)), "yyyy-mm-dd")), "")</f>
        <v>2026-04-06</v>
      </c>
      <c r="BA352" s="44" t="str">
        <f>IFERROR(INDEX(입력!$B$2:$B$500, MATCH($BO352, 입력!$Z$2:$Z$500, 0)) &amp; "", "")</f>
        <v>노기섭</v>
      </c>
      <c r="BB352" s="83" t="str">
        <f>IFERROR(INDEX(입력!$Y$2:$Y$500, MATCH($BO352, 입력!$Z$2:$Z$500, 0)) &amp; "", "")</f>
        <v>26년6월까지 조치예정,전용주차구역설치면 27면 추가시공중</v>
      </c>
      <c r="BC352" s="83" t="s">
        <v>3133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3815</v>
      </c>
      <c r="BI352" s="101" t="s">
        <v>3812</v>
      </c>
      <c r="BJ352" s="101"/>
      <c r="BK352" s="110"/>
      <c r="BL352" s="21" t="s">
        <v>2410</v>
      </c>
      <c r="BM352" s="22">
        <v>924</v>
      </c>
      <c r="BN352" s="23"/>
      <c r="BO352" s="47" t="s">
        <v>809</v>
      </c>
    </row>
    <row r="353" spans="1:67" x14ac:dyDescent="0.45">
      <c r="A353" s="19">
        <v>352</v>
      </c>
      <c r="B353" s="1" t="s">
        <v>1647</v>
      </c>
      <c r="C353" s="17" t="str">
        <f t="shared" si="43"/>
        <v>미이행</v>
      </c>
      <c r="D353" s="17" t="str">
        <f t="shared" si="46"/>
        <v>조사완료</v>
      </c>
      <c r="E353" s="1" t="s">
        <v>2060</v>
      </c>
      <c r="F353" s="1" t="s">
        <v>810</v>
      </c>
      <c r="G353" s="1" t="s">
        <v>2061</v>
      </c>
      <c r="H353" s="18" t="s">
        <v>1202</v>
      </c>
      <c r="I353" s="19">
        <v>1220</v>
      </c>
      <c r="J353" s="2"/>
      <c r="K353" s="20" t="s">
        <v>2607</v>
      </c>
      <c r="L353" s="20"/>
      <c r="M353" s="17" t="str">
        <f t="shared" si="44"/>
        <v>기축</v>
      </c>
      <c r="N353" s="45"/>
      <c r="O353" s="21"/>
      <c r="P353" s="1">
        <f t="shared" si="40"/>
        <v>24</v>
      </c>
      <c r="Q353" s="1">
        <v>10</v>
      </c>
      <c r="R353" s="64" t="str">
        <f>IFERROR(INDEX(입력!$J$2:$J$500, MATCH($BO353, 입력!$Z$2:$Z$500, 0)) &amp; "", "")</f>
        <v/>
      </c>
      <c r="S353" s="64" t="str">
        <f>IFERROR(INDEX(입력!$K$2:$K$500, MATCH($BO353, 입력!$Z$2:$Z$500, 0)) &amp; "", "")</f>
        <v>10</v>
      </c>
      <c r="T353" s="64">
        <f>MAX(0, 표1[[#This Row],[의무_면수]]-표1[[#This Row],[면수합]])</f>
        <v>14</v>
      </c>
      <c r="U353" s="44" t="str">
        <f t="shared" si="41"/>
        <v>미이행</v>
      </c>
      <c r="V353" s="1">
        <f t="shared" si="45"/>
        <v>24</v>
      </c>
      <c r="W353" s="1" t="str">
        <f t="shared" si="42"/>
        <v/>
      </c>
      <c r="X353" s="1">
        <v>10</v>
      </c>
      <c r="Y353" s="64" t="str">
        <f>IFERROR(INDEX(입력!$M$2:$M$500, MATCH($BO353, 입력!$Z$2:$Z$500, 0)) &amp; "", "")</f>
        <v/>
      </c>
      <c r="Z353" s="64" t="str">
        <f>IFERROR(INDEX(입력!$N$2:$N$500, MATCH($BO353,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7"/>
        <v>미이행</v>
      </c>
      <c r="AC353" s="64" t="str">
        <f>IFERROR(INDEX(입력!$P$2:$P$500, MATCH($BO353, 입력!$Z$2:$Z$500, 0)) &amp; "", "")</f>
        <v>968</v>
      </c>
      <c r="AD353" s="64" t="str">
        <f>IFERROR(INDEX(입력!$Q$2:$Q$500, MATCH($BO353, 입력!$Z$2:$Z$500, 0)) &amp; "", "")</f>
        <v>47</v>
      </c>
      <c r="AE353" s="64" t="str">
        <f>IFERROR(INDEX(입력!$R$2:$R$500, MATCH($BO353, 입력!$Z$2:$Z$500, 0)) &amp; "", "")</f>
        <v>여</v>
      </c>
      <c r="AF353" s="64" t="str">
        <f>IFERROR(INDEX(입력!$S$2:$S$500, MATCH($BO353, 입력!$Z$2:$Z$500, 0)) &amp; "", "")</f>
        <v>여</v>
      </c>
      <c r="AG353" s="64" t="str">
        <f>IFERROR(INDEX(입력!$T$2:$T$500, MATCH($BO353, 입력!$Z$2:$Z$500, 0)) &amp; "", "")</f>
        <v/>
      </c>
      <c r="AH353" s="64" t="str">
        <f>IFERROR(INDEX(입력!$U$2:$U$500, MATCH($BO353, 입력!$Z$2:$Z$500, 0)) &amp; "", "")</f>
        <v/>
      </c>
      <c r="AI353" s="64" t="str">
        <f>IFERROR(INDEX(입력!$V$2:$V$500, MATCH($BO353, 입력!$Z$2:$Z$500, 0)) &amp; "", "")</f>
        <v>여</v>
      </c>
      <c r="AJ353" s="44" t="str">
        <f>IFERROR(INDEX(입력!$W$2:$W$500, MATCH($BO353, 입력!$Z$2:$Z$500, 0)) &amp; "", "")</f>
        <v>박영미</v>
      </c>
      <c r="AK353" s="44" t="str">
        <f>IFERROR(INDEX(입력!$X$2:$X$500, MATCH($BO353, 입력!$Z$2:$Z$500, 0)) &amp; "", "")</f>
        <v>959-1221</v>
      </c>
      <c r="AL353" s="2" t="s">
        <v>3791</v>
      </c>
      <c r="AM353" s="17" t="s">
        <v>1650</v>
      </c>
      <c r="AN353" s="101">
        <v>2025</v>
      </c>
      <c r="AO353" s="17" t="s">
        <v>3274</v>
      </c>
      <c r="AP353" s="101"/>
      <c r="AQ353" s="108"/>
      <c r="AR353" s="119"/>
      <c r="AS353" s="101" t="s">
        <v>3124</v>
      </c>
      <c r="AT353" s="109">
        <v>46034</v>
      </c>
      <c r="AU353" s="101" t="s">
        <v>3141</v>
      </c>
      <c r="AV353" s="108" t="s">
        <v>1907</v>
      </c>
      <c r="AW353" s="101" t="s">
        <v>3149</v>
      </c>
      <c r="AX353" s="101" t="s">
        <v>3306</v>
      </c>
      <c r="AY353" s="83" t="s">
        <v>3137</v>
      </c>
      <c r="AZ353" s="71" t="str">
        <f>IFERROR(IF(INDEX(입력!$C$2:$C$500, MATCH($BO353, 입력!$Z$2:$Z$500, 0))="", "", TEXT(INDEX(입력!$C$2:$C$500, MATCH($BO353, 입력!$Z$2:$Z$500, 0)), "yyyy-mm-dd")), "")</f>
        <v>2026-04-08</v>
      </c>
      <c r="BA353" s="44" t="str">
        <f>IFERROR(INDEX(입력!$B$2:$B$500, MATCH($BO353, 입력!$Z$2:$Z$500, 0)) &amp; "", "")</f>
        <v>노기섭</v>
      </c>
      <c r="BB353" s="83" t="str">
        <f>IFERROR(INDEX(입력!$Y$2:$Y$500, MATCH($BO353, 입력!$Z$2:$Z$500, 0)) &amp; "", "")</f>
        <v>26년중 지하에 미설치 14면 설치예정, 수완지구내 관련시설 법규저촉으로 지연</v>
      </c>
      <c r="BC353" s="83" t="s">
        <v>3169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3992</v>
      </c>
      <c r="BI353" s="101"/>
      <c r="BJ353" s="101"/>
      <c r="BK353" s="110"/>
      <c r="BL353" s="21"/>
      <c r="BM353" s="22">
        <v>1220</v>
      </c>
      <c r="BN353" s="23"/>
      <c r="BO353" s="47" t="s">
        <v>811</v>
      </c>
    </row>
    <row r="354" spans="1:67" x14ac:dyDescent="0.45">
      <c r="A354" s="46">
        <v>353</v>
      </c>
      <c r="B354" s="1" t="s">
        <v>1647</v>
      </c>
      <c r="C354" s="17" t="str">
        <f t="shared" si="43"/>
        <v>이행완료</v>
      </c>
      <c r="D354" s="17" t="str">
        <f t="shared" si="46"/>
        <v>조사완료</v>
      </c>
      <c r="E354" s="2" t="s">
        <v>85</v>
      </c>
      <c r="F354" s="1" t="s">
        <v>812</v>
      </c>
      <c r="G354" s="1" t="s">
        <v>2062</v>
      </c>
      <c r="H354" s="18" t="s">
        <v>1202</v>
      </c>
      <c r="I354" s="19">
        <v>883</v>
      </c>
      <c r="J354" s="2"/>
      <c r="K354" s="20" t="s">
        <v>2416</v>
      </c>
      <c r="L354" s="20"/>
      <c r="M354" s="17" t="str">
        <f t="shared" si="44"/>
        <v>기축</v>
      </c>
      <c r="N354" s="21"/>
      <c r="O354" s="21"/>
      <c r="P354" s="1">
        <f t="shared" si="40"/>
        <v>18</v>
      </c>
      <c r="Q354" s="1">
        <v>18</v>
      </c>
      <c r="R354" s="64" t="str">
        <f>IFERROR(INDEX(입력!$J$2:$J$500, MATCH($BO354, 입력!$Z$2:$Z$500, 0)) &amp; "", "")</f>
        <v>18</v>
      </c>
      <c r="S354" s="64" t="str">
        <f>IFERROR(INDEX(입력!$K$2:$K$500, MATCH($BO354, 입력!$Z$2:$Z$500, 0)) &amp; "", "")</f>
        <v/>
      </c>
      <c r="T354" s="64">
        <f>MAX(0, 표1[[#This Row],[의무_면수]]-표1[[#This Row],[면수합]])</f>
        <v>0</v>
      </c>
      <c r="U354" s="44" t="str">
        <f t="shared" si="41"/>
        <v>이행완료</v>
      </c>
      <c r="V354" s="1">
        <f t="shared" si="45"/>
        <v>18</v>
      </c>
      <c r="W354" s="1" t="str">
        <f t="shared" si="42"/>
        <v/>
      </c>
      <c r="X354" s="1">
        <v>18</v>
      </c>
      <c r="Y354" s="64" t="str">
        <f>IFERROR(INDEX(입력!$M$2:$M$500, MATCH($BO354, 입력!$Z$2:$Z$500, 0)) &amp; "", "")</f>
        <v/>
      </c>
      <c r="Z354" s="64" t="str">
        <f>IFERROR(INDEX(입력!$N$2:$N$500, MATCH($BO354,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7"/>
        <v>이행완료</v>
      </c>
      <c r="AC354" s="64" t="str">
        <f>IFERROR(INDEX(입력!$P$2:$P$500, MATCH($BO354, 입력!$Z$2:$Z$500, 0)) &amp; "", "")</f>
        <v>707</v>
      </c>
      <c r="AD354" s="64" t="str">
        <f>IFERROR(INDEX(입력!$Q$2:$Q$500, MATCH($BO354, 입력!$Z$2:$Z$500, 0)) &amp; "", "")</f>
        <v>12</v>
      </c>
      <c r="AE354" s="64" t="str">
        <f>IFERROR(INDEX(입력!$R$2:$R$500, MATCH($BO354, 입력!$Z$2:$Z$500, 0)) &amp; "", "")</f>
        <v>여</v>
      </c>
      <c r="AF354" s="64" t="str">
        <f>IFERROR(INDEX(입력!$S$2:$S$500, MATCH($BO354, 입력!$Z$2:$Z$500, 0)) &amp; "", "")</f>
        <v>여</v>
      </c>
      <c r="AG354" s="64" t="str">
        <f>IFERROR(INDEX(입력!$T$2:$T$500, MATCH($BO354, 입력!$Z$2:$Z$500, 0)) &amp; "", "")</f>
        <v>부</v>
      </c>
      <c r="AH354" s="64" t="str">
        <f>IFERROR(INDEX(입력!$U$2:$U$500, MATCH($BO354, 입력!$Z$2:$Z$500, 0)) &amp; "", "")</f>
        <v/>
      </c>
      <c r="AI354" s="64" t="str">
        <f>IFERROR(INDEX(입력!$V$2:$V$500, MATCH($BO354, 입력!$Z$2:$Z$500, 0)) &amp; "", "")</f>
        <v>여</v>
      </c>
      <c r="AJ354" s="44" t="str">
        <f>IFERROR(INDEX(입력!$W$2:$W$500, MATCH($BO354, 입력!$Z$2:$Z$500, 0)) &amp; "", "")</f>
        <v>김종구</v>
      </c>
      <c r="AK354" s="44" t="str">
        <f>IFERROR(INDEX(입력!$X$2:$X$500, MATCH($BO354, 입력!$Z$2:$Z$500, 0)) &amp; "", "")</f>
        <v>942-0029</v>
      </c>
      <c r="AL354" s="2" t="s">
        <v>2063</v>
      </c>
      <c r="AM354" s="17" t="s">
        <v>1650</v>
      </c>
      <c r="AN354" s="101">
        <v>2025</v>
      </c>
      <c r="AO354" s="17" t="s">
        <v>3275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3137</v>
      </c>
      <c r="AZ354" s="71" t="str">
        <f>IFERROR(IF(INDEX(입력!$C$2:$C$500, MATCH($BO354, 입력!$Z$2:$Z$500, 0))="", "", TEXT(INDEX(입력!$C$2:$C$500, MATCH($BO354, 입력!$Z$2:$Z$500, 0)), "yyyy-mm-dd")), "")</f>
        <v>2026-04-08</v>
      </c>
      <c r="BA354" s="44" t="str">
        <f>IFERROR(INDEX(입력!$B$2:$B$500, MATCH($BO354, 입력!$Z$2:$Z$500, 0)) &amp; "", "")</f>
        <v>노기섭</v>
      </c>
      <c r="BB354" s="83" t="str">
        <f>IFERROR(INDEX(입력!$Y$2:$Y$500, MATCH($BO354, 입력!$Z$2:$Z$500, 0)) &amp; "", "")</f>
        <v/>
      </c>
      <c r="BC354" s="83" t="s">
        <v>3112</v>
      </c>
      <c r="BD354" s="83"/>
      <c r="BE354" s="101"/>
      <c r="BF354" s="101"/>
      <c r="BG354" s="101"/>
      <c r="BH354" s="101"/>
      <c r="BI354" s="101"/>
      <c r="BJ354" s="101"/>
      <c r="BK354" s="110"/>
      <c r="BL354" s="21"/>
      <c r="BM354" s="22">
        <v>893</v>
      </c>
      <c r="BN354" s="23"/>
      <c r="BO354" s="47" t="s">
        <v>813</v>
      </c>
    </row>
    <row r="355" spans="1:67" x14ac:dyDescent="0.45">
      <c r="A355" s="19">
        <v>354</v>
      </c>
      <c r="B355" s="1" t="s">
        <v>1647</v>
      </c>
      <c r="C355" s="17" t="str">
        <f t="shared" si="43"/>
        <v>이행완료</v>
      </c>
      <c r="D355" s="17" t="str">
        <f t="shared" si="46"/>
        <v/>
      </c>
      <c r="E355" s="2" t="s">
        <v>2065</v>
      </c>
      <c r="F355" s="1" t="s">
        <v>814</v>
      </c>
      <c r="G355" s="1" t="s">
        <v>2066</v>
      </c>
      <c r="H355" s="18" t="s">
        <v>1202</v>
      </c>
      <c r="I355" s="19">
        <v>611</v>
      </c>
      <c r="J355" s="2"/>
      <c r="K355" s="20" t="s">
        <v>2522</v>
      </c>
      <c r="L355" s="20"/>
      <c r="M355" s="17" t="str">
        <f t="shared" si="44"/>
        <v>기축</v>
      </c>
      <c r="N355" s="21"/>
      <c r="O355" s="21"/>
      <c r="P355" s="1">
        <f t="shared" si="40"/>
        <v>12</v>
      </c>
      <c r="Q355" s="1">
        <v>14</v>
      </c>
      <c r="R355" s="64" t="str">
        <f>IFERROR(INDEX(입력!$J$2:$J$500, MATCH($BO355, 입력!$Z$2:$Z$500, 0)) &amp; "", "")</f>
        <v/>
      </c>
      <c r="S355" s="64" t="str">
        <f>IFERROR(INDEX(입력!$K$2:$K$500, MATCH($BO355, 입력!$Z$2:$Z$500, 0)) &amp; "", "")</f>
        <v/>
      </c>
      <c r="T355" s="64">
        <f>MAX(0, 표1[[#This Row],[의무_면수]]-표1[[#This Row],[면수합]])</f>
        <v>0</v>
      </c>
      <c r="U355" s="44" t="str">
        <f t="shared" si="41"/>
        <v>이행완료</v>
      </c>
      <c r="V355" s="1">
        <f t="shared" si="45"/>
        <v>12</v>
      </c>
      <c r="W355" s="1" t="str">
        <f t="shared" si="42"/>
        <v/>
      </c>
      <c r="X355" s="1">
        <v>14</v>
      </c>
      <c r="Y355" s="64" t="str">
        <f>IFERROR(INDEX(입력!$M$2:$M$500, MATCH($BO355, 입력!$Z$2:$Z$500, 0)) &amp; "", "")</f>
        <v/>
      </c>
      <c r="Z355" s="64" t="str">
        <f>IFERROR(INDEX(입력!$N$2:$N$500, MATCH($BO355, 입력!$Z$2:$Z$500, 0)) &amp; "", "")</f>
        <v/>
      </c>
      <c r="AA355" s="64">
        <f>MAX(0, 표1[[#This Row],[의무_시설]]-표1[[#This Row],[시설합]])</f>
        <v>0</v>
      </c>
      <c r="AB355" s="17" t="str">
        <f t="shared" si="47"/>
        <v>이행완료</v>
      </c>
      <c r="AC355" s="64" t="str">
        <f>IFERROR(INDEX(입력!$P$2:$P$500, MATCH($BO355, 입력!$Z$2:$Z$500, 0)) &amp; "", "")</f>
        <v/>
      </c>
      <c r="AD355" s="64" t="str">
        <f>IFERROR(INDEX(입력!$Q$2:$Q$500, MATCH($BO355, 입력!$Z$2:$Z$500, 0)) &amp; "", "")</f>
        <v/>
      </c>
      <c r="AE355" s="64" t="str">
        <f>IFERROR(INDEX(입력!$R$2:$R$500, MATCH($BO355, 입력!$Z$2:$Z$500, 0)) &amp; "", "")</f>
        <v/>
      </c>
      <c r="AF355" s="64" t="str">
        <f>IFERROR(INDEX(입력!$S$2:$S$500, MATCH($BO355, 입력!$Z$2:$Z$500, 0)) &amp; "", "")</f>
        <v/>
      </c>
      <c r="AG355" s="64" t="str">
        <f>IFERROR(INDEX(입력!$T$2:$T$500, MATCH($BO355, 입력!$Z$2:$Z$500, 0)) &amp; "", "")</f>
        <v/>
      </c>
      <c r="AH355" s="64" t="str">
        <f>IFERROR(INDEX(입력!$U$2:$U$500, MATCH($BO355, 입력!$Z$2:$Z$500, 0)) &amp; "", "")</f>
        <v/>
      </c>
      <c r="AI355" s="64" t="str">
        <f>IFERROR(INDEX(입력!$V$2:$V$500, MATCH($BO355, 입력!$Z$2:$Z$500, 0)) &amp; "", "")</f>
        <v/>
      </c>
      <c r="AJ355" s="44" t="str">
        <f>IFERROR(INDEX(입력!$W$2:$W$500, MATCH($BO355, 입력!$Z$2:$Z$500, 0)) &amp; "", "")</f>
        <v/>
      </c>
      <c r="AK355" s="44" t="str">
        <f>IFERROR(INDEX(입력!$X$2:$X$500, MATCH($BO355, 입력!$Z$2:$Z$500, 0)) &amp; "", "")</f>
        <v/>
      </c>
      <c r="AL355" s="2"/>
      <c r="AM355" s="17" t="s">
        <v>1650</v>
      </c>
      <c r="AN355" s="101">
        <v>2025</v>
      </c>
      <c r="AO355" s="17" t="s">
        <v>3274</v>
      </c>
      <c r="AP355" s="118"/>
      <c r="AQ355" s="21"/>
      <c r="AR355" s="119"/>
      <c r="AS355" s="101" t="s">
        <v>3138</v>
      </c>
      <c r="AT355" s="109">
        <v>46062</v>
      </c>
      <c r="AU355" s="101" t="s">
        <v>3126</v>
      </c>
      <c r="AV355" s="21" t="s">
        <v>1760</v>
      </c>
      <c r="AW355" s="101"/>
      <c r="AX355" s="119" t="s">
        <v>2064</v>
      </c>
      <c r="AY355" s="83" t="s">
        <v>3131</v>
      </c>
      <c r="AZ355" s="71" t="str">
        <f>IFERROR(IF(INDEX(입력!$C$2:$C$500, MATCH($BO355, 입력!$Z$2:$Z$500, 0))="", "", TEXT(INDEX(입력!$C$2:$C$500, MATCH($BO355, 입력!$Z$2:$Z$500, 0)), "yyyy-mm-dd")), "")</f>
        <v/>
      </c>
      <c r="BA355" s="44" t="str">
        <f>IFERROR(INDEX(입력!$B$2:$B$500, MATCH($BO355, 입력!$Z$2:$Z$500, 0)) &amp; "", "")</f>
        <v/>
      </c>
      <c r="BB355" s="83" t="str">
        <f>IFERROR(INDEX(입력!$Y$2:$Y$500, MATCH($BO355, 입력!$Z$2:$Z$500, 0)) &amp; "", "")</f>
        <v/>
      </c>
      <c r="BC355" s="83" t="s">
        <v>3112</v>
      </c>
      <c r="BD355" s="83"/>
      <c r="BE355" s="101"/>
      <c r="BF355" s="101"/>
      <c r="BG355" s="101"/>
      <c r="BH355" s="101"/>
      <c r="BI355" s="101"/>
      <c r="BJ355" s="101"/>
      <c r="BK355" s="110"/>
      <c r="BL355" s="21"/>
      <c r="BM355" s="22">
        <v>611</v>
      </c>
      <c r="BN355" s="23"/>
      <c r="BO355" s="47" t="s">
        <v>815</v>
      </c>
    </row>
    <row r="356" spans="1:67" x14ac:dyDescent="0.45">
      <c r="A356" s="46">
        <v>355</v>
      </c>
      <c r="B356" s="1" t="s">
        <v>1647</v>
      </c>
      <c r="C356" s="17" t="str">
        <f t="shared" si="43"/>
        <v>이행완료</v>
      </c>
      <c r="D356" s="17" t="str">
        <f t="shared" si="46"/>
        <v/>
      </c>
      <c r="E356" s="2" t="s">
        <v>2067</v>
      </c>
      <c r="F356" s="1" t="s">
        <v>816</v>
      </c>
      <c r="G356" s="1" t="s">
        <v>2068</v>
      </c>
      <c r="H356" s="18" t="s">
        <v>1088</v>
      </c>
      <c r="I356" s="19">
        <v>251</v>
      </c>
      <c r="J356" s="2"/>
      <c r="K356" s="20" t="s">
        <v>2608</v>
      </c>
      <c r="L356" s="20"/>
      <c r="M356" s="17" t="str">
        <f t="shared" si="44"/>
        <v>기축</v>
      </c>
      <c r="N356" s="21"/>
      <c r="O356" s="21"/>
      <c r="P356" s="1">
        <f t="shared" si="40"/>
        <v>5</v>
      </c>
      <c r="Q356" s="1">
        <v>5</v>
      </c>
      <c r="R356" s="64" t="str">
        <f>IFERROR(INDEX(입력!$J$2:$J$500, MATCH($BO356, 입력!$Z$2:$Z$500, 0)) &amp; "", "")</f>
        <v/>
      </c>
      <c r="S356" s="64" t="str">
        <f>IFERROR(INDEX(입력!$K$2:$K$500, MATCH($BO356, 입력!$Z$2:$Z$500, 0)) &amp; "", "")</f>
        <v/>
      </c>
      <c r="T356" s="64">
        <f>MAX(0, 표1[[#This Row],[의무_면수]]-표1[[#This Row],[면수합]])</f>
        <v>0</v>
      </c>
      <c r="U356" s="44" t="str">
        <f t="shared" si="41"/>
        <v>이행완료</v>
      </c>
      <c r="V356" s="1">
        <f t="shared" si="45"/>
        <v>5</v>
      </c>
      <c r="W356" s="1" t="str">
        <f t="shared" si="42"/>
        <v/>
      </c>
      <c r="X356" s="1">
        <v>5</v>
      </c>
      <c r="Y356" s="64" t="str">
        <f>IFERROR(INDEX(입력!$M$2:$M$500, MATCH($BO356, 입력!$Z$2:$Z$500, 0)) &amp; "", "")</f>
        <v/>
      </c>
      <c r="Z356" s="64" t="str">
        <f>IFERROR(INDEX(입력!$N$2:$N$500, MATCH($BO356, 입력!$Z$2:$Z$500, 0)) &amp; "", "")</f>
        <v/>
      </c>
      <c r="AA356" s="64">
        <f>MAX(0, 표1[[#This Row],[의무_시설]]-표1[[#This Row],[시설합]])</f>
        <v>0</v>
      </c>
      <c r="AB356" s="17" t="str">
        <f t="shared" si="47"/>
        <v>이행완료</v>
      </c>
      <c r="AC356" s="64" t="str">
        <f>IFERROR(INDEX(입력!$P$2:$P$500, MATCH($BO356, 입력!$Z$2:$Z$500, 0)) &amp; "", "")</f>
        <v/>
      </c>
      <c r="AD356" s="64" t="str">
        <f>IFERROR(INDEX(입력!$Q$2:$Q$500, MATCH($BO356, 입력!$Z$2:$Z$500, 0)) &amp; "", "")</f>
        <v/>
      </c>
      <c r="AE356" s="64" t="str">
        <f>IFERROR(INDEX(입력!$R$2:$R$500, MATCH($BO356, 입력!$Z$2:$Z$500, 0)) &amp; "", "")</f>
        <v/>
      </c>
      <c r="AF356" s="64" t="str">
        <f>IFERROR(INDEX(입력!$S$2:$S$500, MATCH($BO356, 입력!$Z$2:$Z$500, 0)) &amp; "", "")</f>
        <v/>
      </c>
      <c r="AG356" s="64" t="str">
        <f>IFERROR(INDEX(입력!$T$2:$T$500, MATCH($BO356, 입력!$Z$2:$Z$500, 0)) &amp; "", "")</f>
        <v/>
      </c>
      <c r="AH356" s="64" t="str">
        <f>IFERROR(INDEX(입력!$U$2:$U$500, MATCH($BO356, 입력!$Z$2:$Z$500, 0)) &amp; "", "")</f>
        <v/>
      </c>
      <c r="AI356" s="64" t="str">
        <f>IFERROR(INDEX(입력!$V$2:$V$500, MATCH($BO356, 입력!$Z$2:$Z$500, 0)) &amp; "", "")</f>
        <v/>
      </c>
      <c r="AJ356" s="44" t="str">
        <f>IFERROR(INDEX(입력!$W$2:$W$500, MATCH($BO356, 입력!$Z$2:$Z$500, 0)) &amp; "", "")</f>
        <v/>
      </c>
      <c r="AK356" s="44" t="str">
        <f>IFERROR(INDEX(입력!$X$2:$X$500, MATCH($BO356, 입력!$Z$2:$Z$500, 0)) &amp; "", "")</f>
        <v/>
      </c>
      <c r="AL356" s="2"/>
      <c r="AM356" s="17" t="s">
        <v>1650</v>
      </c>
      <c r="AN356" s="101">
        <v>2025</v>
      </c>
      <c r="AO356" s="17" t="s">
        <v>3274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3137</v>
      </c>
      <c r="AZ356" s="71" t="str">
        <f>IFERROR(IF(INDEX(입력!$C$2:$C$500, MATCH($BO356, 입력!$Z$2:$Z$500, 0))="", "", TEXT(INDEX(입력!$C$2:$C$500, MATCH($BO356, 입력!$Z$2:$Z$500, 0)), "yyyy-mm-dd")), "")</f>
        <v/>
      </c>
      <c r="BA356" s="44" t="str">
        <f>IFERROR(INDEX(입력!$B$2:$B$500, MATCH($BO356, 입력!$Z$2:$Z$500, 0)) &amp; "", "")</f>
        <v/>
      </c>
      <c r="BB356" s="83" t="str">
        <f>IFERROR(INDEX(입력!$Y$2:$Y$500, MATCH($BO356, 입력!$Z$2:$Z$500, 0)) &amp; "", "")</f>
        <v/>
      </c>
      <c r="BC356" s="83" t="s">
        <v>3112</v>
      </c>
      <c r="BD356" s="83"/>
      <c r="BE356" s="101"/>
      <c r="BF356" s="101"/>
      <c r="BG356" s="101"/>
      <c r="BH356" s="101"/>
      <c r="BI356" s="101"/>
      <c r="BJ356" s="101"/>
      <c r="BK356" s="110"/>
      <c r="BL356" s="21"/>
      <c r="BM356" s="22">
        <v>251</v>
      </c>
      <c r="BN356" s="23"/>
      <c r="BO356" s="47" t="s">
        <v>817</v>
      </c>
    </row>
    <row r="357" spans="1:67" x14ac:dyDescent="0.45">
      <c r="A357" s="19">
        <v>356</v>
      </c>
      <c r="B357" s="1" t="s">
        <v>1647</v>
      </c>
      <c r="C357" s="17" t="str">
        <f t="shared" si="43"/>
        <v>이행완료</v>
      </c>
      <c r="D357" s="17" t="str">
        <f t="shared" si="46"/>
        <v/>
      </c>
      <c r="E357" s="2" t="s">
        <v>2069</v>
      </c>
      <c r="F357" s="1" t="s">
        <v>818</v>
      </c>
      <c r="G357" s="1" t="s">
        <v>2070</v>
      </c>
      <c r="H357" s="18" t="s">
        <v>1088</v>
      </c>
      <c r="I357" s="19">
        <v>406</v>
      </c>
      <c r="J357" s="2"/>
      <c r="K357" s="20" t="s">
        <v>2523</v>
      </c>
      <c r="L357" s="20"/>
      <c r="M357" s="17" t="str">
        <f t="shared" si="44"/>
        <v>기축</v>
      </c>
      <c r="N357" s="21"/>
      <c r="O357" s="21"/>
      <c r="P357" s="1">
        <f t="shared" si="40"/>
        <v>8</v>
      </c>
      <c r="Q357" s="1">
        <v>9</v>
      </c>
      <c r="R357" s="64" t="str">
        <f>IFERROR(INDEX(입력!$J$2:$J$500, MATCH($BO357, 입력!$Z$2:$Z$500, 0)) &amp; "", "")</f>
        <v/>
      </c>
      <c r="S357" s="64" t="str">
        <f>IFERROR(INDEX(입력!$K$2:$K$500, MATCH($BO357, 입력!$Z$2:$Z$500, 0)) &amp; "", "")</f>
        <v/>
      </c>
      <c r="T357" s="64">
        <f>MAX(0, 표1[[#This Row],[의무_면수]]-표1[[#This Row],[면수합]])</f>
        <v>0</v>
      </c>
      <c r="U357" s="44" t="str">
        <f t="shared" si="41"/>
        <v>이행완료</v>
      </c>
      <c r="V357" s="1">
        <f t="shared" si="45"/>
        <v>8</v>
      </c>
      <c r="W357" s="1" t="str">
        <f t="shared" si="42"/>
        <v/>
      </c>
      <c r="X357" s="1">
        <v>9</v>
      </c>
      <c r="Y357" s="64" t="str">
        <f>IFERROR(INDEX(입력!$M$2:$M$500, MATCH($BO357, 입력!$Z$2:$Z$500, 0)) &amp; "", "")</f>
        <v/>
      </c>
      <c r="Z357" s="64" t="str">
        <f>IFERROR(INDEX(입력!$N$2:$N$500, MATCH($BO357, 입력!$Z$2:$Z$500, 0)) &amp; "", "")</f>
        <v/>
      </c>
      <c r="AA357" s="64">
        <f>MAX(0, 표1[[#This Row],[의무_시설]]-표1[[#This Row],[시설합]])</f>
        <v>0</v>
      </c>
      <c r="AB357" s="17" t="str">
        <f t="shared" si="47"/>
        <v>이행완료</v>
      </c>
      <c r="AC357" s="64" t="str">
        <f>IFERROR(INDEX(입력!$P$2:$P$500, MATCH($BO357, 입력!$Z$2:$Z$500, 0)) &amp; "", "")</f>
        <v/>
      </c>
      <c r="AD357" s="64" t="str">
        <f>IFERROR(INDEX(입력!$Q$2:$Q$500, MATCH($BO357, 입력!$Z$2:$Z$500, 0)) &amp; "", "")</f>
        <v/>
      </c>
      <c r="AE357" s="64" t="str">
        <f>IFERROR(INDEX(입력!$R$2:$R$500, MATCH($BO357, 입력!$Z$2:$Z$500, 0)) &amp; "", "")</f>
        <v/>
      </c>
      <c r="AF357" s="64" t="str">
        <f>IFERROR(INDEX(입력!$S$2:$S$500, MATCH($BO357, 입력!$Z$2:$Z$500, 0)) &amp; "", "")</f>
        <v/>
      </c>
      <c r="AG357" s="64" t="str">
        <f>IFERROR(INDEX(입력!$T$2:$T$500, MATCH($BO357, 입력!$Z$2:$Z$500, 0)) &amp; "", "")</f>
        <v/>
      </c>
      <c r="AH357" s="64" t="str">
        <f>IFERROR(INDEX(입력!$U$2:$U$500, MATCH($BO357, 입력!$Z$2:$Z$500, 0)) &amp; "", "")</f>
        <v/>
      </c>
      <c r="AI357" s="64" t="str">
        <f>IFERROR(INDEX(입력!$V$2:$V$500, MATCH($BO357, 입력!$Z$2:$Z$500, 0)) &amp; "", "")</f>
        <v/>
      </c>
      <c r="AJ357" s="44" t="str">
        <f>IFERROR(INDEX(입력!$W$2:$W$500, MATCH($BO357, 입력!$Z$2:$Z$500, 0)) &amp; "", "")</f>
        <v/>
      </c>
      <c r="AK357" s="44" t="str">
        <f>IFERROR(INDEX(입력!$X$2:$X$500, MATCH($BO357, 입력!$Z$2:$Z$500, 0)) &amp; "", "")</f>
        <v/>
      </c>
      <c r="AL357" s="2"/>
      <c r="AM357" s="17" t="s">
        <v>1650</v>
      </c>
      <c r="AN357" s="101">
        <v>2025</v>
      </c>
      <c r="AO357" s="17" t="s">
        <v>3274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3131</v>
      </c>
      <c r="AZ357" s="71" t="str">
        <f>IFERROR(IF(INDEX(입력!$C$2:$C$500, MATCH($BO357, 입력!$Z$2:$Z$500, 0))="", "", TEXT(INDEX(입력!$C$2:$C$500, MATCH($BO357, 입력!$Z$2:$Z$500, 0)), "yyyy-mm-dd")), "")</f>
        <v/>
      </c>
      <c r="BA357" s="44" t="str">
        <f>IFERROR(INDEX(입력!$B$2:$B$500, MATCH($BO357, 입력!$Z$2:$Z$500, 0)) &amp; "", "")</f>
        <v/>
      </c>
      <c r="BB357" s="83" t="str">
        <f>IFERROR(INDEX(입력!$Y$2:$Y$500, MATCH($BO357, 입력!$Z$2:$Z$500, 0)) &amp; "", "")</f>
        <v/>
      </c>
      <c r="BC357" s="83" t="s">
        <v>3112</v>
      </c>
      <c r="BD357" s="83"/>
      <c r="BE357" s="101"/>
      <c r="BF357" s="101"/>
      <c r="BG357" s="101"/>
      <c r="BH357" s="101"/>
      <c r="BI357" s="101"/>
      <c r="BJ357" s="101"/>
      <c r="BK357" s="110"/>
      <c r="BL357" s="21"/>
      <c r="BM357" s="22">
        <v>406</v>
      </c>
      <c r="BN357" s="23"/>
      <c r="BO357" s="47" t="s">
        <v>819</v>
      </c>
    </row>
    <row r="358" spans="1:67" x14ac:dyDescent="0.45">
      <c r="A358" s="46">
        <v>357</v>
      </c>
      <c r="B358" s="1" t="s">
        <v>1647</v>
      </c>
      <c r="C358" s="17" t="str">
        <f t="shared" si="43"/>
        <v>이행완료</v>
      </c>
      <c r="D358" s="17" t="str">
        <f t="shared" si="46"/>
        <v/>
      </c>
      <c r="E358" s="2" t="s">
        <v>2071</v>
      </c>
      <c r="F358" s="1" t="s">
        <v>820</v>
      </c>
      <c r="G358" s="1" t="s">
        <v>2072</v>
      </c>
      <c r="H358" s="18" t="s">
        <v>1088</v>
      </c>
      <c r="I358" s="19">
        <v>266</v>
      </c>
      <c r="J358" s="2"/>
      <c r="K358" s="20" t="s">
        <v>2524</v>
      </c>
      <c r="L358" s="20"/>
      <c r="M358" s="17" t="str">
        <f t="shared" si="44"/>
        <v>기축</v>
      </c>
      <c r="N358" s="21"/>
      <c r="O358" s="21"/>
      <c r="P358" s="1">
        <f t="shared" si="40"/>
        <v>5</v>
      </c>
      <c r="Q358" s="1">
        <v>5</v>
      </c>
      <c r="R358" s="64" t="str">
        <f>IFERROR(INDEX(입력!$J$2:$J$500, MATCH($BO358, 입력!$Z$2:$Z$500, 0)) &amp; "", "")</f>
        <v/>
      </c>
      <c r="S358" s="64" t="str">
        <f>IFERROR(INDEX(입력!$K$2:$K$500, MATCH($BO358, 입력!$Z$2:$Z$500, 0)) &amp; "", "")</f>
        <v/>
      </c>
      <c r="T358" s="64">
        <f>MAX(0, 표1[[#This Row],[의무_면수]]-표1[[#This Row],[면수합]])</f>
        <v>0</v>
      </c>
      <c r="U358" s="44" t="str">
        <f t="shared" si="41"/>
        <v>이행완료</v>
      </c>
      <c r="V358" s="1">
        <f t="shared" si="45"/>
        <v>5</v>
      </c>
      <c r="W358" s="1" t="str">
        <f t="shared" si="42"/>
        <v/>
      </c>
      <c r="X358" s="1">
        <v>5</v>
      </c>
      <c r="Y358" s="64" t="str">
        <f>IFERROR(INDEX(입력!$M$2:$M$500, MATCH($BO358, 입력!$Z$2:$Z$500, 0)) &amp; "", "")</f>
        <v/>
      </c>
      <c r="Z358" s="64" t="str">
        <f>IFERROR(INDEX(입력!$N$2:$N$500, MATCH($BO358, 입력!$Z$2:$Z$500, 0)) &amp; "", "")</f>
        <v/>
      </c>
      <c r="AA358" s="64">
        <f>MAX(0, 표1[[#This Row],[의무_시설]]-표1[[#This Row],[시설합]])</f>
        <v>0</v>
      </c>
      <c r="AB358" s="17" t="str">
        <f t="shared" si="47"/>
        <v>이행완료</v>
      </c>
      <c r="AC358" s="64" t="str">
        <f>IFERROR(INDEX(입력!$P$2:$P$500, MATCH($BO358, 입력!$Z$2:$Z$500, 0)) &amp; "", "")</f>
        <v/>
      </c>
      <c r="AD358" s="64" t="str">
        <f>IFERROR(INDEX(입력!$Q$2:$Q$500, MATCH($BO358, 입력!$Z$2:$Z$500, 0)) &amp; "", "")</f>
        <v/>
      </c>
      <c r="AE358" s="64" t="str">
        <f>IFERROR(INDEX(입력!$R$2:$R$500, MATCH($BO358, 입력!$Z$2:$Z$500, 0)) &amp; "", "")</f>
        <v/>
      </c>
      <c r="AF358" s="64" t="str">
        <f>IFERROR(INDEX(입력!$S$2:$S$500, MATCH($BO358, 입력!$Z$2:$Z$500, 0)) &amp; "", "")</f>
        <v/>
      </c>
      <c r="AG358" s="64" t="str">
        <f>IFERROR(INDEX(입력!$T$2:$T$500, MATCH($BO358, 입력!$Z$2:$Z$500, 0)) &amp; "", "")</f>
        <v/>
      </c>
      <c r="AH358" s="64" t="str">
        <f>IFERROR(INDEX(입력!$U$2:$U$500, MATCH($BO358, 입력!$Z$2:$Z$500, 0)) &amp; "", "")</f>
        <v/>
      </c>
      <c r="AI358" s="64" t="str">
        <f>IFERROR(INDEX(입력!$V$2:$V$500, MATCH($BO358, 입력!$Z$2:$Z$500, 0)) &amp; "", "")</f>
        <v/>
      </c>
      <c r="AJ358" s="44" t="str">
        <f>IFERROR(INDEX(입력!$W$2:$W$500, MATCH($BO358, 입력!$Z$2:$Z$500, 0)) &amp; "", "")</f>
        <v/>
      </c>
      <c r="AK358" s="44" t="str">
        <f>IFERROR(INDEX(입력!$X$2:$X$500, MATCH($BO358, 입력!$Z$2:$Z$500, 0)) &amp; "", "")</f>
        <v/>
      </c>
      <c r="AL358" s="2"/>
      <c r="AM358" s="17" t="s">
        <v>1650</v>
      </c>
      <c r="AN358" s="101">
        <v>2025</v>
      </c>
      <c r="AO358" s="17" t="s">
        <v>3275</v>
      </c>
      <c r="AP358" s="118"/>
      <c r="AQ358" s="21"/>
      <c r="AR358" s="119" t="s">
        <v>2073</v>
      </c>
      <c r="AS358" s="101"/>
      <c r="AT358" s="101"/>
      <c r="AU358" s="101"/>
      <c r="AV358" s="101"/>
      <c r="AW358" s="101"/>
      <c r="AX358" s="101"/>
      <c r="AY358" s="83" t="s">
        <v>3137</v>
      </c>
      <c r="AZ358" s="71" t="str">
        <f>IFERROR(IF(INDEX(입력!$C$2:$C$500, MATCH($BO358, 입력!$Z$2:$Z$500, 0))="", "", TEXT(INDEX(입력!$C$2:$C$500, MATCH($BO358, 입력!$Z$2:$Z$500, 0)), "yyyy-mm-dd")), "")</f>
        <v/>
      </c>
      <c r="BA358" s="44" t="str">
        <f>IFERROR(INDEX(입력!$B$2:$B$500, MATCH($BO358, 입력!$Z$2:$Z$500, 0)) &amp; "", "")</f>
        <v/>
      </c>
      <c r="BB358" s="83" t="str">
        <f>IFERROR(INDEX(입력!$Y$2:$Y$500, MATCH($BO358, 입력!$Z$2:$Z$500, 0)) &amp; "", "")</f>
        <v/>
      </c>
      <c r="BC358" s="83" t="s">
        <v>3112</v>
      </c>
      <c r="BD358" s="83"/>
      <c r="BE358" s="101"/>
      <c r="BF358" s="101"/>
      <c r="BG358" s="101"/>
      <c r="BH358" s="101"/>
      <c r="BI358" s="101"/>
      <c r="BJ358" s="101"/>
      <c r="BK358" s="110"/>
      <c r="BL358" s="21"/>
      <c r="BM358" s="22">
        <v>266</v>
      </c>
      <c r="BN358" s="23"/>
      <c r="BO358" s="47" t="s">
        <v>821</v>
      </c>
    </row>
    <row r="359" spans="1:67" x14ac:dyDescent="0.45">
      <c r="A359" s="19">
        <v>358</v>
      </c>
      <c r="B359" s="1" t="s">
        <v>1647</v>
      </c>
      <c r="C359" s="17" t="str">
        <f t="shared" si="43"/>
        <v>이행완료</v>
      </c>
      <c r="D359" s="17" t="str">
        <f t="shared" si="46"/>
        <v/>
      </c>
      <c r="E359" s="2" t="s">
        <v>2074</v>
      </c>
      <c r="F359" s="1" t="s">
        <v>822</v>
      </c>
      <c r="G359" s="1" t="s">
        <v>2075</v>
      </c>
      <c r="H359" s="18" t="s">
        <v>1088</v>
      </c>
      <c r="I359" s="19">
        <v>1001</v>
      </c>
      <c r="J359" s="2"/>
      <c r="K359" s="20" t="s">
        <v>2418</v>
      </c>
      <c r="L359" s="20"/>
      <c r="M359" s="17" t="str">
        <f t="shared" si="44"/>
        <v>기축</v>
      </c>
      <c r="N359" s="21"/>
      <c r="O359" s="21"/>
      <c r="P359" s="1">
        <f t="shared" si="40"/>
        <v>20</v>
      </c>
      <c r="Q359" s="1">
        <v>33</v>
      </c>
      <c r="R359" s="64" t="str">
        <f>IFERROR(INDEX(입력!$J$2:$J$500, MATCH($BO359, 입력!$Z$2:$Z$500, 0)) &amp; "", "")</f>
        <v/>
      </c>
      <c r="S359" s="64" t="str">
        <f>IFERROR(INDEX(입력!$K$2:$K$500, MATCH($BO359, 입력!$Z$2:$Z$500, 0)) &amp; "", "")</f>
        <v/>
      </c>
      <c r="T359" s="64">
        <f>MAX(0, 표1[[#This Row],[의무_면수]]-표1[[#This Row],[면수합]])</f>
        <v>0</v>
      </c>
      <c r="U359" s="44" t="str">
        <f t="shared" si="41"/>
        <v>이행완료</v>
      </c>
      <c r="V359" s="1">
        <f t="shared" si="45"/>
        <v>20</v>
      </c>
      <c r="W359" s="1" t="str">
        <f t="shared" si="42"/>
        <v/>
      </c>
      <c r="X359" s="1">
        <v>33</v>
      </c>
      <c r="Y359" s="64" t="str">
        <f>IFERROR(INDEX(입력!$M$2:$M$500, MATCH($BO359, 입력!$Z$2:$Z$500, 0)) &amp; "", "")</f>
        <v/>
      </c>
      <c r="Z359" s="64" t="str">
        <f>IFERROR(INDEX(입력!$N$2:$N$500, MATCH($BO359, 입력!$Z$2:$Z$500, 0)) &amp; "", "")</f>
        <v/>
      </c>
      <c r="AA359" s="64">
        <f>MAX(0, 표1[[#This Row],[의무_시설]]-표1[[#This Row],[시설합]])</f>
        <v>0</v>
      </c>
      <c r="AB359" s="17" t="str">
        <f t="shared" si="47"/>
        <v>이행완료</v>
      </c>
      <c r="AC359" s="64" t="str">
        <f>IFERROR(INDEX(입력!$P$2:$P$500, MATCH($BO359, 입력!$Z$2:$Z$500, 0)) &amp; "", "")</f>
        <v/>
      </c>
      <c r="AD359" s="64" t="str">
        <f>IFERROR(INDEX(입력!$Q$2:$Q$500, MATCH($BO359, 입력!$Z$2:$Z$500, 0)) &amp; "", "")</f>
        <v/>
      </c>
      <c r="AE359" s="64" t="str">
        <f>IFERROR(INDEX(입력!$R$2:$R$500, MATCH($BO359, 입력!$Z$2:$Z$500, 0)) &amp; "", "")</f>
        <v/>
      </c>
      <c r="AF359" s="64" t="str">
        <f>IFERROR(INDEX(입력!$S$2:$S$500, MATCH($BO359, 입력!$Z$2:$Z$500, 0)) &amp; "", "")</f>
        <v/>
      </c>
      <c r="AG359" s="64" t="str">
        <f>IFERROR(INDEX(입력!$T$2:$T$500, MATCH($BO359, 입력!$Z$2:$Z$500, 0)) &amp; "", "")</f>
        <v/>
      </c>
      <c r="AH359" s="64" t="str">
        <f>IFERROR(INDEX(입력!$U$2:$U$500, MATCH($BO359, 입력!$Z$2:$Z$500, 0)) &amp; "", "")</f>
        <v/>
      </c>
      <c r="AI359" s="64" t="str">
        <f>IFERROR(INDEX(입력!$V$2:$V$500, MATCH($BO359, 입력!$Z$2:$Z$500, 0)) &amp; "", "")</f>
        <v/>
      </c>
      <c r="AJ359" s="44" t="str">
        <f>IFERROR(INDEX(입력!$W$2:$W$500, MATCH($BO359, 입력!$Z$2:$Z$500, 0)) &amp; "", "")</f>
        <v/>
      </c>
      <c r="AK359" s="44" t="str">
        <f>IFERROR(INDEX(입력!$X$2:$X$500, MATCH($BO359, 입력!$Z$2:$Z$500, 0)) &amp; "", "")</f>
        <v/>
      </c>
      <c r="AL359" s="2"/>
      <c r="AM359" s="17" t="s">
        <v>1650</v>
      </c>
      <c r="AN359" s="101">
        <v>2025</v>
      </c>
      <c r="AO359" s="17" t="s">
        <v>3275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3131</v>
      </c>
      <c r="AZ359" s="71" t="str">
        <f>IFERROR(IF(INDEX(입력!$C$2:$C$500, MATCH($BO359, 입력!$Z$2:$Z$500, 0))="", "", TEXT(INDEX(입력!$C$2:$C$500, MATCH($BO359, 입력!$Z$2:$Z$500, 0)), "yyyy-mm-dd")), "")</f>
        <v/>
      </c>
      <c r="BA359" s="44" t="str">
        <f>IFERROR(INDEX(입력!$B$2:$B$500, MATCH($BO359, 입력!$Z$2:$Z$500, 0)) &amp; "", "")</f>
        <v/>
      </c>
      <c r="BB359" s="83" t="str">
        <f>IFERROR(INDEX(입력!$Y$2:$Y$500, MATCH($BO359, 입력!$Z$2:$Z$500, 0)) &amp; "", "")</f>
        <v/>
      </c>
      <c r="BC359" s="83" t="s">
        <v>3112</v>
      </c>
      <c r="BD359" s="83"/>
      <c r="BE359" s="101"/>
      <c r="BF359" s="101"/>
      <c r="BG359" s="101"/>
      <c r="BH359" s="101"/>
      <c r="BI359" s="101"/>
      <c r="BJ359" s="101"/>
      <c r="BK359" s="110"/>
      <c r="BL359" s="21"/>
      <c r="BM359" s="22">
        <v>1000</v>
      </c>
      <c r="BN359" s="23"/>
      <c r="BO359" s="47" t="s">
        <v>823</v>
      </c>
    </row>
    <row r="360" spans="1:67" x14ac:dyDescent="0.45">
      <c r="A360" s="46">
        <v>359</v>
      </c>
      <c r="B360" s="1" t="s">
        <v>1647</v>
      </c>
      <c r="C360" s="17" t="str">
        <f t="shared" si="43"/>
        <v>이행완료</v>
      </c>
      <c r="D360" s="17" t="str">
        <f t="shared" si="46"/>
        <v/>
      </c>
      <c r="E360" s="2" t="s">
        <v>2076</v>
      </c>
      <c r="F360" s="1" t="s">
        <v>824</v>
      </c>
      <c r="G360" s="1" t="s">
        <v>2077</v>
      </c>
      <c r="H360" s="18" t="s">
        <v>1088</v>
      </c>
      <c r="I360" s="19">
        <v>990</v>
      </c>
      <c r="J360" s="2"/>
      <c r="K360" s="20" t="s">
        <v>2525</v>
      </c>
      <c r="L360" s="20"/>
      <c r="M360" s="17" t="str">
        <f t="shared" si="44"/>
        <v>기축</v>
      </c>
      <c r="N360" s="21"/>
      <c r="O360" s="21"/>
      <c r="P360" s="1">
        <f t="shared" si="40"/>
        <v>20</v>
      </c>
      <c r="Q360" s="1">
        <v>21</v>
      </c>
      <c r="R360" s="64" t="str">
        <f>IFERROR(INDEX(입력!$J$2:$J$500, MATCH($BO360, 입력!$Z$2:$Z$500, 0)) &amp; "", "")</f>
        <v/>
      </c>
      <c r="S360" s="64" t="str">
        <f>IFERROR(INDEX(입력!$K$2:$K$500, MATCH($BO360, 입력!$Z$2:$Z$500, 0)) &amp; "", "")</f>
        <v/>
      </c>
      <c r="T360" s="64">
        <f>MAX(0, 표1[[#This Row],[의무_면수]]-표1[[#This Row],[면수합]])</f>
        <v>0</v>
      </c>
      <c r="U360" s="44" t="str">
        <f t="shared" si="41"/>
        <v>이행완료</v>
      </c>
      <c r="V360" s="1">
        <f t="shared" si="45"/>
        <v>20</v>
      </c>
      <c r="W360" s="1" t="str">
        <f t="shared" si="42"/>
        <v/>
      </c>
      <c r="X360" s="1">
        <v>21</v>
      </c>
      <c r="Y360" s="64" t="str">
        <f>IFERROR(INDEX(입력!$M$2:$M$500, MATCH($BO360, 입력!$Z$2:$Z$500, 0)) &amp; "", "")</f>
        <v/>
      </c>
      <c r="Z360" s="64" t="str">
        <f>IFERROR(INDEX(입력!$N$2:$N$500, MATCH($BO360, 입력!$Z$2:$Z$500, 0)) &amp; "", "")</f>
        <v/>
      </c>
      <c r="AA360" s="64">
        <f>MAX(0, 표1[[#This Row],[의무_시설]]-표1[[#This Row],[시설합]])</f>
        <v>0</v>
      </c>
      <c r="AB360" s="17" t="str">
        <f t="shared" si="47"/>
        <v>이행완료</v>
      </c>
      <c r="AC360" s="64" t="str">
        <f>IFERROR(INDEX(입력!$P$2:$P$500, MATCH($BO360, 입력!$Z$2:$Z$500, 0)) &amp; "", "")</f>
        <v/>
      </c>
      <c r="AD360" s="64" t="str">
        <f>IFERROR(INDEX(입력!$Q$2:$Q$500, MATCH($BO360, 입력!$Z$2:$Z$500, 0)) &amp; "", "")</f>
        <v/>
      </c>
      <c r="AE360" s="64" t="str">
        <f>IFERROR(INDEX(입력!$R$2:$R$500, MATCH($BO360, 입력!$Z$2:$Z$500, 0)) &amp; "", "")</f>
        <v/>
      </c>
      <c r="AF360" s="64" t="str">
        <f>IFERROR(INDEX(입력!$S$2:$S$500, MATCH($BO360, 입력!$Z$2:$Z$500, 0)) &amp; "", "")</f>
        <v/>
      </c>
      <c r="AG360" s="64" t="str">
        <f>IFERROR(INDEX(입력!$T$2:$T$500, MATCH($BO360, 입력!$Z$2:$Z$500, 0)) &amp; "", "")</f>
        <v/>
      </c>
      <c r="AH360" s="64" t="str">
        <f>IFERROR(INDEX(입력!$U$2:$U$500, MATCH($BO360, 입력!$Z$2:$Z$500, 0)) &amp; "", "")</f>
        <v/>
      </c>
      <c r="AI360" s="64" t="str">
        <f>IFERROR(INDEX(입력!$V$2:$V$500, MATCH($BO360, 입력!$Z$2:$Z$500, 0)) &amp; "", "")</f>
        <v/>
      </c>
      <c r="AJ360" s="44" t="str">
        <f>IFERROR(INDEX(입력!$W$2:$W$500, MATCH($BO360, 입력!$Z$2:$Z$500, 0)) &amp; "", "")</f>
        <v/>
      </c>
      <c r="AK360" s="44" t="str">
        <f>IFERROR(INDEX(입력!$X$2:$X$500, MATCH($BO360, 입력!$Z$2:$Z$500, 0)) &amp; "", "")</f>
        <v/>
      </c>
      <c r="AL360" s="2"/>
      <c r="AM360" s="17" t="s">
        <v>1650</v>
      </c>
      <c r="AN360" s="101">
        <v>2025</v>
      </c>
      <c r="AO360" s="17" t="s">
        <v>3274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3132</v>
      </c>
      <c r="AZ360" s="71" t="str">
        <f>IFERROR(IF(INDEX(입력!$C$2:$C$500, MATCH($BO360, 입력!$Z$2:$Z$500, 0))="", "", TEXT(INDEX(입력!$C$2:$C$500, MATCH($BO360, 입력!$Z$2:$Z$500, 0)), "yyyy-mm-dd")), "")</f>
        <v/>
      </c>
      <c r="BA360" s="44" t="str">
        <f>IFERROR(INDEX(입력!$B$2:$B$500, MATCH($BO360, 입력!$Z$2:$Z$500, 0)) &amp; "", "")</f>
        <v/>
      </c>
      <c r="BB360" s="83" t="str">
        <f>IFERROR(INDEX(입력!$Y$2:$Y$500, MATCH($BO360, 입력!$Z$2:$Z$500, 0)) &amp; "", "")</f>
        <v/>
      </c>
      <c r="BC360" s="83" t="s">
        <v>3112</v>
      </c>
      <c r="BD360" s="83"/>
      <c r="BE360" s="101"/>
      <c r="BF360" s="101"/>
      <c r="BG360" s="101"/>
      <c r="BH360" s="101"/>
      <c r="BI360" s="101"/>
      <c r="BJ360" s="101"/>
      <c r="BK360" s="110"/>
      <c r="BL360" s="21"/>
      <c r="BM360" s="22">
        <v>990</v>
      </c>
      <c r="BN360" s="23"/>
      <c r="BO360" s="47" t="s">
        <v>825</v>
      </c>
    </row>
    <row r="361" spans="1:67" x14ac:dyDescent="0.45">
      <c r="A361" s="19">
        <v>360</v>
      </c>
      <c r="B361" s="1" t="s">
        <v>1647</v>
      </c>
      <c r="C361" s="17" t="str">
        <f t="shared" si="43"/>
        <v>미이행</v>
      </c>
      <c r="D361" s="17" t="str">
        <f t="shared" si="46"/>
        <v>조사완료</v>
      </c>
      <c r="E361" s="2" t="s">
        <v>2078</v>
      </c>
      <c r="F361" s="1" t="s">
        <v>826</v>
      </c>
      <c r="G361" s="1" t="s">
        <v>2079</v>
      </c>
      <c r="H361" s="18" t="s">
        <v>1202</v>
      </c>
      <c r="I361" s="19">
        <v>806</v>
      </c>
      <c r="J361" s="2"/>
      <c r="K361" s="20" t="s">
        <v>2471</v>
      </c>
      <c r="L361" s="20"/>
      <c r="M361" s="17" t="str">
        <f t="shared" si="44"/>
        <v>기축</v>
      </c>
      <c r="N361" s="21"/>
      <c r="O361" s="21"/>
      <c r="P361" s="1">
        <f t="shared" si="40"/>
        <v>16</v>
      </c>
      <c r="Q361" s="1">
        <v>8</v>
      </c>
      <c r="R361" s="64" t="str">
        <f>IFERROR(INDEX(입력!$J$2:$J$500, MATCH($BO361, 입력!$Z$2:$Z$500, 0)) &amp; "", "")</f>
        <v/>
      </c>
      <c r="S361" s="64" t="str">
        <f>IFERROR(INDEX(입력!$K$2:$K$500, MATCH($BO361, 입력!$Z$2:$Z$500, 0)) &amp; "", "")</f>
        <v>8</v>
      </c>
      <c r="T361" s="64">
        <f>MAX(0, 표1[[#This Row],[의무_면수]]-표1[[#This Row],[면수합]])</f>
        <v>8</v>
      </c>
      <c r="U361" s="44" t="str">
        <f t="shared" si="41"/>
        <v>미이행</v>
      </c>
      <c r="V361" s="1">
        <f t="shared" si="45"/>
        <v>16</v>
      </c>
      <c r="W361" s="1" t="str">
        <f t="shared" si="42"/>
        <v/>
      </c>
      <c r="X361" s="1">
        <v>8</v>
      </c>
      <c r="Y361" s="64" t="str">
        <f>IFERROR(INDEX(입력!$M$2:$M$500, MATCH($BO361, 입력!$Z$2:$Z$500, 0)) &amp; "", "")</f>
        <v>1</v>
      </c>
      <c r="Z361" s="64" t="str">
        <f>IFERROR(INDEX(입력!$N$2:$N$500, MATCH($BO361, 입력!$Z$2:$Z$500, 0)) &amp; "", "")</f>
        <v>7</v>
      </c>
      <c r="AA361" s="64">
        <f>MAX(0, 표1[[#This Row],[의무_시설]]-표1[[#This Row],[시설합]])</f>
        <v>8</v>
      </c>
      <c r="AB361" s="17" t="str">
        <f t="shared" si="47"/>
        <v>미이행</v>
      </c>
      <c r="AC361" s="64" t="str">
        <f>IFERROR(INDEX(입력!$P$2:$P$500, MATCH($BO361, 입력!$Z$2:$Z$500, 0)) &amp; "", "")</f>
        <v>391</v>
      </c>
      <c r="AD361" s="64" t="str">
        <f>IFERROR(INDEX(입력!$Q$2:$Q$500, MATCH($BO361, 입력!$Z$2:$Z$500, 0)) &amp; "", "")</f>
        <v>8</v>
      </c>
      <c r="AE361" s="64" t="str">
        <f>IFERROR(INDEX(입력!$R$2:$R$500, MATCH($BO361, 입력!$Z$2:$Z$500, 0)) &amp; "", "")</f>
        <v>여</v>
      </c>
      <c r="AF361" s="64" t="str">
        <f>IFERROR(INDEX(입력!$S$2:$S$500, MATCH($BO361, 입력!$Z$2:$Z$500, 0)) &amp; "", "")</f>
        <v>여</v>
      </c>
      <c r="AG361" s="64" t="str">
        <f>IFERROR(INDEX(입력!$T$2:$T$500, MATCH($BO361, 입력!$Z$2:$Z$500, 0)) &amp; "", "")</f>
        <v>부</v>
      </c>
      <c r="AH361" s="64" t="str">
        <f>IFERROR(INDEX(입력!$U$2:$U$500, MATCH($BO361, 입력!$Z$2:$Z$500, 0)) &amp; "", "")</f>
        <v/>
      </c>
      <c r="AI361" s="64" t="str">
        <f>IFERROR(INDEX(입력!$V$2:$V$500, MATCH($BO361, 입력!$Z$2:$Z$500, 0)) &amp; "", "")</f>
        <v>여</v>
      </c>
      <c r="AJ361" s="44" t="str">
        <f>IFERROR(INDEX(입력!$W$2:$W$500, MATCH($BO361, 입력!$Z$2:$Z$500, 0)) &amp; "", "")</f>
        <v>홍희수</v>
      </c>
      <c r="AK361" s="44" t="str">
        <f>IFERROR(INDEX(입력!$X$2:$X$500, MATCH($BO361, 입력!$Z$2:$Z$500, 0)) &amp; "", "")</f>
        <v>962-1693</v>
      </c>
      <c r="AL361" s="2" t="s">
        <v>2080</v>
      </c>
      <c r="AM361" s="17" t="s">
        <v>1650</v>
      </c>
      <c r="AN361" s="101">
        <v>2025</v>
      </c>
      <c r="AO361" s="17" t="s">
        <v>3274</v>
      </c>
      <c r="AP361" s="101"/>
      <c r="AQ361" s="108"/>
      <c r="AR361" s="119"/>
      <c r="AS361" s="101" t="s">
        <v>1094</v>
      </c>
      <c r="AT361" s="109">
        <v>46062</v>
      </c>
      <c r="AU361" s="101" t="s">
        <v>3127</v>
      </c>
      <c r="AV361" s="101" t="s">
        <v>3307</v>
      </c>
      <c r="AW361" s="101" t="s">
        <v>3149</v>
      </c>
      <c r="AX361" s="101" t="s">
        <v>3308</v>
      </c>
      <c r="AY361" s="83" t="s">
        <v>3137</v>
      </c>
      <c r="AZ361" s="71" t="str">
        <f>IFERROR(IF(INDEX(입력!$C$2:$C$500, MATCH($BO361, 입력!$Z$2:$Z$500, 0))="", "", TEXT(INDEX(입력!$C$2:$C$500, MATCH($BO361, 입력!$Z$2:$Z$500, 0)), "yyyy-mm-dd")), "")</f>
        <v>2026-04-03</v>
      </c>
      <c r="BA361" s="44" t="str">
        <f>IFERROR(INDEX(입력!$B$2:$B$500, MATCH($BO361, 입력!$Z$2:$Z$500, 0)) &amp; "", "")</f>
        <v>정은진</v>
      </c>
      <c r="BB361" s="83" t="str">
        <f>IFERROR(INDEX(입력!$Y$2:$Y$500, MATCH($BO361, 입력!$Z$2:$Z$500, 0)) &amp; "", "")</f>
        <v>4월중 신청, 확보공간부족, 입주자부동의</v>
      </c>
      <c r="BC361" s="83" t="s">
        <v>3149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3994</v>
      </c>
      <c r="BI361" s="101" t="s">
        <v>3812</v>
      </c>
      <c r="BJ361" s="101"/>
      <c r="BK361" s="110"/>
      <c r="BL361" s="21"/>
      <c r="BM361" s="22">
        <v>806</v>
      </c>
      <c r="BN361" s="23"/>
      <c r="BO361" s="47" t="s">
        <v>827</v>
      </c>
    </row>
    <row r="362" spans="1:67" x14ac:dyDescent="0.45">
      <c r="A362" s="46">
        <v>361</v>
      </c>
      <c r="B362" s="1" t="s">
        <v>1647</v>
      </c>
      <c r="C362" s="17" t="str">
        <f t="shared" si="43"/>
        <v>이행완료</v>
      </c>
      <c r="D362" s="17" t="str">
        <f t="shared" si="46"/>
        <v>조사완료</v>
      </c>
      <c r="E362" s="1" t="s">
        <v>114</v>
      </c>
      <c r="F362" s="1" t="s">
        <v>828</v>
      </c>
      <c r="G362" s="1" t="s">
        <v>2081</v>
      </c>
      <c r="H362" s="18" t="s">
        <v>1202</v>
      </c>
      <c r="I362" s="19">
        <v>490</v>
      </c>
      <c r="J362" s="2"/>
      <c r="K362" s="20" t="s">
        <v>2334</v>
      </c>
      <c r="L362" s="20"/>
      <c r="M362" s="17" t="str">
        <f t="shared" si="44"/>
        <v>기축</v>
      </c>
      <c r="N362" s="21"/>
      <c r="O362" s="21"/>
      <c r="P362" s="1">
        <f t="shared" si="40"/>
        <v>10</v>
      </c>
      <c r="Q362" s="1">
        <v>20</v>
      </c>
      <c r="R362" s="64">
        <v>10</v>
      </c>
      <c r="S362" s="64" t="str">
        <f>IFERROR(INDEX(입력!$K$2:$K$500, MATCH($BO362, 입력!$Z$2:$Z$500, 0)) &amp; "", "")</f>
        <v>10</v>
      </c>
      <c r="T362" s="64">
        <f>MAX(0, 표1[[#This Row],[의무_면수]]-표1[[#This Row],[면수합]])</f>
        <v>0</v>
      </c>
      <c r="U362" s="44" t="str">
        <f t="shared" si="41"/>
        <v>이행완료</v>
      </c>
      <c r="V362" s="1">
        <f t="shared" si="45"/>
        <v>10</v>
      </c>
      <c r="W362" s="1" t="str">
        <f t="shared" si="42"/>
        <v/>
      </c>
      <c r="X362" s="1">
        <v>20</v>
      </c>
      <c r="Y362" s="64" t="str">
        <f>IFERROR(INDEX(입력!$M$2:$M$500, MATCH($BO362, 입력!$Z$2:$Z$500, 0)) &amp; "", "")</f>
        <v/>
      </c>
      <c r="Z362" s="64">
        <v>20</v>
      </c>
      <c r="AA362" s="64">
        <f>MAX(0, 표1[[#This Row],[의무_시설]]-표1[[#This Row],[시설합]])</f>
        <v>0</v>
      </c>
      <c r="AB362" s="17" t="str">
        <f t="shared" si="47"/>
        <v>이행완료</v>
      </c>
      <c r="AC362" s="64" t="str">
        <f>IFERROR(INDEX(입력!$P$2:$P$500, MATCH($BO362, 입력!$Z$2:$Z$500, 0)) &amp; "", "")</f>
        <v>403</v>
      </c>
      <c r="AD362" s="64" t="str">
        <f>IFERROR(INDEX(입력!$Q$2:$Q$500, MATCH($BO362, 입력!$Z$2:$Z$500, 0)) &amp; "", "")</f>
        <v/>
      </c>
      <c r="AE362" s="64" t="str">
        <f>IFERROR(INDEX(입력!$R$2:$R$500, MATCH($BO362, 입력!$Z$2:$Z$500, 0)) &amp; "", "")</f>
        <v>여</v>
      </c>
      <c r="AF362" s="64" t="str">
        <f>IFERROR(INDEX(입력!$S$2:$S$500, MATCH($BO362, 입력!$Z$2:$Z$500, 0)) &amp; "", "")</f>
        <v>여</v>
      </c>
      <c r="AG362" s="64" t="str">
        <f>IFERROR(INDEX(입력!$T$2:$T$500, MATCH($BO362, 입력!$Z$2:$Z$500, 0)) &amp; "", "")</f>
        <v>부</v>
      </c>
      <c r="AH362" s="64" t="str">
        <f>IFERROR(INDEX(입력!$U$2:$U$500, MATCH($BO362, 입력!$Z$2:$Z$500, 0)) &amp; "", "")</f>
        <v/>
      </c>
      <c r="AI362" s="64" t="str">
        <f>IFERROR(INDEX(입력!$V$2:$V$500, MATCH($BO362, 입력!$Z$2:$Z$500, 0)) &amp; "", "")</f>
        <v>여</v>
      </c>
      <c r="AJ362" s="44" t="str">
        <f>IFERROR(INDEX(입력!$W$2:$W$500, MATCH($BO362, 입력!$Z$2:$Z$500, 0)) &amp; "", "")</f>
        <v>이성인</v>
      </c>
      <c r="AK362" s="44" t="str">
        <f>IFERROR(INDEX(입력!$X$2:$X$500, MATCH($BO362, 입력!$Z$2:$Z$500, 0)) &amp; "", "")</f>
        <v>955-0015</v>
      </c>
      <c r="AL362" s="2" t="s">
        <v>2082</v>
      </c>
      <c r="AM362" s="17" t="s">
        <v>1650</v>
      </c>
      <c r="AN362" s="101">
        <v>2025</v>
      </c>
      <c r="AO362" s="17" t="s">
        <v>3277</v>
      </c>
      <c r="AP362" s="118"/>
      <c r="AQ362" s="21"/>
      <c r="AR362" s="119" t="s">
        <v>2083</v>
      </c>
      <c r="AS362" s="101"/>
      <c r="AT362" s="101"/>
      <c r="AU362" s="101"/>
      <c r="AV362" s="101"/>
      <c r="AW362" s="101"/>
      <c r="AX362" s="101"/>
      <c r="AY362" s="83" t="s">
        <v>3137</v>
      </c>
      <c r="AZ362" s="71" t="str">
        <f>IFERROR(IF(INDEX(입력!$C$2:$C$500, MATCH($BO362, 입력!$Z$2:$Z$500, 0))="", "", TEXT(INDEX(입력!$C$2:$C$500, MATCH($BO362, 입력!$Z$2:$Z$500, 0)), "yyyy-mm-dd")), "")</f>
        <v>2026-04-08</v>
      </c>
      <c r="BA362" s="44" t="str">
        <f>IFERROR(INDEX(입력!$B$2:$B$500, MATCH($BO362, 입력!$Z$2:$Z$500, 0)) &amp; "", "")</f>
        <v>정은진</v>
      </c>
      <c r="BB362" s="83" t="str">
        <f>IFERROR(INDEX(입력!$Y$2:$Y$500, MATCH($BO362, 입력!$Z$2:$Z$500, 0)) &amp; "", "")</f>
        <v>지상 10기 설치중</v>
      </c>
      <c r="BC362" s="83" t="s">
        <v>3083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3374</v>
      </c>
      <c r="BI362" s="101"/>
      <c r="BJ362" s="101" t="s">
        <v>3375</v>
      </c>
      <c r="BK362" s="110"/>
      <c r="BL362" s="21"/>
      <c r="BM362" s="22">
        <v>490</v>
      </c>
      <c r="BN362" s="23"/>
      <c r="BO362" s="47" t="s">
        <v>829</v>
      </c>
    </row>
    <row r="363" spans="1:67" x14ac:dyDescent="0.45">
      <c r="A363" s="19">
        <v>362</v>
      </c>
      <c r="B363" s="1" t="s">
        <v>1647</v>
      </c>
      <c r="C363" s="17" t="str">
        <f t="shared" si="43"/>
        <v>미이행</v>
      </c>
      <c r="D363" s="17" t="str">
        <f t="shared" si="46"/>
        <v>조사완료</v>
      </c>
      <c r="E363" s="1" t="s">
        <v>109</v>
      </c>
      <c r="F363" s="1" t="s">
        <v>830</v>
      </c>
      <c r="G363" s="1" t="s">
        <v>2084</v>
      </c>
      <c r="H363" s="18" t="s">
        <v>1202</v>
      </c>
      <c r="I363" s="19">
        <v>531</v>
      </c>
      <c r="J363" s="2"/>
      <c r="K363" s="20" t="s">
        <v>2609</v>
      </c>
      <c r="L363" s="20"/>
      <c r="M363" s="17" t="str">
        <f t="shared" si="44"/>
        <v>기축</v>
      </c>
      <c r="N363" s="45"/>
      <c r="O363" s="21"/>
      <c r="P363" s="1">
        <f t="shared" si="40"/>
        <v>11</v>
      </c>
      <c r="Q363" s="1">
        <v>3</v>
      </c>
      <c r="R363" s="64" t="str">
        <f>IFERROR(INDEX(입력!$J$2:$J$500, MATCH($BO363, 입력!$Z$2:$Z$500, 0)) &amp; "", "")</f>
        <v/>
      </c>
      <c r="S363" s="64" t="str">
        <f>IFERROR(INDEX(입력!$K$2:$K$500, MATCH($BO363, 입력!$Z$2:$Z$500, 0)) &amp; "", "")</f>
        <v>3</v>
      </c>
      <c r="T363" s="64">
        <f>MAX(0, 표1[[#This Row],[의무_면수]]-표1[[#This Row],[면수합]])</f>
        <v>8</v>
      </c>
      <c r="U363" s="44" t="str">
        <f t="shared" si="41"/>
        <v>미이행</v>
      </c>
      <c r="V363" s="1">
        <f t="shared" si="45"/>
        <v>11</v>
      </c>
      <c r="W363" s="1" t="str">
        <f t="shared" si="42"/>
        <v/>
      </c>
      <c r="X363" s="1">
        <v>3</v>
      </c>
      <c r="Y363" s="64" t="str">
        <f>IFERROR(INDEX(입력!$M$2:$M$500, MATCH($BO363, 입력!$Z$2:$Z$500, 0)) &amp; "", "")</f>
        <v>1</v>
      </c>
      <c r="Z363" s="64" t="str">
        <f>IFERROR(INDEX(입력!$N$2:$N$500, MATCH($BO363, 입력!$Z$2:$Z$500, 0)) &amp; "", "")</f>
        <v>2</v>
      </c>
      <c r="AA363" s="64">
        <f>MAX(0, 표1[[#This Row],[의무_시설]]-표1[[#This Row],[시설합]])</f>
        <v>8</v>
      </c>
      <c r="AB363" s="17" t="str">
        <f t="shared" si="47"/>
        <v>미이행</v>
      </c>
      <c r="AC363" s="64" t="str">
        <f>IFERROR(INDEX(입력!$P$2:$P$500, MATCH($BO363, 입력!$Z$2:$Z$500, 0)) &amp; "", "")</f>
        <v>434</v>
      </c>
      <c r="AD363" s="64" t="str">
        <f>IFERROR(INDEX(입력!$Q$2:$Q$500, MATCH($BO363, 입력!$Z$2:$Z$500, 0)) &amp; "", "")</f>
        <v>27</v>
      </c>
      <c r="AE363" s="64" t="str">
        <f>IFERROR(INDEX(입력!$R$2:$R$500, MATCH($BO363, 입력!$Z$2:$Z$500, 0)) &amp; "", "")</f>
        <v>여</v>
      </c>
      <c r="AF363" s="64" t="str">
        <f>IFERROR(INDEX(입력!$S$2:$S$500, MATCH($BO363, 입력!$Z$2:$Z$500, 0)) &amp; "", "")</f>
        <v>여</v>
      </c>
      <c r="AG363" s="64" t="str">
        <f>IFERROR(INDEX(입력!$T$2:$T$500, MATCH($BO363, 입력!$Z$2:$Z$500, 0)) &amp; "", "")</f>
        <v>부</v>
      </c>
      <c r="AH363" s="64" t="str">
        <f>IFERROR(INDEX(입력!$U$2:$U$500, MATCH($BO363, 입력!$Z$2:$Z$500, 0)) &amp; "", "")</f>
        <v/>
      </c>
      <c r="AI363" s="64" t="str">
        <f>IFERROR(INDEX(입력!$V$2:$V$500, MATCH($BO363, 입력!$Z$2:$Z$500, 0)) &amp; "", "")</f>
        <v>여</v>
      </c>
      <c r="AJ363" s="44" t="str">
        <f>IFERROR(INDEX(입력!$W$2:$W$500, MATCH($BO363, 입력!$Z$2:$Z$500, 0)) &amp; "", "")</f>
        <v>강대현</v>
      </c>
      <c r="AK363" s="44" t="str">
        <f>IFERROR(INDEX(입력!$X$2:$X$500, MATCH($BO363, 입력!$Z$2:$Z$500, 0)) &amp; "", "")</f>
        <v>010-9720-8562</v>
      </c>
      <c r="AL363" s="2" t="s">
        <v>2085</v>
      </c>
      <c r="AM363" s="17" t="s">
        <v>1650</v>
      </c>
      <c r="AN363" s="101">
        <v>2025</v>
      </c>
      <c r="AO363" s="17" t="s">
        <v>3275</v>
      </c>
      <c r="AP363" s="101"/>
      <c r="AQ363" s="108"/>
      <c r="AR363" s="119"/>
      <c r="AS363" s="101" t="s">
        <v>3125</v>
      </c>
      <c r="AT363" s="109">
        <v>46034</v>
      </c>
      <c r="AU363" s="101" t="s">
        <v>3141</v>
      </c>
      <c r="AV363" s="101" t="s">
        <v>2034</v>
      </c>
      <c r="AW363" s="117" t="s">
        <v>3309</v>
      </c>
      <c r="AX363" s="101" t="s">
        <v>2086</v>
      </c>
      <c r="AY363" s="83" t="s">
        <v>3131</v>
      </c>
      <c r="AZ363" s="71" t="str">
        <f>IFERROR(IF(INDEX(입력!$C$2:$C$500, MATCH($BO363, 입력!$Z$2:$Z$500, 0))="", "", TEXT(INDEX(입력!$C$2:$C$500, MATCH($BO363, 입력!$Z$2:$Z$500, 0)), "yyyy-mm-dd")), "")</f>
        <v>2026-04-06</v>
      </c>
      <c r="BA363" s="44" t="str">
        <f>IFERROR(INDEX(입력!$B$2:$B$500, MATCH($BO363, 입력!$Z$2:$Z$500, 0)) &amp; "", "")</f>
        <v>정은진</v>
      </c>
      <c r="BB363" s="83" t="str">
        <f>IFERROR(INDEX(입력!$Y$2:$Y$500, MATCH($BO363, 입력!$Z$2:$Z$500, 0)) &amp; "", "")</f>
        <v>4월중 마무리.</v>
      </c>
      <c r="BC363" s="83" t="s">
        <v>3183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3823</v>
      </c>
      <c r="BI363" s="101" t="s">
        <v>3812</v>
      </c>
      <c r="BJ363" s="101"/>
      <c r="BK363" s="110"/>
      <c r="BL363" s="21"/>
      <c r="BM363" s="22">
        <v>531</v>
      </c>
      <c r="BN363" s="23"/>
      <c r="BO363" s="47" t="s">
        <v>831</v>
      </c>
    </row>
    <row r="364" spans="1:67" x14ac:dyDescent="0.45">
      <c r="A364" s="46">
        <v>363</v>
      </c>
      <c r="B364" s="1" t="s">
        <v>1647</v>
      </c>
      <c r="C364" s="17" t="str">
        <f t="shared" si="43"/>
        <v>이행완료</v>
      </c>
      <c r="D364" s="17" t="str">
        <f t="shared" si="46"/>
        <v/>
      </c>
      <c r="E364" s="1" t="s">
        <v>2087</v>
      </c>
      <c r="F364" s="1" t="s">
        <v>832</v>
      </c>
      <c r="G364" s="1" t="s">
        <v>2088</v>
      </c>
      <c r="H364" s="18" t="s">
        <v>1202</v>
      </c>
      <c r="I364" s="19">
        <v>225</v>
      </c>
      <c r="J364" s="2"/>
      <c r="K364" s="20" t="s">
        <v>2526</v>
      </c>
      <c r="L364" s="20"/>
      <c r="M364" s="17" t="str">
        <f t="shared" si="44"/>
        <v>기축</v>
      </c>
      <c r="N364" s="21"/>
      <c r="O364" s="21"/>
      <c r="P364" s="1">
        <f t="shared" si="40"/>
        <v>5</v>
      </c>
      <c r="Q364" s="1">
        <v>5</v>
      </c>
      <c r="R364" s="64" t="str">
        <f>IFERROR(INDEX(입력!$J$2:$J$500, MATCH($BO364, 입력!$Z$2:$Z$500, 0)) &amp; "", "")</f>
        <v/>
      </c>
      <c r="S364" s="64" t="str">
        <f>IFERROR(INDEX(입력!$K$2:$K$500, MATCH($BO364, 입력!$Z$2:$Z$500, 0)) &amp; "", "")</f>
        <v/>
      </c>
      <c r="T364" s="64">
        <f>MAX(0, 표1[[#This Row],[의무_면수]]-표1[[#This Row],[면수합]])</f>
        <v>0</v>
      </c>
      <c r="U364" s="44" t="str">
        <f t="shared" si="41"/>
        <v>이행완료</v>
      </c>
      <c r="V364" s="1">
        <f t="shared" si="45"/>
        <v>5</v>
      </c>
      <c r="W364" s="1" t="str">
        <f t="shared" si="42"/>
        <v/>
      </c>
      <c r="X364" s="1">
        <v>5</v>
      </c>
      <c r="Y364" s="64" t="str">
        <f>IFERROR(INDEX(입력!$M$2:$M$500, MATCH($BO364, 입력!$Z$2:$Z$500, 0)) &amp; "", "")</f>
        <v/>
      </c>
      <c r="Z364" s="64" t="str">
        <f>IFERROR(INDEX(입력!$N$2:$N$500, MATCH($BO364, 입력!$Z$2:$Z$500, 0)) &amp; "", "")</f>
        <v/>
      </c>
      <c r="AA364" s="64">
        <f>MAX(0, 표1[[#This Row],[의무_시설]]-표1[[#This Row],[시설합]])</f>
        <v>0</v>
      </c>
      <c r="AB364" s="17" t="str">
        <f t="shared" si="47"/>
        <v>이행완료</v>
      </c>
      <c r="AC364" s="64" t="str">
        <f>IFERROR(INDEX(입력!$P$2:$P$500, MATCH($BO364, 입력!$Z$2:$Z$500, 0)) &amp; "", "")</f>
        <v/>
      </c>
      <c r="AD364" s="64" t="str">
        <f>IFERROR(INDEX(입력!$Q$2:$Q$500, MATCH($BO364, 입력!$Z$2:$Z$500, 0)) &amp; "", "")</f>
        <v/>
      </c>
      <c r="AE364" s="64" t="str">
        <f>IFERROR(INDEX(입력!$R$2:$R$500, MATCH($BO364, 입력!$Z$2:$Z$500, 0)) &amp; "", "")</f>
        <v/>
      </c>
      <c r="AF364" s="64" t="str">
        <f>IFERROR(INDEX(입력!$S$2:$S$500, MATCH($BO364, 입력!$Z$2:$Z$500, 0)) &amp; "", "")</f>
        <v/>
      </c>
      <c r="AG364" s="64" t="str">
        <f>IFERROR(INDEX(입력!$T$2:$T$500, MATCH($BO364, 입력!$Z$2:$Z$500, 0)) &amp; "", "")</f>
        <v/>
      </c>
      <c r="AH364" s="64" t="str">
        <f>IFERROR(INDEX(입력!$U$2:$U$500, MATCH($BO364, 입력!$Z$2:$Z$500, 0)) &amp; "", "")</f>
        <v/>
      </c>
      <c r="AI364" s="64" t="str">
        <f>IFERROR(INDEX(입력!$V$2:$V$500, MATCH($BO364, 입력!$Z$2:$Z$500, 0)) &amp; "", "")</f>
        <v/>
      </c>
      <c r="AJ364" s="44" t="str">
        <f>IFERROR(INDEX(입력!$W$2:$W$500, MATCH($BO364, 입력!$Z$2:$Z$500, 0)) &amp; "", "")</f>
        <v/>
      </c>
      <c r="AK364" s="44" t="str">
        <f>IFERROR(INDEX(입력!$X$2:$X$500, MATCH($BO364, 입력!$Z$2:$Z$500, 0)) &amp; "", "")</f>
        <v/>
      </c>
      <c r="AL364" s="2"/>
      <c r="AM364" s="17" t="s">
        <v>1650</v>
      </c>
      <c r="AN364" s="101">
        <v>2025</v>
      </c>
      <c r="AO364" s="17" t="s">
        <v>3274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3137</v>
      </c>
      <c r="AZ364" s="71" t="str">
        <f>IFERROR(IF(INDEX(입력!$C$2:$C$500, MATCH($BO364, 입력!$Z$2:$Z$500, 0))="", "", TEXT(INDEX(입력!$C$2:$C$500, MATCH($BO364, 입력!$Z$2:$Z$500, 0)), "yyyy-mm-dd")), "")</f>
        <v/>
      </c>
      <c r="BA364" s="44" t="str">
        <f>IFERROR(INDEX(입력!$B$2:$B$500, MATCH($BO364, 입력!$Z$2:$Z$500, 0)) &amp; "", "")</f>
        <v/>
      </c>
      <c r="BB364" s="83" t="str">
        <f>IFERROR(INDEX(입력!$Y$2:$Y$500, MATCH($BO364, 입력!$Z$2:$Z$500, 0)) &amp; "", "")</f>
        <v/>
      </c>
      <c r="BC364" s="83" t="s">
        <v>3112</v>
      </c>
      <c r="BD364" s="83"/>
      <c r="BE364" s="101"/>
      <c r="BF364" s="101"/>
      <c r="BG364" s="101"/>
      <c r="BH364" s="101"/>
      <c r="BI364" s="101"/>
      <c r="BJ364" s="101"/>
      <c r="BK364" s="110"/>
      <c r="BL364" s="21"/>
      <c r="BM364" s="22">
        <v>228</v>
      </c>
      <c r="BN364" s="23"/>
      <c r="BO364" s="47" t="s">
        <v>833</v>
      </c>
    </row>
    <row r="365" spans="1:67" x14ac:dyDescent="0.45">
      <c r="A365" s="19">
        <v>364</v>
      </c>
      <c r="B365" s="1" t="s">
        <v>1647</v>
      </c>
      <c r="C365" s="17" t="str">
        <f t="shared" si="43"/>
        <v>이행완료</v>
      </c>
      <c r="D365" s="17" t="str">
        <f t="shared" si="46"/>
        <v>조사완료</v>
      </c>
      <c r="E365" s="1" t="s">
        <v>2089</v>
      </c>
      <c r="F365" s="1" t="s">
        <v>834</v>
      </c>
      <c r="G365" s="1" t="s">
        <v>2090</v>
      </c>
      <c r="H365" s="18" t="s">
        <v>1202</v>
      </c>
      <c r="I365" s="19">
        <v>283</v>
      </c>
      <c r="J365" s="2"/>
      <c r="K365" s="20" t="s">
        <v>2335</v>
      </c>
      <c r="L365" s="20"/>
      <c r="M365" s="17" t="str">
        <f t="shared" si="44"/>
        <v>기축</v>
      </c>
      <c r="N365" s="21"/>
      <c r="O365" s="21"/>
      <c r="P365" s="1">
        <f t="shared" si="40"/>
        <v>6</v>
      </c>
      <c r="Q365" s="1">
        <v>6</v>
      </c>
      <c r="R365" s="64" t="str">
        <f>IFERROR(INDEX(입력!$J$2:$J$500, MATCH($BO365, 입력!$Z$2:$Z$500, 0)) &amp; "", "")</f>
        <v>4</v>
      </c>
      <c r="S365" s="64" t="str">
        <f>IFERROR(INDEX(입력!$K$2:$K$500, MATCH($BO365, 입력!$Z$2:$Z$500, 0)) &amp; "", "")</f>
        <v>2</v>
      </c>
      <c r="T365" s="64">
        <f>MAX(0, 표1[[#This Row],[의무_면수]]-표1[[#This Row],[면수합]])</f>
        <v>0</v>
      </c>
      <c r="U365" s="44" t="str">
        <f t="shared" si="41"/>
        <v>이행완료</v>
      </c>
      <c r="V365" s="1">
        <f t="shared" si="45"/>
        <v>6</v>
      </c>
      <c r="W365" s="1" t="str">
        <f t="shared" si="42"/>
        <v/>
      </c>
      <c r="X365" s="1">
        <v>6</v>
      </c>
      <c r="Y365" s="64" t="str">
        <f>IFERROR(INDEX(입력!$M$2:$M$500, MATCH($BO365, 입력!$Z$2:$Z$500, 0)) &amp; "", "")</f>
        <v/>
      </c>
      <c r="Z365" s="64" t="str">
        <f>IFERROR(INDEX(입력!$N$2:$N$500, MATCH($BO365, 입력!$Z$2:$Z$500, 0)) &amp; "", "")</f>
        <v>6</v>
      </c>
      <c r="AA365" s="64">
        <f>MAX(0, 표1[[#This Row],[의무_시설]]-표1[[#This Row],[시설합]])</f>
        <v>0</v>
      </c>
      <c r="AB365" s="17" t="str">
        <f t="shared" si="47"/>
        <v>이행완료</v>
      </c>
      <c r="AC365" s="64" t="str">
        <f>IFERROR(INDEX(입력!$P$2:$P$500, MATCH($BO365, 입력!$Z$2:$Z$500, 0)) &amp; "", "")</f>
        <v>228</v>
      </c>
      <c r="AD365" s="64" t="str">
        <f>IFERROR(INDEX(입력!$Q$2:$Q$500, MATCH($BO365, 입력!$Z$2:$Z$500, 0)) &amp; "", "")</f>
        <v>5</v>
      </c>
      <c r="AE365" s="64" t="str">
        <f>IFERROR(INDEX(입력!$R$2:$R$500, MATCH($BO365, 입력!$Z$2:$Z$500, 0)) &amp; "", "")</f>
        <v>여</v>
      </c>
      <c r="AF365" s="64" t="str">
        <f>IFERROR(INDEX(입력!$S$2:$S$500, MATCH($BO365, 입력!$Z$2:$Z$500, 0)) &amp; "", "")</f>
        <v>여</v>
      </c>
      <c r="AG365" s="64" t="str">
        <f>IFERROR(INDEX(입력!$T$2:$T$500, MATCH($BO365, 입력!$Z$2:$Z$500, 0)) &amp; "", "")</f>
        <v>부</v>
      </c>
      <c r="AH365" s="64" t="str">
        <f>IFERROR(INDEX(입력!$U$2:$U$500, MATCH($BO365, 입력!$Z$2:$Z$500, 0)) &amp; "", "")</f>
        <v/>
      </c>
      <c r="AI365" s="64" t="str">
        <f>IFERROR(INDEX(입력!$V$2:$V$500, MATCH($BO365, 입력!$Z$2:$Z$500, 0)) &amp; "", "")</f>
        <v>여</v>
      </c>
      <c r="AJ365" s="44" t="str">
        <f>IFERROR(INDEX(입력!$W$2:$W$500, MATCH($BO365, 입력!$Z$2:$Z$500, 0)) &amp; "", "")</f>
        <v>이선숙</v>
      </c>
      <c r="AK365" s="44" t="str">
        <f>IFERROR(INDEX(입력!$X$2:$X$500, MATCH($BO365, 입력!$Z$2:$Z$500, 0)) &amp; "", "")</f>
        <v>953-6567</v>
      </c>
      <c r="AL365" s="2" t="s">
        <v>2091</v>
      </c>
      <c r="AM365" s="17" t="s">
        <v>1650</v>
      </c>
      <c r="AN365" s="101">
        <v>2025</v>
      </c>
      <c r="AO365" s="17" t="s">
        <v>3274</v>
      </c>
      <c r="AP365" s="118"/>
      <c r="AQ365" s="21"/>
      <c r="AR365" s="119"/>
      <c r="AS365" s="101" t="s">
        <v>3138</v>
      </c>
      <c r="AT365" s="109">
        <v>46062</v>
      </c>
      <c r="AU365" s="101"/>
      <c r="AV365" s="21" t="s">
        <v>1760</v>
      </c>
      <c r="AW365" s="101"/>
      <c r="AX365" s="119" t="s">
        <v>2092</v>
      </c>
      <c r="AY365" s="83" t="s">
        <v>3131</v>
      </c>
      <c r="AZ365" s="71" t="str">
        <f>IFERROR(IF(INDEX(입력!$C$2:$C$500, MATCH($BO365, 입력!$Z$2:$Z$500, 0))="", "", TEXT(INDEX(입력!$C$2:$C$500, MATCH($BO365, 입력!$Z$2:$Z$500, 0)), "yyyy-mm-dd")), "")</f>
        <v>2026-04-03</v>
      </c>
      <c r="BA365" s="44" t="str">
        <f>IFERROR(INDEX(입력!$B$2:$B$500, MATCH($BO365, 입력!$Z$2:$Z$500, 0)) &amp; "", "")</f>
        <v>정은진</v>
      </c>
      <c r="BB365" s="83" t="str">
        <f>IFERROR(INDEX(입력!$Y$2:$Y$500, MATCH($BO365, 입력!$Z$2:$Z$500, 0)) &amp; "", "")</f>
        <v/>
      </c>
      <c r="BC365" s="83" t="s">
        <v>3112</v>
      </c>
      <c r="BD365" s="83"/>
      <c r="BE365" s="101"/>
      <c r="BF365" s="101"/>
      <c r="BG365" s="101"/>
      <c r="BH365" s="101"/>
      <c r="BI365" s="101"/>
      <c r="BJ365" s="101"/>
      <c r="BK365" s="110"/>
      <c r="BL365" s="21"/>
      <c r="BM365" s="22">
        <v>268</v>
      </c>
      <c r="BN365" s="23"/>
      <c r="BO365" s="47" t="s">
        <v>835</v>
      </c>
    </row>
    <row r="366" spans="1:67" x14ac:dyDescent="0.45">
      <c r="A366" s="46">
        <v>365</v>
      </c>
      <c r="B366" s="1" t="s">
        <v>1647</v>
      </c>
      <c r="C366" s="17" t="str">
        <f t="shared" si="43"/>
        <v>미이행</v>
      </c>
      <c r="D366" s="17" t="str">
        <f t="shared" si="46"/>
        <v>조사완료</v>
      </c>
      <c r="E366" s="1" t="s">
        <v>2093</v>
      </c>
      <c r="F366" s="1" t="s">
        <v>836</v>
      </c>
      <c r="G366" s="1" t="s">
        <v>2094</v>
      </c>
      <c r="H366" s="18" t="s">
        <v>1202</v>
      </c>
      <c r="I366" s="19">
        <v>1029</v>
      </c>
      <c r="J366" s="2"/>
      <c r="K366" s="20">
        <v>40753</v>
      </c>
      <c r="L366" s="20"/>
      <c r="M366" s="17" t="str">
        <f t="shared" si="44"/>
        <v>기축</v>
      </c>
      <c r="N366" s="21"/>
      <c r="O366" s="21"/>
      <c r="P366" s="1">
        <f t="shared" si="40"/>
        <v>21</v>
      </c>
      <c r="Q366" s="1">
        <v>1</v>
      </c>
      <c r="R366" s="64" t="str">
        <f>IFERROR(INDEX(입력!$J$2:$J$500, MATCH($BO366, 입력!$Z$2:$Z$500, 0)) &amp; "", "")</f>
        <v/>
      </c>
      <c r="S366" s="64" t="str">
        <f>IFERROR(INDEX(입력!$K$2:$K$500, MATCH($BO366, 입력!$Z$2:$Z$500, 0)) &amp; "", "")</f>
        <v>1</v>
      </c>
      <c r="T366" s="64">
        <f>MAX(0, 표1[[#This Row],[의무_면수]]-표1[[#This Row],[면수합]])</f>
        <v>20</v>
      </c>
      <c r="U366" s="44" t="str">
        <f t="shared" si="41"/>
        <v>미이행</v>
      </c>
      <c r="V366" s="1">
        <f t="shared" si="45"/>
        <v>21</v>
      </c>
      <c r="W366" s="1" t="str">
        <f t="shared" si="42"/>
        <v/>
      </c>
      <c r="X366" s="1">
        <v>1</v>
      </c>
      <c r="Y366" s="64" t="str">
        <f>IFERROR(INDEX(입력!$M$2:$M$500, MATCH($BO366, 입력!$Z$2:$Z$500, 0)) &amp; "", "")</f>
        <v>1</v>
      </c>
      <c r="Z366" s="64" t="str">
        <f>IFERROR(INDEX(입력!$N$2:$N$500, MATCH($BO366, 입력!$Z$2:$Z$500, 0)) &amp; "", "")</f>
        <v/>
      </c>
      <c r="AA366" s="64">
        <f>MAX(0, 표1[[#This Row],[의무_시설]]-표1[[#This Row],[시설합]])</f>
        <v>20</v>
      </c>
      <c r="AB366" s="17" t="str">
        <f t="shared" si="47"/>
        <v>미이행</v>
      </c>
      <c r="AC366" s="64" t="str">
        <f>IFERROR(INDEX(입력!$P$2:$P$500, MATCH($BO366, 입력!$Z$2:$Z$500, 0)) &amp; "", "")</f>
        <v>659</v>
      </c>
      <c r="AD366" s="64" t="str">
        <f>IFERROR(INDEX(입력!$Q$2:$Q$500, MATCH($BO366, 입력!$Z$2:$Z$500, 0)) &amp; "", "")</f>
        <v>60</v>
      </c>
      <c r="AE366" s="64" t="str">
        <f>IFERROR(INDEX(입력!$R$2:$R$500, MATCH($BO366, 입력!$Z$2:$Z$500, 0)) &amp; "", "")</f>
        <v>여</v>
      </c>
      <c r="AF366" s="64" t="str">
        <f>IFERROR(INDEX(입력!$S$2:$S$500, MATCH($BO366, 입력!$Z$2:$Z$500, 0)) &amp; "", "")</f>
        <v>여</v>
      </c>
      <c r="AG366" s="64" t="str">
        <f>IFERROR(INDEX(입력!$T$2:$T$500, MATCH($BO366, 입력!$Z$2:$Z$500, 0)) &amp; "", "")</f>
        <v>부</v>
      </c>
      <c r="AH366" s="64" t="str">
        <f>IFERROR(INDEX(입력!$U$2:$U$500, MATCH($BO366, 입력!$Z$2:$Z$500, 0)) &amp; "", "")</f>
        <v/>
      </c>
      <c r="AI366" s="64" t="str">
        <f>IFERROR(INDEX(입력!$V$2:$V$500, MATCH($BO366, 입력!$Z$2:$Z$500, 0)) &amp; "", "")</f>
        <v>여</v>
      </c>
      <c r="AJ366" s="44" t="str">
        <f>IFERROR(INDEX(입력!$W$2:$W$500, MATCH($BO366, 입력!$Z$2:$Z$500, 0)) &amp; "", "")</f>
        <v>양정남</v>
      </c>
      <c r="AK366" s="44" t="str">
        <f>IFERROR(INDEX(입력!$X$2:$X$500, MATCH($BO366, 입력!$Z$2:$Z$500, 0)) &amp; "", "")</f>
        <v>955-0926</v>
      </c>
      <c r="AL366" s="2" t="s">
        <v>2095</v>
      </c>
      <c r="AM366" s="17" t="s">
        <v>1650</v>
      </c>
      <c r="AN366" s="101">
        <v>2025</v>
      </c>
      <c r="AO366" s="17" t="s">
        <v>3274</v>
      </c>
      <c r="AP366" s="101"/>
      <c r="AQ366" s="108"/>
      <c r="AR366" s="119"/>
      <c r="AS366" s="101" t="s">
        <v>3163</v>
      </c>
      <c r="AT366" s="109">
        <v>46034</v>
      </c>
      <c r="AU366" s="101" t="s">
        <v>3141</v>
      </c>
      <c r="AV366" s="101" t="s">
        <v>1993</v>
      </c>
      <c r="AW366" s="101" t="s">
        <v>3149</v>
      </c>
      <c r="AX366" s="101" t="s">
        <v>2096</v>
      </c>
      <c r="AY366" s="83" t="s">
        <v>3132</v>
      </c>
      <c r="AZ366" s="71" t="str">
        <f>IFERROR(IF(INDEX(입력!$C$2:$C$500, MATCH($BO366, 입력!$Z$2:$Z$500, 0))="", "", TEXT(INDEX(입력!$C$2:$C$500, MATCH($BO366, 입력!$Z$2:$Z$500, 0)), "yyyy-mm-dd")), "")</f>
        <v>2026-04-13</v>
      </c>
      <c r="BA366" s="44" t="str">
        <f>IFERROR(INDEX(입력!$B$2:$B$500, MATCH($BO366, 입력!$Z$2:$Z$500, 0)) &amp; "", "")</f>
        <v>노기섭</v>
      </c>
      <c r="BB366" s="83" t="str">
        <f>IFERROR(INDEX(입력!$Y$2:$Y$500, MATCH($BO366, 입력!$Z$2:$Z$500, 0)) &amp; "", "")</f>
        <v>26년12월까지 설치예정, APT자체민원발생(현재 의결완료)</v>
      </c>
      <c r="BC366" s="83" t="s">
        <v>3169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3993</v>
      </c>
      <c r="BI366" s="101"/>
      <c r="BJ366" s="101"/>
      <c r="BK366" s="110"/>
      <c r="BL366" s="21"/>
      <c r="BM366" s="22">
        <v>1029</v>
      </c>
      <c r="BN366" s="23"/>
      <c r="BO366" s="47" t="s">
        <v>2329</v>
      </c>
    </row>
    <row r="367" spans="1:67" x14ac:dyDescent="0.45">
      <c r="A367" s="19">
        <v>366</v>
      </c>
      <c r="B367" s="1" t="s">
        <v>1647</v>
      </c>
      <c r="C367" s="17" t="str">
        <f t="shared" si="43"/>
        <v>이행완료</v>
      </c>
      <c r="D367" s="17" t="str">
        <f t="shared" si="46"/>
        <v/>
      </c>
      <c r="E367" s="2" t="s">
        <v>2097</v>
      </c>
      <c r="F367" s="1" t="s">
        <v>837</v>
      </c>
      <c r="G367" s="1" t="s">
        <v>2098</v>
      </c>
      <c r="H367" s="18" t="s">
        <v>1097</v>
      </c>
      <c r="I367" s="19">
        <v>374</v>
      </c>
      <c r="J367" s="2"/>
      <c r="K367" s="20" t="s">
        <v>2462</v>
      </c>
      <c r="L367" s="20"/>
      <c r="M367" s="17" t="str">
        <f t="shared" si="44"/>
        <v>기축</v>
      </c>
      <c r="N367" s="21"/>
      <c r="O367" s="21"/>
      <c r="P367" s="1">
        <f t="shared" si="40"/>
        <v>7</v>
      </c>
      <c r="Q367" s="1">
        <v>8</v>
      </c>
      <c r="R367" s="64" t="str">
        <f>IFERROR(INDEX(입력!$J$2:$J$500, MATCH($BO367, 입력!$Z$2:$Z$500, 0)) &amp; "", "")</f>
        <v/>
      </c>
      <c r="S367" s="64" t="str">
        <f>IFERROR(INDEX(입력!$K$2:$K$500, MATCH($BO367, 입력!$Z$2:$Z$500, 0)) &amp; "", "")</f>
        <v/>
      </c>
      <c r="T367" s="64">
        <f>MAX(0, 표1[[#This Row],[의무_면수]]-표1[[#This Row],[면수합]])</f>
        <v>0</v>
      </c>
      <c r="U367" s="44" t="str">
        <f t="shared" si="41"/>
        <v>이행완료</v>
      </c>
      <c r="V367" s="1">
        <f t="shared" si="45"/>
        <v>7</v>
      </c>
      <c r="W367" s="1" t="str">
        <f t="shared" si="42"/>
        <v/>
      </c>
      <c r="X367" s="1">
        <v>8</v>
      </c>
      <c r="Y367" s="64" t="str">
        <f>IFERROR(INDEX(입력!$M$2:$M$500, MATCH($BO367, 입력!$Z$2:$Z$500, 0)) &amp; "", "")</f>
        <v/>
      </c>
      <c r="Z367" s="64" t="str">
        <f>IFERROR(INDEX(입력!$N$2:$N$500, MATCH($BO367, 입력!$Z$2:$Z$500, 0)) &amp; "", "")</f>
        <v/>
      </c>
      <c r="AA367" s="64">
        <f>MAX(0, 표1[[#This Row],[의무_시설]]-표1[[#This Row],[시설합]])</f>
        <v>0</v>
      </c>
      <c r="AB367" s="17" t="str">
        <f t="shared" si="47"/>
        <v>이행완료</v>
      </c>
      <c r="AC367" s="64" t="str">
        <f>IFERROR(INDEX(입력!$P$2:$P$500, MATCH($BO367, 입력!$Z$2:$Z$500, 0)) &amp; "", "")</f>
        <v/>
      </c>
      <c r="AD367" s="64" t="str">
        <f>IFERROR(INDEX(입력!$Q$2:$Q$500, MATCH($BO367, 입력!$Z$2:$Z$500, 0)) &amp; "", "")</f>
        <v/>
      </c>
      <c r="AE367" s="64" t="str">
        <f>IFERROR(INDEX(입력!$R$2:$R$500, MATCH($BO367, 입력!$Z$2:$Z$500, 0)) &amp; "", "")</f>
        <v/>
      </c>
      <c r="AF367" s="64" t="str">
        <f>IFERROR(INDEX(입력!$S$2:$S$500, MATCH($BO367, 입력!$Z$2:$Z$500, 0)) &amp; "", "")</f>
        <v/>
      </c>
      <c r="AG367" s="64" t="str">
        <f>IFERROR(INDEX(입력!$T$2:$T$500, MATCH($BO367, 입력!$Z$2:$Z$500, 0)) &amp; "", "")</f>
        <v/>
      </c>
      <c r="AH367" s="64" t="str">
        <f>IFERROR(INDEX(입력!$U$2:$U$500, MATCH($BO367, 입력!$Z$2:$Z$500, 0)) &amp; "", "")</f>
        <v/>
      </c>
      <c r="AI367" s="64" t="str">
        <f>IFERROR(INDEX(입력!$V$2:$V$500, MATCH($BO367, 입력!$Z$2:$Z$500, 0)) &amp; "", "")</f>
        <v/>
      </c>
      <c r="AJ367" s="44" t="str">
        <f>IFERROR(INDEX(입력!$W$2:$W$500, MATCH($BO367, 입력!$Z$2:$Z$500, 0)) &amp; "", "")</f>
        <v/>
      </c>
      <c r="AK367" s="44" t="str">
        <f>IFERROR(INDEX(입력!$X$2:$X$500, MATCH($BO367, 입력!$Z$2:$Z$500, 0)) &amp; "", "")</f>
        <v/>
      </c>
      <c r="AL367" s="2"/>
      <c r="AM367" s="17" t="s">
        <v>1650</v>
      </c>
      <c r="AN367" s="101">
        <v>2025</v>
      </c>
      <c r="AO367" s="17" t="s">
        <v>3274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3131</v>
      </c>
      <c r="AZ367" s="71" t="str">
        <f>IFERROR(IF(INDEX(입력!$C$2:$C$500, MATCH($BO367, 입력!$Z$2:$Z$500, 0))="", "", TEXT(INDEX(입력!$C$2:$C$500, MATCH($BO367, 입력!$Z$2:$Z$500, 0)), "yyyy-mm-dd")), "")</f>
        <v/>
      </c>
      <c r="BA367" s="44" t="str">
        <f>IFERROR(INDEX(입력!$B$2:$B$500, MATCH($BO367, 입력!$Z$2:$Z$500, 0)) &amp; "", "")</f>
        <v/>
      </c>
      <c r="BB367" s="83" t="str">
        <f>IFERROR(INDEX(입력!$Y$2:$Y$500, MATCH($BO367, 입력!$Z$2:$Z$500, 0)) &amp; "", "")</f>
        <v/>
      </c>
      <c r="BC367" s="83" t="s">
        <v>3112</v>
      </c>
      <c r="BD367" s="83"/>
      <c r="BE367" s="101"/>
      <c r="BF367" s="101"/>
      <c r="BG367" s="101"/>
      <c r="BH367" s="101"/>
      <c r="BI367" s="101"/>
      <c r="BJ367" s="101"/>
      <c r="BK367" s="110"/>
      <c r="BL367" s="21"/>
      <c r="BM367" s="22">
        <v>381</v>
      </c>
      <c r="BN367" s="23"/>
      <c r="BO367" s="47" t="s">
        <v>838</v>
      </c>
    </row>
    <row r="368" spans="1:67" x14ac:dyDescent="0.45">
      <c r="A368" s="46">
        <v>367</v>
      </c>
      <c r="B368" s="1" t="s">
        <v>1647</v>
      </c>
      <c r="C368" s="17" t="str">
        <f t="shared" si="43"/>
        <v>이행완료</v>
      </c>
      <c r="D368" s="17" t="str">
        <f t="shared" si="46"/>
        <v/>
      </c>
      <c r="E368" s="2" t="s">
        <v>2099</v>
      </c>
      <c r="F368" s="1" t="s">
        <v>839</v>
      </c>
      <c r="G368" s="1" t="s">
        <v>2100</v>
      </c>
      <c r="H368" s="18" t="s">
        <v>1097</v>
      </c>
      <c r="I368" s="19">
        <v>489</v>
      </c>
      <c r="J368" s="2"/>
      <c r="K368" s="20" t="s">
        <v>2527</v>
      </c>
      <c r="L368" s="20"/>
      <c r="M368" s="17" t="str">
        <f t="shared" si="44"/>
        <v>기축</v>
      </c>
      <c r="N368" s="21"/>
      <c r="O368" s="21"/>
      <c r="P368" s="1">
        <f t="shared" si="40"/>
        <v>10</v>
      </c>
      <c r="Q368" s="1">
        <v>10</v>
      </c>
      <c r="R368" s="64" t="str">
        <f>IFERROR(INDEX(입력!$J$2:$J$500, MATCH($BO368, 입력!$Z$2:$Z$500, 0)) &amp; "", "")</f>
        <v/>
      </c>
      <c r="S368" s="64" t="str">
        <f>IFERROR(INDEX(입력!$K$2:$K$500, MATCH($BO368, 입력!$Z$2:$Z$500, 0)) &amp; "", "")</f>
        <v/>
      </c>
      <c r="T368" s="64">
        <f>MAX(0, 표1[[#This Row],[의무_면수]]-표1[[#This Row],[면수합]])</f>
        <v>0</v>
      </c>
      <c r="U368" s="44" t="str">
        <f t="shared" si="41"/>
        <v>이행완료</v>
      </c>
      <c r="V368" s="1">
        <f t="shared" si="45"/>
        <v>10</v>
      </c>
      <c r="W368" s="1" t="str">
        <f t="shared" si="42"/>
        <v/>
      </c>
      <c r="X368" s="1">
        <v>10</v>
      </c>
      <c r="Y368" s="64" t="str">
        <f>IFERROR(INDEX(입력!$M$2:$M$500, MATCH($BO368, 입력!$Z$2:$Z$500, 0)) &amp; "", "")</f>
        <v/>
      </c>
      <c r="Z368" s="64" t="str">
        <f>IFERROR(INDEX(입력!$N$2:$N$500, MATCH($BO368, 입력!$Z$2:$Z$500, 0)) &amp; "", "")</f>
        <v/>
      </c>
      <c r="AA368" s="64">
        <f>MAX(0, 표1[[#This Row],[의무_시설]]-표1[[#This Row],[시설합]])</f>
        <v>0</v>
      </c>
      <c r="AB368" s="17" t="str">
        <f t="shared" si="47"/>
        <v>이행완료</v>
      </c>
      <c r="AC368" s="64" t="str">
        <f>IFERROR(INDEX(입력!$P$2:$P$500, MATCH($BO368, 입력!$Z$2:$Z$500, 0)) &amp; "", "")</f>
        <v/>
      </c>
      <c r="AD368" s="64" t="str">
        <f>IFERROR(INDEX(입력!$Q$2:$Q$500, MATCH($BO368, 입력!$Z$2:$Z$500, 0)) &amp; "", "")</f>
        <v/>
      </c>
      <c r="AE368" s="64" t="str">
        <f>IFERROR(INDEX(입력!$R$2:$R$500, MATCH($BO368, 입력!$Z$2:$Z$500, 0)) &amp; "", "")</f>
        <v/>
      </c>
      <c r="AF368" s="64" t="str">
        <f>IFERROR(INDEX(입력!$S$2:$S$500, MATCH($BO368, 입력!$Z$2:$Z$500, 0)) &amp; "", "")</f>
        <v/>
      </c>
      <c r="AG368" s="64" t="str">
        <f>IFERROR(INDEX(입력!$T$2:$T$500, MATCH($BO368, 입력!$Z$2:$Z$500, 0)) &amp; "", "")</f>
        <v/>
      </c>
      <c r="AH368" s="64" t="str">
        <f>IFERROR(INDEX(입력!$U$2:$U$500, MATCH($BO368, 입력!$Z$2:$Z$500, 0)) &amp; "", "")</f>
        <v/>
      </c>
      <c r="AI368" s="64" t="str">
        <f>IFERROR(INDEX(입력!$V$2:$V$500, MATCH($BO368, 입력!$Z$2:$Z$500, 0)) &amp; "", "")</f>
        <v/>
      </c>
      <c r="AJ368" s="44" t="str">
        <f>IFERROR(INDEX(입력!$W$2:$W$500, MATCH($BO368, 입력!$Z$2:$Z$500, 0)) &amp; "", "")</f>
        <v/>
      </c>
      <c r="AK368" s="44" t="str">
        <f>IFERROR(INDEX(입력!$X$2:$X$500, MATCH($BO368, 입력!$Z$2:$Z$500, 0)) &amp; "", "")</f>
        <v/>
      </c>
      <c r="AL368" s="2"/>
      <c r="AM368" s="17" t="s">
        <v>1650</v>
      </c>
      <c r="AN368" s="101">
        <v>2025</v>
      </c>
      <c r="AO368" s="17" t="s">
        <v>3275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3137</v>
      </c>
      <c r="AZ368" s="71" t="str">
        <f>IFERROR(IF(INDEX(입력!$C$2:$C$500, MATCH($BO368, 입력!$Z$2:$Z$500, 0))="", "", TEXT(INDEX(입력!$C$2:$C$500, MATCH($BO368, 입력!$Z$2:$Z$500, 0)), "yyyy-mm-dd")), "")</f>
        <v/>
      </c>
      <c r="BA368" s="44" t="str">
        <f>IFERROR(INDEX(입력!$B$2:$B$500, MATCH($BO368, 입력!$Z$2:$Z$500, 0)) &amp; "", "")</f>
        <v/>
      </c>
      <c r="BB368" s="83" t="str">
        <f>IFERROR(INDEX(입력!$Y$2:$Y$500, MATCH($BO368, 입력!$Z$2:$Z$500, 0)) &amp; "", "")</f>
        <v/>
      </c>
      <c r="BC368" s="83" t="s">
        <v>3112</v>
      </c>
      <c r="BD368" s="83"/>
      <c r="BE368" s="101"/>
      <c r="BF368" s="101"/>
      <c r="BG368" s="101"/>
      <c r="BH368" s="101"/>
      <c r="BI368" s="101"/>
      <c r="BJ368" s="101"/>
      <c r="BK368" s="110"/>
      <c r="BL368" s="21"/>
      <c r="BM368" s="22">
        <v>489</v>
      </c>
      <c r="BN368" s="23"/>
      <c r="BO368" s="47" t="s">
        <v>840</v>
      </c>
    </row>
    <row r="369" spans="1:67" x14ac:dyDescent="0.45">
      <c r="A369" s="19">
        <v>368</v>
      </c>
      <c r="B369" s="1" t="s">
        <v>1647</v>
      </c>
      <c r="C369" s="17" t="str">
        <f t="shared" si="43"/>
        <v>이행완료</v>
      </c>
      <c r="D369" s="17" t="str">
        <f t="shared" si="46"/>
        <v/>
      </c>
      <c r="E369" s="2" t="s">
        <v>2101</v>
      </c>
      <c r="F369" s="1" t="s">
        <v>841</v>
      </c>
      <c r="G369" s="1" t="s">
        <v>2102</v>
      </c>
      <c r="H369" s="18" t="s">
        <v>1097</v>
      </c>
      <c r="I369" s="19">
        <v>384</v>
      </c>
      <c r="J369" s="2"/>
      <c r="K369" s="20" t="s">
        <v>2528</v>
      </c>
      <c r="L369" s="20"/>
      <c r="M369" s="17" t="str">
        <f t="shared" si="44"/>
        <v>기축</v>
      </c>
      <c r="N369" s="21"/>
      <c r="O369" s="21"/>
      <c r="P369" s="1">
        <f t="shared" si="40"/>
        <v>8</v>
      </c>
      <c r="Q369" s="1">
        <v>8</v>
      </c>
      <c r="R369" s="64" t="str">
        <f>IFERROR(INDEX(입력!$J$2:$J$500, MATCH($BO369, 입력!$Z$2:$Z$500, 0)) &amp; "", "")</f>
        <v/>
      </c>
      <c r="S369" s="64" t="str">
        <f>IFERROR(INDEX(입력!$K$2:$K$500, MATCH($BO369, 입력!$Z$2:$Z$500, 0)) &amp; "", "")</f>
        <v/>
      </c>
      <c r="T369" s="64">
        <f>MAX(0, 표1[[#This Row],[의무_면수]]-표1[[#This Row],[면수합]])</f>
        <v>0</v>
      </c>
      <c r="U369" s="44" t="str">
        <f t="shared" si="41"/>
        <v>이행완료</v>
      </c>
      <c r="V369" s="1">
        <f t="shared" si="45"/>
        <v>8</v>
      </c>
      <c r="W369" s="1" t="str">
        <f t="shared" si="42"/>
        <v/>
      </c>
      <c r="X369" s="1">
        <v>8</v>
      </c>
      <c r="Y369" s="64" t="str">
        <f>IFERROR(INDEX(입력!$M$2:$M$500, MATCH($BO369, 입력!$Z$2:$Z$500, 0)) &amp; "", "")</f>
        <v/>
      </c>
      <c r="Z369" s="64" t="str">
        <f>IFERROR(INDEX(입력!$N$2:$N$500, MATCH($BO369, 입력!$Z$2:$Z$500, 0)) &amp; "", "")</f>
        <v/>
      </c>
      <c r="AA369" s="64">
        <f>MAX(0, 표1[[#This Row],[의무_시설]]-표1[[#This Row],[시설합]])</f>
        <v>0</v>
      </c>
      <c r="AB369" s="17" t="str">
        <f t="shared" si="47"/>
        <v>이행완료</v>
      </c>
      <c r="AC369" s="64" t="str">
        <f>IFERROR(INDEX(입력!$P$2:$P$500, MATCH($BO369, 입력!$Z$2:$Z$500, 0)) &amp; "", "")</f>
        <v/>
      </c>
      <c r="AD369" s="64" t="str">
        <f>IFERROR(INDEX(입력!$Q$2:$Q$500, MATCH($BO369, 입력!$Z$2:$Z$500, 0)) &amp; "", "")</f>
        <v/>
      </c>
      <c r="AE369" s="64" t="str">
        <f>IFERROR(INDEX(입력!$R$2:$R$500, MATCH($BO369, 입력!$Z$2:$Z$500, 0)) &amp; "", "")</f>
        <v/>
      </c>
      <c r="AF369" s="64" t="str">
        <f>IFERROR(INDEX(입력!$S$2:$S$500, MATCH($BO369, 입력!$Z$2:$Z$500, 0)) &amp; "", "")</f>
        <v/>
      </c>
      <c r="AG369" s="64" t="str">
        <f>IFERROR(INDEX(입력!$T$2:$T$500, MATCH($BO369, 입력!$Z$2:$Z$500, 0)) &amp; "", "")</f>
        <v/>
      </c>
      <c r="AH369" s="64" t="str">
        <f>IFERROR(INDEX(입력!$U$2:$U$500, MATCH($BO369, 입력!$Z$2:$Z$500, 0)) &amp; "", "")</f>
        <v/>
      </c>
      <c r="AI369" s="64" t="str">
        <f>IFERROR(INDEX(입력!$V$2:$V$500, MATCH($BO369, 입력!$Z$2:$Z$500, 0)) &amp; "", "")</f>
        <v/>
      </c>
      <c r="AJ369" s="44" t="str">
        <f>IFERROR(INDEX(입력!$W$2:$W$500, MATCH($BO369, 입력!$Z$2:$Z$500, 0)) &amp; "", "")</f>
        <v/>
      </c>
      <c r="AK369" s="44" t="str">
        <f>IFERROR(INDEX(입력!$X$2:$X$500, MATCH($BO369, 입력!$Z$2:$Z$500, 0)) &amp; "", "")</f>
        <v/>
      </c>
      <c r="AL369" s="2"/>
      <c r="AM369" s="17" t="s">
        <v>1650</v>
      </c>
      <c r="AN369" s="101">
        <v>2025</v>
      </c>
      <c r="AO369" s="17" t="s">
        <v>3275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3137</v>
      </c>
      <c r="AZ369" s="71" t="str">
        <f>IFERROR(IF(INDEX(입력!$C$2:$C$500, MATCH($BO369, 입력!$Z$2:$Z$500, 0))="", "", TEXT(INDEX(입력!$C$2:$C$500, MATCH($BO369, 입력!$Z$2:$Z$500, 0)), "yyyy-mm-dd")), "")</f>
        <v/>
      </c>
      <c r="BA369" s="44" t="str">
        <f>IFERROR(INDEX(입력!$B$2:$B$500, MATCH($BO369, 입력!$Z$2:$Z$500, 0)) &amp; "", "")</f>
        <v/>
      </c>
      <c r="BB369" s="83" t="str">
        <f>IFERROR(INDEX(입력!$Y$2:$Y$500, MATCH($BO369, 입력!$Z$2:$Z$500, 0)) &amp; "", "")</f>
        <v/>
      </c>
      <c r="BC369" s="83" t="s">
        <v>3112</v>
      </c>
      <c r="BD369" s="83"/>
      <c r="BE369" s="101"/>
      <c r="BF369" s="101"/>
      <c r="BG369" s="101"/>
      <c r="BH369" s="101"/>
      <c r="BI369" s="101"/>
      <c r="BJ369" s="101"/>
      <c r="BK369" s="110"/>
      <c r="BL369" s="21"/>
      <c r="BM369" s="22">
        <v>384</v>
      </c>
      <c r="BN369" s="23"/>
      <c r="BO369" s="47" t="s">
        <v>842</v>
      </c>
    </row>
    <row r="370" spans="1:67" x14ac:dyDescent="0.45">
      <c r="A370" s="46">
        <v>369</v>
      </c>
      <c r="B370" s="1" t="s">
        <v>1647</v>
      </c>
      <c r="C370" s="17" t="str">
        <f t="shared" si="43"/>
        <v>미이행</v>
      </c>
      <c r="D370" s="17" t="str">
        <f t="shared" si="46"/>
        <v>조사완료</v>
      </c>
      <c r="E370" s="2" t="s">
        <v>2103</v>
      </c>
      <c r="F370" s="1" t="s">
        <v>843</v>
      </c>
      <c r="G370" s="1" t="s">
        <v>2104</v>
      </c>
      <c r="H370" s="18" t="s">
        <v>1097</v>
      </c>
      <c r="I370" s="19">
        <v>1222</v>
      </c>
      <c r="J370" s="2"/>
      <c r="K370" s="20" t="s">
        <v>1231</v>
      </c>
      <c r="L370" s="20"/>
      <c r="M370" s="17" t="str">
        <f t="shared" si="44"/>
        <v>기축</v>
      </c>
      <c r="N370" s="21" t="s">
        <v>1057</v>
      </c>
      <c r="O370" s="21"/>
      <c r="P370" s="1">
        <f t="shared" si="40"/>
        <v>61</v>
      </c>
      <c r="Q370" s="1">
        <v>33</v>
      </c>
      <c r="R370" s="64" t="str">
        <f>IFERROR(INDEX(입력!$J$2:$J$500, MATCH($BO370, 입력!$Z$2:$Z$500, 0)) &amp; "", "")</f>
        <v>24</v>
      </c>
      <c r="S370" s="64" t="str">
        <f>IFERROR(INDEX(입력!$K$2:$K$500, MATCH($BO370, 입력!$Z$2:$Z$500, 0)) &amp; "", "")</f>
        <v>9</v>
      </c>
      <c r="T370" s="64">
        <f>MAX(0, 표1[[#This Row],[의무_면수]]-표1[[#This Row],[면수합]])</f>
        <v>28</v>
      </c>
      <c r="U370" s="44" t="str">
        <f t="shared" si="41"/>
        <v>미이행</v>
      </c>
      <c r="V370" s="1">
        <f t="shared" si="45"/>
        <v>24</v>
      </c>
      <c r="W370" s="1" t="str">
        <f t="shared" si="42"/>
        <v/>
      </c>
      <c r="X370" s="1">
        <v>24</v>
      </c>
      <c r="Y370" s="64" t="str">
        <f>IFERROR(INDEX(입력!$M$2:$M$500, MATCH($BO370, 입력!$Z$2:$Z$500, 0)) &amp; "", "")</f>
        <v/>
      </c>
      <c r="Z370" s="64" t="str">
        <f>IFERROR(INDEX(입력!$N$2:$N$500, MATCH($BO370,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7"/>
        <v>이행완료</v>
      </c>
      <c r="AC370" s="64" t="str">
        <f>IFERROR(INDEX(입력!$P$2:$P$500, MATCH($BO370, 입력!$Z$2:$Z$500, 0)) &amp; "", "")</f>
        <v>1147</v>
      </c>
      <c r="AD370" s="64" t="str">
        <f>IFERROR(INDEX(입력!$Q$2:$Q$500, MATCH($BO370, 입력!$Z$2:$Z$500, 0)) &amp; "", "")</f>
        <v>11</v>
      </c>
      <c r="AE370" s="64" t="str">
        <f>IFERROR(INDEX(입력!$R$2:$R$500, MATCH($BO370, 입력!$Z$2:$Z$500, 0)) &amp; "", "")</f>
        <v/>
      </c>
      <c r="AF370" s="64" t="str">
        <f>IFERROR(INDEX(입력!$S$2:$S$500, MATCH($BO370, 입력!$Z$2:$Z$500, 0)) &amp; "", "")</f>
        <v/>
      </c>
      <c r="AG370" s="64" t="str">
        <f>IFERROR(INDEX(입력!$T$2:$T$500, MATCH($BO370, 입력!$Z$2:$Z$500, 0)) &amp; "", "")</f>
        <v>여</v>
      </c>
      <c r="AH370" s="64" t="str">
        <f>IFERROR(INDEX(입력!$U$2:$U$500, MATCH($BO370, 입력!$Z$2:$Z$500, 0)) &amp; "", "")</f>
        <v>9</v>
      </c>
      <c r="AI370" s="64" t="str">
        <f>IFERROR(INDEX(입력!$V$2:$V$500, MATCH($BO370, 입력!$Z$2:$Z$500, 0)) &amp; "", "")</f>
        <v>여</v>
      </c>
      <c r="AJ370" s="44" t="str">
        <f>IFERROR(INDEX(입력!$W$2:$W$500, MATCH($BO370, 입력!$Z$2:$Z$500, 0)) &amp; "", "")</f>
        <v>서미자</v>
      </c>
      <c r="AK370" s="44" t="str">
        <f>IFERROR(INDEX(입력!$X$2:$X$500, MATCH($BO370, 입력!$Z$2:$Z$500, 0)) &amp; "", "")</f>
        <v>941-2322</v>
      </c>
      <c r="AL370" s="2" t="s">
        <v>2105</v>
      </c>
      <c r="AM370" s="17" t="s">
        <v>1650</v>
      </c>
      <c r="AN370" s="101">
        <v>2025</v>
      </c>
      <c r="AO370" s="17" t="s">
        <v>3275</v>
      </c>
      <c r="AP370" s="101"/>
      <c r="AQ370" s="108"/>
      <c r="AR370" s="119"/>
      <c r="AS370" s="101" t="s">
        <v>1094</v>
      </c>
      <c r="AT370" s="109">
        <v>46062</v>
      </c>
      <c r="AU370" s="101" t="s">
        <v>3127</v>
      </c>
      <c r="AV370" s="117" t="s">
        <v>3310</v>
      </c>
      <c r="AW370" s="117" t="s">
        <v>3311</v>
      </c>
      <c r="AX370" s="101"/>
      <c r="AY370" s="83" t="s">
        <v>3131</v>
      </c>
      <c r="AZ370" s="71" t="str">
        <f>IFERROR(IF(INDEX(입력!$C$2:$C$500, MATCH($BO370, 입력!$Z$2:$Z$500, 0))="", "", TEXT(INDEX(입력!$C$2:$C$500, MATCH($BO370, 입력!$Z$2:$Z$500, 0)), "yyyy-mm-dd")), "")</f>
        <v>2026-04-06</v>
      </c>
      <c r="BA370" s="44" t="str">
        <f>IFERROR(INDEX(입력!$B$2:$B$500, MATCH($BO370, 입력!$Z$2:$Z$500, 0)) &amp; "", "")</f>
        <v>최하영</v>
      </c>
      <c r="BB370" s="83" t="str">
        <f>IFERROR(INDEX(입력!$Y$2:$Y$500, MATCH($BO370, 입력!$Z$2:$Z$500, 0)) &amp; "", "")</f>
        <v>4월중 전용주차구역 37면 도색예정</v>
      </c>
      <c r="BC370" s="83" t="s">
        <v>3183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3846</v>
      </c>
      <c r="BI370" s="101" t="s">
        <v>3812</v>
      </c>
      <c r="BJ370" s="101"/>
      <c r="BK370" s="110"/>
      <c r="BL370" s="21" t="s">
        <v>2410</v>
      </c>
      <c r="BM370" s="22">
        <v>1222</v>
      </c>
      <c r="BN370" s="23"/>
      <c r="BO370" s="47" t="s">
        <v>844</v>
      </c>
    </row>
    <row r="371" spans="1:67" x14ac:dyDescent="0.45">
      <c r="A371" s="19">
        <v>370</v>
      </c>
      <c r="B371" s="1" t="s">
        <v>1647</v>
      </c>
      <c r="C371" s="17" t="str">
        <f t="shared" si="43"/>
        <v>이행완료</v>
      </c>
      <c r="D371" s="17" t="str">
        <f t="shared" si="46"/>
        <v>조사완료</v>
      </c>
      <c r="E371" s="2" t="s">
        <v>54</v>
      </c>
      <c r="F371" s="1" t="s">
        <v>845</v>
      </c>
      <c r="G371" s="1" t="s">
        <v>2106</v>
      </c>
      <c r="H371" s="18" t="s">
        <v>1097</v>
      </c>
      <c r="I371" s="19">
        <v>254</v>
      </c>
      <c r="J371" s="2"/>
      <c r="K371" s="20" t="s">
        <v>2336</v>
      </c>
      <c r="L371" s="20"/>
      <c r="M371" s="17" t="str">
        <f t="shared" si="44"/>
        <v>기축</v>
      </c>
      <c r="N371" s="21" t="s">
        <v>2397</v>
      </c>
      <c r="O371" s="21"/>
      <c r="P371" s="1">
        <f t="shared" si="40"/>
        <v>5</v>
      </c>
      <c r="Q371" s="1">
        <v>10</v>
      </c>
      <c r="R371" s="64" t="str">
        <f>IFERROR(INDEX(입력!$J$2:$J$500, MATCH($BO371, 입력!$Z$2:$Z$500, 0)) &amp; "", "")</f>
        <v>6</v>
      </c>
      <c r="S371" s="64" t="str">
        <f>IFERROR(INDEX(입력!$K$2:$K$500, MATCH($BO371, 입력!$Z$2:$Z$500, 0)) &amp; "", "")</f>
        <v>4</v>
      </c>
      <c r="T371" s="64">
        <f>MAX(0, 표1[[#This Row],[의무_면수]]-표1[[#This Row],[면수합]])</f>
        <v>0</v>
      </c>
      <c r="U371" s="44" t="str">
        <f t="shared" si="41"/>
        <v>이행완료</v>
      </c>
      <c r="V371" s="1">
        <f t="shared" si="45"/>
        <v>5</v>
      </c>
      <c r="W371" s="1" t="str">
        <f t="shared" si="42"/>
        <v/>
      </c>
      <c r="X371" s="1">
        <v>10</v>
      </c>
      <c r="Y371" s="64" t="str">
        <f>IFERROR(INDEX(입력!$M$2:$M$500, MATCH($BO371, 입력!$Z$2:$Z$500, 0)) &amp; "", "")</f>
        <v/>
      </c>
      <c r="Z371" s="64" t="str">
        <f>IFERROR(INDEX(입력!$N$2:$N$500, MATCH($BO371,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7"/>
        <v>이행완료</v>
      </c>
      <c r="AC371" s="64" t="str">
        <f>IFERROR(INDEX(입력!$P$2:$P$500, MATCH($BO371, 입력!$Z$2:$Z$500, 0)) &amp; "", "")</f>
        <v>219</v>
      </c>
      <c r="AD371" s="64" t="str">
        <f>IFERROR(INDEX(입력!$Q$2:$Q$500, MATCH($BO371, 입력!$Z$2:$Z$500, 0)) &amp; "", "")</f>
        <v>6</v>
      </c>
      <c r="AE371" s="64" t="str">
        <f>IFERROR(INDEX(입력!$R$2:$R$500, MATCH($BO371, 입력!$Z$2:$Z$500, 0)) &amp; "", "")</f>
        <v>부</v>
      </c>
      <c r="AF371" s="64" t="str">
        <f>IFERROR(INDEX(입력!$S$2:$S$500, MATCH($BO371, 입력!$Z$2:$Z$500, 0)) &amp; "", "")</f>
        <v>여</v>
      </c>
      <c r="AG371" s="64" t="str">
        <f>IFERROR(INDEX(입력!$T$2:$T$500, MATCH($BO371, 입력!$Z$2:$Z$500, 0)) &amp; "", "")</f>
        <v>여</v>
      </c>
      <c r="AH371" s="64" t="str">
        <f>IFERROR(INDEX(입력!$U$2:$U$500, MATCH($BO371, 입력!$Z$2:$Z$500, 0)) &amp; "", "")</f>
        <v>4</v>
      </c>
      <c r="AI371" s="64" t="str">
        <f>IFERROR(INDEX(입력!$V$2:$V$500, MATCH($BO371, 입력!$Z$2:$Z$500, 0)) &amp; "", "")</f>
        <v>여</v>
      </c>
      <c r="AJ371" s="44" t="str">
        <f>IFERROR(INDEX(입력!$W$2:$W$500, MATCH($BO371, 입력!$Z$2:$Z$500, 0)) &amp; "", "")</f>
        <v>이현교</v>
      </c>
      <c r="AK371" s="44" t="str">
        <f>IFERROR(INDEX(입력!$X$2:$X$500, MATCH($BO371, 입력!$Z$2:$Z$500, 0)) &amp; "", "")</f>
        <v>942-2399</v>
      </c>
      <c r="AL371" s="2" t="s">
        <v>2107</v>
      </c>
      <c r="AM371" s="17" t="s">
        <v>1650</v>
      </c>
      <c r="AN371" s="101">
        <v>2025</v>
      </c>
      <c r="AO371" s="17" t="s">
        <v>3274</v>
      </c>
      <c r="AP371" s="118"/>
      <c r="AQ371" s="21"/>
      <c r="AR371" s="119"/>
      <c r="AS371" s="101" t="s">
        <v>3124</v>
      </c>
      <c r="AT371" s="109">
        <v>46034</v>
      </c>
      <c r="AU371" s="101" t="s">
        <v>3141</v>
      </c>
      <c r="AV371" s="21" t="s">
        <v>2108</v>
      </c>
      <c r="AW371" s="101"/>
      <c r="AX371" s="119" t="s">
        <v>2109</v>
      </c>
      <c r="AY371" s="83" t="s">
        <v>3137</v>
      </c>
      <c r="AZ371" s="71" t="str">
        <f>IFERROR(IF(INDEX(입력!$C$2:$C$500, MATCH($BO371, 입력!$Z$2:$Z$500, 0))="", "", TEXT(INDEX(입력!$C$2:$C$500, MATCH($BO371, 입력!$Z$2:$Z$500, 0)), "yyyy-mm-dd")), "")</f>
        <v>2026-04-10</v>
      </c>
      <c r="BA371" s="44" t="str">
        <f>IFERROR(INDEX(입력!$B$2:$B$500, MATCH($BO371, 입력!$Z$2:$Z$500, 0)) &amp; "", "")</f>
        <v>최하영</v>
      </c>
      <c r="BB371" s="83" t="str">
        <f>IFERROR(INDEX(입력!$Y$2:$Y$500, MATCH($BO371, 입력!$Z$2:$Z$500, 0)) &amp; "", "")</f>
        <v/>
      </c>
      <c r="BC371" s="83" t="s">
        <v>3112</v>
      </c>
      <c r="BD371" s="83"/>
      <c r="BE371" s="101"/>
      <c r="BF371" s="101"/>
      <c r="BG371" s="101"/>
      <c r="BH371" s="101"/>
      <c r="BI371" s="101"/>
      <c r="BJ371" s="101"/>
      <c r="BK371" s="110"/>
      <c r="BL371" s="21"/>
      <c r="BM371" s="22">
        <v>254</v>
      </c>
      <c r="BN371" s="23"/>
      <c r="BO371" s="47" t="s">
        <v>846</v>
      </c>
    </row>
    <row r="372" spans="1:67" x14ac:dyDescent="0.45">
      <c r="A372" s="46">
        <v>371</v>
      </c>
      <c r="B372" s="1" t="s">
        <v>1647</v>
      </c>
      <c r="C372" s="17" t="str">
        <f t="shared" si="43"/>
        <v>이행완료</v>
      </c>
      <c r="D372" s="17" t="str">
        <f t="shared" si="46"/>
        <v/>
      </c>
      <c r="E372" s="2" t="s">
        <v>2110</v>
      </c>
      <c r="F372" s="1" t="s">
        <v>847</v>
      </c>
      <c r="G372" s="1" t="s">
        <v>2111</v>
      </c>
      <c r="H372" s="18" t="s">
        <v>1056</v>
      </c>
      <c r="I372" s="19">
        <v>697</v>
      </c>
      <c r="J372" s="2"/>
      <c r="K372" s="20" t="s">
        <v>2529</v>
      </c>
      <c r="L372" s="20"/>
      <c r="M372" s="17" t="str">
        <f t="shared" si="44"/>
        <v>기축</v>
      </c>
      <c r="N372" s="21"/>
      <c r="O372" s="21"/>
      <c r="P372" s="1">
        <f t="shared" si="40"/>
        <v>14</v>
      </c>
      <c r="Q372" s="1">
        <v>14</v>
      </c>
      <c r="R372" s="64" t="str">
        <f>IFERROR(INDEX(입력!$J$2:$J$500, MATCH($BO372, 입력!$Z$2:$Z$500, 0)) &amp; "", "")</f>
        <v/>
      </c>
      <c r="S372" s="64" t="str">
        <f>IFERROR(INDEX(입력!$K$2:$K$500, MATCH($BO372, 입력!$Z$2:$Z$500, 0)) &amp; "", "")</f>
        <v/>
      </c>
      <c r="T372" s="64">
        <f>MAX(0, 표1[[#This Row],[의무_면수]]-표1[[#This Row],[면수합]])</f>
        <v>0</v>
      </c>
      <c r="U372" s="44" t="str">
        <f t="shared" si="41"/>
        <v>이행완료</v>
      </c>
      <c r="V372" s="1">
        <f t="shared" si="45"/>
        <v>14</v>
      </c>
      <c r="W372" s="1" t="str">
        <f t="shared" si="42"/>
        <v/>
      </c>
      <c r="X372" s="1">
        <v>14</v>
      </c>
      <c r="Y372" s="64" t="str">
        <f>IFERROR(INDEX(입력!$M$2:$M$500, MATCH($BO372, 입력!$Z$2:$Z$500, 0)) &amp; "", "")</f>
        <v/>
      </c>
      <c r="Z372" s="64" t="str">
        <f>IFERROR(INDEX(입력!$N$2:$N$500, MATCH($BO372, 입력!$Z$2:$Z$500, 0)) &amp; "", "")</f>
        <v/>
      </c>
      <c r="AA372" s="64">
        <f>MAX(0, 표1[[#This Row],[의무_시설]]-표1[[#This Row],[시설합]])</f>
        <v>0</v>
      </c>
      <c r="AB372" s="17" t="str">
        <f t="shared" si="47"/>
        <v>이행완료</v>
      </c>
      <c r="AC372" s="64" t="str">
        <f>IFERROR(INDEX(입력!$P$2:$P$500, MATCH($BO372, 입력!$Z$2:$Z$500, 0)) &amp; "", "")</f>
        <v/>
      </c>
      <c r="AD372" s="64" t="str">
        <f>IFERROR(INDEX(입력!$Q$2:$Q$500, MATCH($BO372, 입력!$Z$2:$Z$500, 0)) &amp; "", "")</f>
        <v/>
      </c>
      <c r="AE372" s="64" t="str">
        <f>IFERROR(INDEX(입력!$R$2:$R$500, MATCH($BO372, 입력!$Z$2:$Z$500, 0)) &amp; "", "")</f>
        <v/>
      </c>
      <c r="AF372" s="64" t="str">
        <f>IFERROR(INDEX(입력!$S$2:$S$500, MATCH($BO372, 입력!$Z$2:$Z$500, 0)) &amp; "", "")</f>
        <v/>
      </c>
      <c r="AG372" s="64" t="str">
        <f>IFERROR(INDEX(입력!$T$2:$T$500, MATCH($BO372, 입력!$Z$2:$Z$500, 0)) &amp; "", "")</f>
        <v/>
      </c>
      <c r="AH372" s="64" t="str">
        <f>IFERROR(INDEX(입력!$U$2:$U$500, MATCH($BO372, 입력!$Z$2:$Z$500, 0)) &amp; "", "")</f>
        <v/>
      </c>
      <c r="AI372" s="64" t="str">
        <f>IFERROR(INDEX(입력!$V$2:$V$500, MATCH($BO372, 입력!$Z$2:$Z$500, 0)) &amp; "", "")</f>
        <v/>
      </c>
      <c r="AJ372" s="44" t="str">
        <f>IFERROR(INDEX(입력!$W$2:$W$500, MATCH($BO372, 입력!$Z$2:$Z$500, 0)) &amp; "", "")</f>
        <v/>
      </c>
      <c r="AK372" s="44" t="str">
        <f>IFERROR(INDEX(입력!$X$2:$X$500, MATCH($BO372, 입력!$Z$2:$Z$500, 0)) &amp; "", "")</f>
        <v/>
      </c>
      <c r="AL372" s="2"/>
      <c r="AM372" s="17" t="s">
        <v>1650</v>
      </c>
      <c r="AN372" s="101">
        <v>2025</v>
      </c>
      <c r="AO372" s="17" t="s">
        <v>3275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3131</v>
      </c>
      <c r="AZ372" s="71" t="str">
        <f>IFERROR(IF(INDEX(입력!$C$2:$C$500, MATCH($BO372, 입력!$Z$2:$Z$500, 0))="", "", TEXT(INDEX(입력!$C$2:$C$500, MATCH($BO372, 입력!$Z$2:$Z$500, 0)), "yyyy-mm-dd")), "")</f>
        <v/>
      </c>
      <c r="BA372" s="44" t="str">
        <f>IFERROR(INDEX(입력!$B$2:$B$500, MATCH($BO372, 입력!$Z$2:$Z$500, 0)) &amp; "", "")</f>
        <v/>
      </c>
      <c r="BB372" s="83" t="str">
        <f>IFERROR(INDEX(입력!$Y$2:$Y$500, MATCH($BO372, 입력!$Z$2:$Z$500, 0)) &amp; "", "")</f>
        <v/>
      </c>
      <c r="BC372" s="83" t="s">
        <v>3112</v>
      </c>
      <c r="BD372" s="83"/>
      <c r="BE372" s="101"/>
      <c r="BF372" s="101"/>
      <c r="BG372" s="101"/>
      <c r="BH372" s="101"/>
      <c r="BI372" s="101"/>
      <c r="BJ372" s="101"/>
      <c r="BK372" s="110"/>
      <c r="BL372" s="21"/>
      <c r="BM372" s="22">
        <v>694</v>
      </c>
      <c r="BN372" s="23"/>
      <c r="BO372" s="47" t="s">
        <v>848</v>
      </c>
    </row>
    <row r="373" spans="1:67" x14ac:dyDescent="0.45">
      <c r="A373" s="19">
        <v>372</v>
      </c>
      <c r="B373" s="1" t="s">
        <v>1647</v>
      </c>
      <c r="C373" s="17" t="str">
        <f t="shared" si="43"/>
        <v>이행완료</v>
      </c>
      <c r="D373" s="17" t="str">
        <f t="shared" si="46"/>
        <v/>
      </c>
      <c r="E373" s="2" t="s">
        <v>2112</v>
      </c>
      <c r="F373" s="1" t="s">
        <v>849</v>
      </c>
      <c r="G373" s="1" t="s">
        <v>2113</v>
      </c>
      <c r="H373" s="18" t="s">
        <v>1566</v>
      </c>
      <c r="I373" s="19">
        <v>409</v>
      </c>
      <c r="J373" s="2"/>
      <c r="K373" s="20" t="s">
        <v>2530</v>
      </c>
      <c r="L373" s="20"/>
      <c r="M373" s="17" t="str">
        <f t="shared" si="44"/>
        <v>기축</v>
      </c>
      <c r="N373" s="21"/>
      <c r="O373" s="21"/>
      <c r="P373" s="1">
        <f t="shared" si="40"/>
        <v>8</v>
      </c>
      <c r="Q373" s="1">
        <v>9</v>
      </c>
      <c r="R373" s="64" t="str">
        <f>IFERROR(INDEX(입력!$J$2:$J$500, MATCH($BO373, 입력!$Z$2:$Z$500, 0)) &amp; "", "")</f>
        <v/>
      </c>
      <c r="S373" s="64" t="str">
        <f>IFERROR(INDEX(입력!$K$2:$K$500, MATCH($BO373, 입력!$Z$2:$Z$500, 0)) &amp; "", "")</f>
        <v/>
      </c>
      <c r="T373" s="64">
        <f>MAX(0, 표1[[#This Row],[의무_면수]]-표1[[#This Row],[면수합]])</f>
        <v>0</v>
      </c>
      <c r="U373" s="44" t="str">
        <f t="shared" si="41"/>
        <v>이행완료</v>
      </c>
      <c r="V373" s="1">
        <f t="shared" si="45"/>
        <v>8</v>
      </c>
      <c r="W373" s="1" t="str">
        <f t="shared" si="42"/>
        <v/>
      </c>
      <c r="X373" s="1">
        <v>9</v>
      </c>
      <c r="Y373" s="64" t="str">
        <f>IFERROR(INDEX(입력!$M$2:$M$500, MATCH($BO373, 입력!$Z$2:$Z$500, 0)) &amp; "", "")</f>
        <v/>
      </c>
      <c r="Z373" s="64" t="str">
        <f>IFERROR(INDEX(입력!$N$2:$N$500, MATCH($BO373, 입력!$Z$2:$Z$500, 0)) &amp; "", "")</f>
        <v/>
      </c>
      <c r="AA373" s="64">
        <f>MAX(0, 표1[[#This Row],[의무_시설]]-표1[[#This Row],[시설합]])</f>
        <v>0</v>
      </c>
      <c r="AB373" s="17" t="str">
        <f t="shared" si="47"/>
        <v>이행완료</v>
      </c>
      <c r="AC373" s="64" t="str">
        <f>IFERROR(INDEX(입력!$P$2:$P$500, MATCH($BO373, 입력!$Z$2:$Z$500, 0)) &amp; "", "")</f>
        <v/>
      </c>
      <c r="AD373" s="64" t="str">
        <f>IFERROR(INDEX(입력!$Q$2:$Q$500, MATCH($BO373, 입력!$Z$2:$Z$500, 0)) &amp; "", "")</f>
        <v/>
      </c>
      <c r="AE373" s="64" t="str">
        <f>IFERROR(INDEX(입력!$R$2:$R$500, MATCH($BO373, 입력!$Z$2:$Z$500, 0)) &amp; "", "")</f>
        <v/>
      </c>
      <c r="AF373" s="64" t="str">
        <f>IFERROR(INDEX(입력!$S$2:$S$500, MATCH($BO373, 입력!$Z$2:$Z$500, 0)) &amp; "", "")</f>
        <v/>
      </c>
      <c r="AG373" s="64" t="str">
        <f>IFERROR(INDEX(입력!$T$2:$T$500, MATCH($BO373, 입력!$Z$2:$Z$500, 0)) &amp; "", "")</f>
        <v/>
      </c>
      <c r="AH373" s="64" t="str">
        <f>IFERROR(INDEX(입력!$U$2:$U$500, MATCH($BO373, 입력!$Z$2:$Z$500, 0)) &amp; "", "")</f>
        <v/>
      </c>
      <c r="AI373" s="64" t="str">
        <f>IFERROR(INDEX(입력!$V$2:$V$500, MATCH($BO373, 입력!$Z$2:$Z$500, 0)) &amp; "", "")</f>
        <v/>
      </c>
      <c r="AJ373" s="44" t="str">
        <f>IFERROR(INDEX(입력!$W$2:$W$500, MATCH($BO373, 입력!$Z$2:$Z$500, 0)) &amp; "", "")</f>
        <v/>
      </c>
      <c r="AK373" s="44" t="str">
        <f>IFERROR(INDEX(입력!$X$2:$X$500, MATCH($BO373, 입력!$Z$2:$Z$500, 0)) &amp; "", "")</f>
        <v/>
      </c>
      <c r="AL373" s="2" t="s">
        <v>2114</v>
      </c>
      <c r="AM373" s="17" t="s">
        <v>1650</v>
      </c>
      <c r="AN373" s="101">
        <v>2025</v>
      </c>
      <c r="AO373" s="17" t="s">
        <v>3274</v>
      </c>
      <c r="AP373" s="118"/>
      <c r="AQ373" s="21"/>
      <c r="AR373" s="119" t="s">
        <v>2115</v>
      </c>
      <c r="AS373" s="101"/>
      <c r="AT373" s="101"/>
      <c r="AU373" s="101"/>
      <c r="AV373" s="101"/>
      <c r="AW373" s="101"/>
      <c r="AX373" s="101"/>
      <c r="AY373" s="83" t="s">
        <v>3132</v>
      </c>
      <c r="AZ373" s="71" t="str">
        <f>IFERROR(IF(INDEX(입력!$C$2:$C$500, MATCH($BO373, 입력!$Z$2:$Z$500, 0))="", "", TEXT(INDEX(입력!$C$2:$C$500, MATCH($BO373, 입력!$Z$2:$Z$500, 0)), "yyyy-mm-dd")), "")</f>
        <v/>
      </c>
      <c r="BA373" s="44" t="str">
        <f>IFERROR(INDEX(입력!$B$2:$B$500, MATCH($BO373, 입력!$Z$2:$Z$500, 0)) &amp; "", "")</f>
        <v/>
      </c>
      <c r="BB373" s="83" t="str">
        <f>IFERROR(INDEX(입력!$Y$2:$Y$500, MATCH($BO373, 입력!$Z$2:$Z$500, 0)) &amp; "", "")</f>
        <v/>
      </c>
      <c r="BC373" s="83" t="s">
        <v>3112</v>
      </c>
      <c r="BD373" s="83"/>
      <c r="BE373" s="101"/>
      <c r="BF373" s="101"/>
      <c r="BG373" s="101"/>
      <c r="BH373" s="101"/>
      <c r="BI373" s="101"/>
      <c r="BJ373" s="101"/>
      <c r="BK373" s="110"/>
      <c r="BL373" s="21"/>
      <c r="BM373" s="22">
        <v>409</v>
      </c>
      <c r="BN373" s="23"/>
      <c r="BO373" s="47" t="s">
        <v>850</v>
      </c>
    </row>
    <row r="374" spans="1:67" x14ac:dyDescent="0.45">
      <c r="A374" s="46">
        <v>373</v>
      </c>
      <c r="B374" s="1" t="s">
        <v>1647</v>
      </c>
      <c r="C374" s="17" t="str">
        <f t="shared" si="43"/>
        <v>이행완료</v>
      </c>
      <c r="D374" s="17" t="str">
        <f t="shared" si="46"/>
        <v/>
      </c>
      <c r="E374" s="2" t="s">
        <v>2116</v>
      </c>
      <c r="F374" s="1" t="s">
        <v>851</v>
      </c>
      <c r="G374" s="1" t="s">
        <v>2117</v>
      </c>
      <c r="H374" s="18" t="s">
        <v>1105</v>
      </c>
      <c r="I374" s="19">
        <v>1075</v>
      </c>
      <c r="J374" s="2"/>
      <c r="K374" s="20" t="s">
        <v>2531</v>
      </c>
      <c r="L374" s="20"/>
      <c r="M374" s="17" t="str">
        <f t="shared" si="44"/>
        <v>기축</v>
      </c>
      <c r="N374" s="21"/>
      <c r="O374" s="21"/>
      <c r="P374" s="1">
        <f t="shared" si="40"/>
        <v>22</v>
      </c>
      <c r="Q374" s="1">
        <v>40</v>
      </c>
      <c r="R374" s="64" t="str">
        <f>IFERROR(INDEX(입력!$J$2:$J$500, MATCH($BO374, 입력!$Z$2:$Z$500, 0)) &amp; "", "")</f>
        <v/>
      </c>
      <c r="S374" s="64" t="str">
        <f>IFERROR(INDEX(입력!$K$2:$K$500, MATCH($BO374, 입력!$Z$2:$Z$500, 0)) &amp; "", "")</f>
        <v/>
      </c>
      <c r="T374" s="64">
        <f>MAX(0, 표1[[#This Row],[의무_면수]]-표1[[#This Row],[면수합]])</f>
        <v>0</v>
      </c>
      <c r="U374" s="44" t="str">
        <f t="shared" si="41"/>
        <v>이행완료</v>
      </c>
      <c r="V374" s="1">
        <f t="shared" si="45"/>
        <v>22</v>
      </c>
      <c r="W374" s="1" t="str">
        <f t="shared" si="42"/>
        <v/>
      </c>
      <c r="X374" s="1">
        <v>40</v>
      </c>
      <c r="Y374" s="64" t="str">
        <f>IFERROR(INDEX(입력!$M$2:$M$500, MATCH($BO374, 입력!$Z$2:$Z$500, 0)) &amp; "", "")</f>
        <v/>
      </c>
      <c r="Z374" s="64" t="str">
        <f>IFERROR(INDEX(입력!$N$2:$N$500, MATCH($BO374, 입력!$Z$2:$Z$500, 0)) &amp; "", "")</f>
        <v/>
      </c>
      <c r="AA374" s="64">
        <f>MAX(0, 표1[[#This Row],[의무_시설]]-표1[[#This Row],[시설합]])</f>
        <v>0</v>
      </c>
      <c r="AB374" s="17" t="str">
        <f t="shared" si="47"/>
        <v>이행완료</v>
      </c>
      <c r="AC374" s="64" t="str">
        <f>IFERROR(INDEX(입력!$P$2:$P$500, MATCH($BO374, 입력!$Z$2:$Z$500, 0)) &amp; "", "")</f>
        <v/>
      </c>
      <c r="AD374" s="64" t="str">
        <f>IFERROR(INDEX(입력!$Q$2:$Q$500, MATCH($BO374, 입력!$Z$2:$Z$500, 0)) &amp; "", "")</f>
        <v/>
      </c>
      <c r="AE374" s="64" t="str">
        <f>IFERROR(INDEX(입력!$R$2:$R$500, MATCH($BO374, 입력!$Z$2:$Z$500, 0)) &amp; "", "")</f>
        <v/>
      </c>
      <c r="AF374" s="64" t="str">
        <f>IFERROR(INDEX(입력!$S$2:$S$500, MATCH($BO374, 입력!$Z$2:$Z$500, 0)) &amp; "", "")</f>
        <v/>
      </c>
      <c r="AG374" s="64" t="str">
        <f>IFERROR(INDEX(입력!$T$2:$T$500, MATCH($BO374, 입력!$Z$2:$Z$500, 0)) &amp; "", "")</f>
        <v/>
      </c>
      <c r="AH374" s="64" t="str">
        <f>IFERROR(INDEX(입력!$U$2:$U$500, MATCH($BO374, 입력!$Z$2:$Z$500, 0)) &amp; "", "")</f>
        <v/>
      </c>
      <c r="AI374" s="64" t="str">
        <f>IFERROR(INDEX(입력!$V$2:$V$500, MATCH($BO374, 입력!$Z$2:$Z$500, 0)) &amp; "", "")</f>
        <v/>
      </c>
      <c r="AJ374" s="44" t="str">
        <f>IFERROR(INDEX(입력!$W$2:$W$500, MATCH($BO374, 입력!$Z$2:$Z$500, 0)) &amp; "", "")</f>
        <v/>
      </c>
      <c r="AK374" s="44" t="str">
        <f>IFERROR(INDEX(입력!$X$2:$X$500, MATCH($BO374, 입력!$Z$2:$Z$500, 0)) &amp; "", "")</f>
        <v/>
      </c>
      <c r="AL374" s="2"/>
      <c r="AM374" s="17" t="s">
        <v>1650</v>
      </c>
      <c r="AN374" s="101">
        <v>2025</v>
      </c>
      <c r="AO374" s="17" t="s">
        <v>3274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3131</v>
      </c>
      <c r="AZ374" s="71" t="str">
        <f>IFERROR(IF(INDEX(입력!$C$2:$C$500, MATCH($BO374, 입력!$Z$2:$Z$500, 0))="", "", TEXT(INDEX(입력!$C$2:$C$500, MATCH($BO374, 입력!$Z$2:$Z$500, 0)), "yyyy-mm-dd")), "")</f>
        <v/>
      </c>
      <c r="BA374" s="44" t="str">
        <f>IFERROR(INDEX(입력!$B$2:$B$500, MATCH($BO374, 입력!$Z$2:$Z$500, 0)) &amp; "", "")</f>
        <v/>
      </c>
      <c r="BB374" s="83" t="str">
        <f>IFERROR(INDEX(입력!$Y$2:$Y$500, MATCH($BO374, 입력!$Z$2:$Z$500, 0)) &amp; "", "")</f>
        <v/>
      </c>
      <c r="BC374" s="83" t="s">
        <v>3112</v>
      </c>
      <c r="BD374" s="83"/>
      <c r="BE374" s="101"/>
      <c r="BF374" s="101"/>
      <c r="BG374" s="101"/>
      <c r="BH374" s="101"/>
      <c r="BI374" s="101"/>
      <c r="BJ374" s="101"/>
      <c r="BK374" s="110"/>
      <c r="BL374" s="21"/>
      <c r="BM374" s="22">
        <v>1078</v>
      </c>
      <c r="BN374" s="23"/>
      <c r="BO374" s="47" t="s">
        <v>852</v>
      </c>
    </row>
    <row r="375" spans="1:67" x14ac:dyDescent="0.45">
      <c r="A375" s="19">
        <v>374</v>
      </c>
      <c r="B375" s="1" t="s">
        <v>1647</v>
      </c>
      <c r="C375" s="17" t="str">
        <f t="shared" si="43"/>
        <v>이행완료</v>
      </c>
      <c r="D375" s="17" t="str">
        <f t="shared" si="46"/>
        <v/>
      </c>
      <c r="E375" s="2" t="s">
        <v>2118</v>
      </c>
      <c r="F375" s="1" t="s">
        <v>853</v>
      </c>
      <c r="G375" s="1" t="s">
        <v>2119</v>
      </c>
      <c r="H375" s="18" t="s">
        <v>1335</v>
      </c>
      <c r="I375" s="19">
        <v>620</v>
      </c>
      <c r="J375" s="2"/>
      <c r="K375" s="20" t="s">
        <v>2532</v>
      </c>
      <c r="L375" s="20"/>
      <c r="M375" s="17" t="str">
        <f t="shared" si="44"/>
        <v>기축</v>
      </c>
      <c r="N375" s="21"/>
      <c r="O375" s="21"/>
      <c r="P375" s="1">
        <f t="shared" si="40"/>
        <v>12</v>
      </c>
      <c r="Q375" s="1">
        <v>21</v>
      </c>
      <c r="R375" s="64" t="str">
        <f>IFERROR(INDEX(입력!$J$2:$J$500, MATCH($BO375, 입력!$Z$2:$Z$500, 0)) &amp; "", "")</f>
        <v/>
      </c>
      <c r="S375" s="64" t="str">
        <f>IFERROR(INDEX(입력!$K$2:$K$500, MATCH($BO375, 입력!$Z$2:$Z$500, 0)) &amp; "", "")</f>
        <v/>
      </c>
      <c r="T375" s="64">
        <f>MAX(0, 표1[[#This Row],[의무_면수]]-표1[[#This Row],[면수합]])</f>
        <v>0</v>
      </c>
      <c r="U375" s="44" t="str">
        <f t="shared" si="41"/>
        <v>이행완료</v>
      </c>
      <c r="V375" s="1">
        <f t="shared" si="45"/>
        <v>12</v>
      </c>
      <c r="W375" s="1" t="str">
        <f t="shared" si="42"/>
        <v/>
      </c>
      <c r="X375" s="1">
        <v>21</v>
      </c>
      <c r="Y375" s="64" t="str">
        <f>IFERROR(INDEX(입력!$M$2:$M$500, MATCH($BO375, 입력!$Z$2:$Z$500, 0)) &amp; "", "")</f>
        <v/>
      </c>
      <c r="Z375" s="64" t="str">
        <f>IFERROR(INDEX(입력!$N$2:$N$500, MATCH($BO375, 입력!$Z$2:$Z$500, 0)) &amp; "", "")</f>
        <v/>
      </c>
      <c r="AA375" s="64">
        <f>MAX(0, 표1[[#This Row],[의무_시설]]-표1[[#This Row],[시설합]])</f>
        <v>0</v>
      </c>
      <c r="AB375" s="17" t="str">
        <f t="shared" si="47"/>
        <v>이행완료</v>
      </c>
      <c r="AC375" s="64" t="str">
        <f>IFERROR(INDEX(입력!$P$2:$P$500, MATCH($BO375, 입력!$Z$2:$Z$500, 0)) &amp; "", "")</f>
        <v/>
      </c>
      <c r="AD375" s="64" t="str">
        <f>IFERROR(INDEX(입력!$Q$2:$Q$500, MATCH($BO375, 입력!$Z$2:$Z$500, 0)) &amp; "", "")</f>
        <v/>
      </c>
      <c r="AE375" s="64" t="str">
        <f>IFERROR(INDEX(입력!$R$2:$R$500, MATCH($BO375, 입력!$Z$2:$Z$500, 0)) &amp; "", "")</f>
        <v/>
      </c>
      <c r="AF375" s="64" t="str">
        <f>IFERROR(INDEX(입력!$S$2:$S$500, MATCH($BO375, 입력!$Z$2:$Z$500, 0)) &amp; "", "")</f>
        <v/>
      </c>
      <c r="AG375" s="64" t="str">
        <f>IFERROR(INDEX(입력!$T$2:$T$500, MATCH($BO375, 입력!$Z$2:$Z$500, 0)) &amp; "", "")</f>
        <v/>
      </c>
      <c r="AH375" s="64" t="str">
        <f>IFERROR(INDEX(입력!$U$2:$U$500, MATCH($BO375, 입력!$Z$2:$Z$500, 0)) &amp; "", "")</f>
        <v/>
      </c>
      <c r="AI375" s="64" t="str">
        <f>IFERROR(INDEX(입력!$V$2:$V$500, MATCH($BO375, 입력!$Z$2:$Z$500, 0)) &amp; "", "")</f>
        <v/>
      </c>
      <c r="AJ375" s="44" t="str">
        <f>IFERROR(INDEX(입력!$W$2:$W$500, MATCH($BO375, 입력!$Z$2:$Z$500, 0)) &amp; "", "")</f>
        <v/>
      </c>
      <c r="AK375" s="44" t="str">
        <f>IFERROR(INDEX(입력!$X$2:$X$500, MATCH($BO375, 입력!$Z$2:$Z$500, 0)) &amp; "", "")</f>
        <v/>
      </c>
      <c r="AL375" s="2"/>
      <c r="AM375" s="17" t="s">
        <v>1650</v>
      </c>
      <c r="AN375" s="101">
        <v>2025</v>
      </c>
      <c r="AO375" s="17" t="s">
        <v>3277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3137</v>
      </c>
      <c r="AZ375" s="71" t="str">
        <f>IFERROR(IF(INDEX(입력!$C$2:$C$500, MATCH($BO375, 입력!$Z$2:$Z$500, 0))="", "", TEXT(INDEX(입력!$C$2:$C$500, MATCH($BO375, 입력!$Z$2:$Z$500, 0)), "yyyy-mm-dd")), "")</f>
        <v/>
      </c>
      <c r="BA375" s="44" t="str">
        <f>IFERROR(INDEX(입력!$B$2:$B$500, MATCH($BO375, 입력!$Z$2:$Z$500, 0)) &amp; "", "")</f>
        <v/>
      </c>
      <c r="BB375" s="83" t="str">
        <f>IFERROR(INDEX(입력!$Y$2:$Y$500, MATCH($BO375, 입력!$Z$2:$Z$500, 0)) &amp; "", "")</f>
        <v/>
      </c>
      <c r="BC375" s="83" t="s">
        <v>3112</v>
      </c>
      <c r="BD375" s="83"/>
      <c r="BE375" s="101"/>
      <c r="BF375" s="101"/>
      <c r="BG375" s="101"/>
      <c r="BH375" s="101"/>
      <c r="BI375" s="101"/>
      <c r="BJ375" s="101"/>
      <c r="BK375" s="110"/>
      <c r="BL375" s="21"/>
      <c r="BM375" s="22">
        <v>624</v>
      </c>
      <c r="BN375" s="23"/>
      <c r="BO375" s="47" t="s">
        <v>854</v>
      </c>
    </row>
    <row r="376" spans="1:67" x14ac:dyDescent="0.45">
      <c r="A376" s="46">
        <v>375</v>
      </c>
      <c r="B376" s="1" t="s">
        <v>1647</v>
      </c>
      <c r="C376" s="17" t="str">
        <f t="shared" si="43"/>
        <v>이행완료</v>
      </c>
      <c r="D376" s="17" t="str">
        <f t="shared" si="46"/>
        <v/>
      </c>
      <c r="E376" s="2" t="s">
        <v>2120</v>
      </c>
      <c r="F376" s="1" t="s">
        <v>2549</v>
      </c>
      <c r="G376" s="1" t="s">
        <v>2548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4"/>
        <v>기축</v>
      </c>
      <c r="N376" s="21" t="s">
        <v>2397</v>
      </c>
      <c r="O376" s="21"/>
      <c r="P376" s="1">
        <f t="shared" si="40"/>
        <v>10</v>
      </c>
      <c r="Q376" s="1">
        <v>11</v>
      </c>
      <c r="R376" s="64" t="str">
        <f>IFERROR(INDEX(입력!$J$2:$J$500, MATCH($BO376, 입력!$Z$2:$Z$500, 0)) &amp; "", "")</f>
        <v/>
      </c>
      <c r="S376" s="64" t="str">
        <f>IFERROR(INDEX(입력!$K$2:$K$500, MATCH($BO376, 입력!$Z$2:$Z$500, 0)) &amp; "", "")</f>
        <v/>
      </c>
      <c r="T376" s="64">
        <f>MAX(0, 표1[[#This Row],[의무_면수]]-표1[[#This Row],[면수합]])</f>
        <v>0</v>
      </c>
      <c r="U376" s="44" t="str">
        <f t="shared" si="41"/>
        <v>이행완료</v>
      </c>
      <c r="V376" s="1">
        <f t="shared" si="45"/>
        <v>10</v>
      </c>
      <c r="W376" s="1" t="str">
        <f t="shared" si="42"/>
        <v/>
      </c>
      <c r="X376" s="1">
        <v>11</v>
      </c>
      <c r="Y376" s="64" t="str">
        <f>IFERROR(INDEX(입력!$M$2:$M$500, MATCH($BO376, 입력!$Z$2:$Z$500, 0)) &amp; "", "")</f>
        <v/>
      </c>
      <c r="Z376" s="64" t="str">
        <f>IFERROR(INDEX(입력!$N$2:$N$500, MATCH($BO376, 입력!$Z$2:$Z$500, 0)) &amp; "", "")</f>
        <v/>
      </c>
      <c r="AA376" s="64">
        <f>MAX(0, 표1[[#This Row],[의무_시설]]-표1[[#This Row],[시설합]])</f>
        <v>0</v>
      </c>
      <c r="AB376" s="17" t="str">
        <f t="shared" si="47"/>
        <v>이행완료</v>
      </c>
      <c r="AC376" s="64" t="str">
        <f>IFERROR(INDEX(입력!$P$2:$P$500, MATCH($BO376, 입력!$Z$2:$Z$500, 0)) &amp; "", "")</f>
        <v/>
      </c>
      <c r="AD376" s="64" t="str">
        <f>IFERROR(INDEX(입력!$Q$2:$Q$500, MATCH($BO376, 입력!$Z$2:$Z$500, 0)) &amp; "", "")</f>
        <v/>
      </c>
      <c r="AE376" s="64" t="str">
        <f>IFERROR(INDEX(입력!$R$2:$R$500, MATCH($BO376, 입력!$Z$2:$Z$500, 0)) &amp; "", "")</f>
        <v/>
      </c>
      <c r="AF376" s="64" t="str">
        <f>IFERROR(INDEX(입력!$S$2:$S$500, MATCH($BO376, 입력!$Z$2:$Z$500, 0)) &amp; "", "")</f>
        <v/>
      </c>
      <c r="AG376" s="64" t="str">
        <f>IFERROR(INDEX(입력!$T$2:$T$500, MATCH($BO376, 입력!$Z$2:$Z$500, 0)) &amp; "", "")</f>
        <v/>
      </c>
      <c r="AH376" s="64" t="str">
        <f>IFERROR(INDEX(입력!$U$2:$U$500, MATCH($BO376, 입력!$Z$2:$Z$500, 0)) &amp; "", "")</f>
        <v/>
      </c>
      <c r="AI376" s="64" t="str">
        <f>IFERROR(INDEX(입력!$V$2:$V$500, MATCH($BO376, 입력!$Z$2:$Z$500, 0)) &amp; "", "")</f>
        <v/>
      </c>
      <c r="AJ376" s="44" t="str">
        <f>IFERROR(INDEX(입력!$W$2:$W$500, MATCH($BO376, 입력!$Z$2:$Z$500, 0)) &amp; "", "")</f>
        <v/>
      </c>
      <c r="AK376" s="44" t="str">
        <f>IFERROR(INDEX(입력!$X$2:$X$500, MATCH($BO376, 입력!$Z$2:$Z$500, 0)) &amp; "", "")</f>
        <v/>
      </c>
      <c r="AL376" s="2"/>
      <c r="AM376" s="17" t="s">
        <v>1650</v>
      </c>
      <c r="AN376" s="101">
        <v>2025</v>
      </c>
      <c r="AO376" s="17" t="s">
        <v>3274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3137</v>
      </c>
      <c r="AZ376" s="71" t="str">
        <f>IFERROR(IF(INDEX(입력!$C$2:$C$500, MATCH($BO376, 입력!$Z$2:$Z$500, 0))="", "", TEXT(INDEX(입력!$C$2:$C$500, MATCH($BO376, 입력!$Z$2:$Z$500, 0)), "yyyy-mm-dd")), "")</f>
        <v/>
      </c>
      <c r="BA376" s="44" t="str">
        <f>IFERROR(INDEX(입력!$B$2:$B$500, MATCH($BO376, 입력!$Z$2:$Z$500, 0)) &amp; "", "")</f>
        <v/>
      </c>
      <c r="BB376" s="83" t="str">
        <f>IFERROR(INDEX(입력!$Y$2:$Y$500, MATCH($BO376, 입력!$Z$2:$Z$500, 0)) &amp; "", "")</f>
        <v/>
      </c>
      <c r="BC376" s="83" t="s">
        <v>3112</v>
      </c>
      <c r="BD376" s="83"/>
      <c r="BE376" s="101"/>
      <c r="BF376" s="101"/>
      <c r="BG376" s="101"/>
      <c r="BH376" s="101"/>
      <c r="BI376" s="101"/>
      <c r="BJ376" s="101"/>
      <c r="BK376" s="110"/>
      <c r="BL376" s="21"/>
      <c r="BM376" s="22">
        <v>500</v>
      </c>
      <c r="BN376" s="23"/>
      <c r="BO376" s="47" t="s">
        <v>855</v>
      </c>
    </row>
    <row r="377" spans="1:67" x14ac:dyDescent="0.45">
      <c r="A377" s="19">
        <v>376</v>
      </c>
      <c r="B377" s="1" t="s">
        <v>1647</v>
      </c>
      <c r="C377" s="17" t="str">
        <f t="shared" si="43"/>
        <v>이행완료</v>
      </c>
      <c r="D377" s="17" t="str">
        <f t="shared" si="46"/>
        <v/>
      </c>
      <c r="E377" s="2" t="s">
        <v>2553</v>
      </c>
      <c r="F377" s="1" t="s">
        <v>2551</v>
      </c>
      <c r="G377" s="1" t="s">
        <v>2121</v>
      </c>
      <c r="H377" s="18" t="s">
        <v>1097</v>
      </c>
      <c r="I377" s="46"/>
      <c r="J377" s="2">
        <v>244</v>
      </c>
      <c r="K377" s="20"/>
      <c r="L377" s="20"/>
      <c r="M377" s="17" t="str">
        <f t="shared" si="44"/>
        <v/>
      </c>
      <c r="N377" s="21" t="s">
        <v>2402</v>
      </c>
      <c r="O377" s="21"/>
      <c r="P377" s="1">
        <f t="shared" si="40"/>
        <v>5</v>
      </c>
      <c r="Q377" s="1">
        <v>8</v>
      </c>
      <c r="R377" s="64" t="str">
        <f>IFERROR(INDEX(입력!$J$2:$J$500, MATCH($BO377, 입력!$Z$2:$Z$500, 0)) &amp; "", "")</f>
        <v/>
      </c>
      <c r="S377" s="64" t="str">
        <f>IFERROR(INDEX(입력!$K$2:$K$500, MATCH($BO377, 입력!$Z$2:$Z$500, 0)) &amp; "", "")</f>
        <v/>
      </c>
      <c r="T377" s="64">
        <f>MAX(0, 표1[[#This Row],[의무_면수]]-표1[[#This Row],[면수합]])</f>
        <v>0</v>
      </c>
      <c r="U377" s="44" t="str">
        <f t="shared" si="41"/>
        <v>이행완료</v>
      </c>
      <c r="V377" s="1">
        <f t="shared" si="45"/>
        <v>5</v>
      </c>
      <c r="W377" s="1" t="str">
        <f t="shared" si="42"/>
        <v/>
      </c>
      <c r="X377" s="1">
        <v>8</v>
      </c>
      <c r="Y377" s="64" t="str">
        <f>IFERROR(INDEX(입력!$M$2:$M$500, MATCH($BO377, 입력!$Z$2:$Z$500, 0)) &amp; "", "")</f>
        <v/>
      </c>
      <c r="Z377" s="64" t="str">
        <f>IFERROR(INDEX(입력!$N$2:$N$500, MATCH($BO377, 입력!$Z$2:$Z$500, 0)) &amp; "", "")</f>
        <v/>
      </c>
      <c r="AA377" s="64">
        <f>MAX(0, 표1[[#This Row],[의무_시설]]-표1[[#This Row],[시설합]])</f>
        <v>0</v>
      </c>
      <c r="AB377" s="17" t="str">
        <f t="shared" si="47"/>
        <v>이행완료</v>
      </c>
      <c r="AC377" s="64" t="str">
        <f>IFERROR(INDEX(입력!$P$2:$P$500, MATCH($BO377, 입력!$Z$2:$Z$500, 0)) &amp; "", "")</f>
        <v/>
      </c>
      <c r="AD377" s="64" t="str">
        <f>IFERROR(INDEX(입력!$Q$2:$Q$500, MATCH($BO377, 입력!$Z$2:$Z$500, 0)) &amp; "", "")</f>
        <v/>
      </c>
      <c r="AE377" s="64" t="str">
        <f>IFERROR(INDEX(입력!$R$2:$R$500, MATCH($BO377, 입력!$Z$2:$Z$500, 0)) &amp; "", "")</f>
        <v/>
      </c>
      <c r="AF377" s="64" t="str">
        <f>IFERROR(INDEX(입력!$S$2:$S$500, MATCH($BO377, 입력!$Z$2:$Z$500, 0)) &amp; "", "")</f>
        <v/>
      </c>
      <c r="AG377" s="64" t="str">
        <f>IFERROR(INDEX(입력!$T$2:$T$500, MATCH($BO377, 입력!$Z$2:$Z$500, 0)) &amp; "", "")</f>
        <v/>
      </c>
      <c r="AH377" s="64" t="str">
        <f>IFERROR(INDEX(입력!$U$2:$U$500, MATCH($BO377, 입력!$Z$2:$Z$500, 0)) &amp; "", "")</f>
        <v/>
      </c>
      <c r="AI377" s="64" t="str">
        <f>IFERROR(INDEX(입력!$V$2:$V$500, MATCH($BO377, 입력!$Z$2:$Z$500, 0)) &amp; "", "")</f>
        <v/>
      </c>
      <c r="AJ377" s="44" t="str">
        <f>IFERROR(INDEX(입력!$W$2:$W$500, MATCH($BO377, 입력!$Z$2:$Z$500, 0)) &amp; "", "")</f>
        <v/>
      </c>
      <c r="AK377" s="44" t="str">
        <f>IFERROR(INDEX(입력!$X$2:$X$500, MATCH($BO377, 입력!$Z$2:$Z$500, 0)) &amp; "", "")</f>
        <v/>
      </c>
      <c r="AL377" s="2"/>
      <c r="AM377" s="17" t="s">
        <v>1650</v>
      </c>
      <c r="AN377" s="101">
        <v>2025</v>
      </c>
      <c r="AO377" s="17" t="s">
        <v>3275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3137</v>
      </c>
      <c r="AZ377" s="71" t="str">
        <f>IFERROR(IF(INDEX(입력!$C$2:$C$500, MATCH($BO377, 입력!$Z$2:$Z$500, 0))="", "", TEXT(INDEX(입력!$C$2:$C$500, MATCH($BO377, 입력!$Z$2:$Z$500, 0)), "yyyy-mm-dd")), "")</f>
        <v/>
      </c>
      <c r="BA377" s="44" t="str">
        <f>IFERROR(INDEX(입력!$B$2:$B$500, MATCH($BO377, 입력!$Z$2:$Z$500, 0)) &amp; "", "")</f>
        <v/>
      </c>
      <c r="BB377" s="83" t="str">
        <f>IFERROR(INDEX(입력!$Y$2:$Y$500, MATCH($BO377, 입력!$Z$2:$Z$500, 0)) &amp; "", "")</f>
        <v/>
      </c>
      <c r="BC377" s="83" t="s">
        <v>3112</v>
      </c>
      <c r="BD377" s="83"/>
      <c r="BE377" s="101"/>
      <c r="BF377" s="101"/>
      <c r="BG377" s="101"/>
      <c r="BH377" s="101"/>
      <c r="BI377" s="101"/>
      <c r="BJ377" s="101"/>
      <c r="BK377" s="110"/>
      <c r="BL377" s="21"/>
      <c r="BM377" s="22">
        <v>244</v>
      </c>
      <c r="BN377" s="23"/>
      <c r="BO377" s="47" t="s">
        <v>856</v>
      </c>
    </row>
    <row r="378" spans="1:67" x14ac:dyDescent="0.45">
      <c r="A378" s="46">
        <v>377</v>
      </c>
      <c r="B378" s="1" t="s">
        <v>1647</v>
      </c>
      <c r="C378" s="17" t="str">
        <f t="shared" si="43"/>
        <v>이행완료</v>
      </c>
      <c r="D378" s="17" t="str">
        <f t="shared" si="46"/>
        <v/>
      </c>
      <c r="E378" s="2" t="s">
        <v>2122</v>
      </c>
      <c r="F378" s="1" t="s">
        <v>857</v>
      </c>
      <c r="G378" s="1" t="s">
        <v>2550</v>
      </c>
      <c r="H378" s="18" t="s">
        <v>1097</v>
      </c>
      <c r="I378" s="46">
        <v>585</v>
      </c>
      <c r="J378" s="2"/>
      <c r="K378" s="20" t="s">
        <v>2533</v>
      </c>
      <c r="L378" s="20"/>
      <c r="M378" s="17" t="str">
        <f t="shared" si="44"/>
        <v>기축</v>
      </c>
      <c r="N378" s="21"/>
      <c r="O378" s="21"/>
      <c r="P378" s="1">
        <f t="shared" si="40"/>
        <v>12</v>
      </c>
      <c r="Q378" s="1">
        <v>28</v>
      </c>
      <c r="R378" s="64" t="str">
        <f>IFERROR(INDEX(입력!$J$2:$J$500, MATCH($BO378, 입력!$Z$2:$Z$500, 0)) &amp; "", "")</f>
        <v/>
      </c>
      <c r="S378" s="64" t="str">
        <f>IFERROR(INDEX(입력!$K$2:$K$500, MATCH($BO378, 입력!$Z$2:$Z$500, 0)) &amp; "", "")</f>
        <v/>
      </c>
      <c r="T378" s="64">
        <f>MAX(0, 표1[[#This Row],[의무_면수]]-표1[[#This Row],[면수합]])</f>
        <v>0</v>
      </c>
      <c r="U378" s="44" t="str">
        <f t="shared" si="41"/>
        <v>이행완료</v>
      </c>
      <c r="V378" s="1">
        <f t="shared" si="45"/>
        <v>12</v>
      </c>
      <c r="W378" s="1" t="str">
        <f t="shared" si="42"/>
        <v/>
      </c>
      <c r="X378" s="1">
        <v>28</v>
      </c>
      <c r="Y378" s="64" t="str">
        <f>IFERROR(INDEX(입력!$M$2:$M$500, MATCH($BO378, 입력!$Z$2:$Z$500, 0)) &amp; "", "")</f>
        <v/>
      </c>
      <c r="Z378" s="64" t="str">
        <f>IFERROR(INDEX(입력!$N$2:$N$500, MATCH($BO378, 입력!$Z$2:$Z$500, 0)) &amp; "", "")</f>
        <v/>
      </c>
      <c r="AA378" s="64">
        <f>MAX(0, 표1[[#This Row],[의무_시설]]-표1[[#This Row],[시설합]])</f>
        <v>0</v>
      </c>
      <c r="AB378" s="17" t="str">
        <f t="shared" si="47"/>
        <v>이행완료</v>
      </c>
      <c r="AC378" s="64" t="str">
        <f>IFERROR(INDEX(입력!$P$2:$P$500, MATCH($BO378, 입력!$Z$2:$Z$500, 0)) &amp; "", "")</f>
        <v/>
      </c>
      <c r="AD378" s="64" t="str">
        <f>IFERROR(INDEX(입력!$Q$2:$Q$500, MATCH($BO378, 입력!$Z$2:$Z$500, 0)) &amp; "", "")</f>
        <v/>
      </c>
      <c r="AE378" s="64" t="str">
        <f>IFERROR(INDEX(입력!$R$2:$R$500, MATCH($BO378, 입력!$Z$2:$Z$500, 0)) &amp; "", "")</f>
        <v/>
      </c>
      <c r="AF378" s="64" t="str">
        <f>IFERROR(INDEX(입력!$S$2:$S$500, MATCH($BO378, 입력!$Z$2:$Z$500, 0)) &amp; "", "")</f>
        <v/>
      </c>
      <c r="AG378" s="64" t="str">
        <f>IFERROR(INDEX(입력!$T$2:$T$500, MATCH($BO378, 입력!$Z$2:$Z$500, 0)) &amp; "", "")</f>
        <v/>
      </c>
      <c r="AH378" s="64" t="str">
        <f>IFERROR(INDEX(입력!$U$2:$U$500, MATCH($BO378, 입력!$Z$2:$Z$500, 0)) &amp; "", "")</f>
        <v/>
      </c>
      <c r="AI378" s="64" t="str">
        <f>IFERROR(INDEX(입력!$V$2:$V$500, MATCH($BO378, 입력!$Z$2:$Z$500, 0)) &amp; "", "")</f>
        <v/>
      </c>
      <c r="AJ378" s="44" t="str">
        <f>IFERROR(INDEX(입력!$W$2:$W$500, MATCH($BO378, 입력!$Z$2:$Z$500, 0)) &amp; "", "")</f>
        <v/>
      </c>
      <c r="AK378" s="44" t="str">
        <f>IFERROR(INDEX(입력!$X$2:$X$500, MATCH($BO378, 입력!$Z$2:$Z$500, 0)) &amp; "", "")</f>
        <v/>
      </c>
      <c r="AL378" s="2"/>
      <c r="AM378" s="17" t="s">
        <v>1650</v>
      </c>
      <c r="AN378" s="101">
        <v>2025</v>
      </c>
      <c r="AO378" s="17" t="s">
        <v>3277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3137</v>
      </c>
      <c r="AZ378" s="71" t="str">
        <f>IFERROR(IF(INDEX(입력!$C$2:$C$500, MATCH($BO378, 입력!$Z$2:$Z$500, 0))="", "", TEXT(INDEX(입력!$C$2:$C$500, MATCH($BO378, 입력!$Z$2:$Z$500, 0)), "yyyy-mm-dd")), "")</f>
        <v/>
      </c>
      <c r="BA378" s="44" t="str">
        <f>IFERROR(INDEX(입력!$B$2:$B$500, MATCH($BO378, 입력!$Z$2:$Z$500, 0)) &amp; "", "")</f>
        <v/>
      </c>
      <c r="BB378" s="83" t="str">
        <f>IFERROR(INDEX(입력!$Y$2:$Y$500, MATCH($BO378, 입력!$Z$2:$Z$500, 0)) &amp; "", "")</f>
        <v/>
      </c>
      <c r="BC378" s="83" t="s">
        <v>3112</v>
      </c>
      <c r="BD378" s="83"/>
      <c r="BE378" s="101"/>
      <c r="BF378" s="101"/>
      <c r="BG378" s="101"/>
      <c r="BH378" s="101"/>
      <c r="BI378" s="101"/>
      <c r="BJ378" s="101"/>
      <c r="BK378" s="110"/>
      <c r="BL378" s="21"/>
      <c r="BM378" s="22">
        <v>571</v>
      </c>
      <c r="BN378" s="23"/>
      <c r="BO378" s="47" t="s">
        <v>858</v>
      </c>
    </row>
    <row r="379" spans="1:67" x14ac:dyDescent="0.45">
      <c r="A379" s="19">
        <v>378</v>
      </c>
      <c r="B379" s="1" t="s">
        <v>1647</v>
      </c>
      <c r="C379" s="17" t="str">
        <f t="shared" si="43"/>
        <v>이행완료</v>
      </c>
      <c r="D379" s="17" t="str">
        <f t="shared" si="46"/>
        <v/>
      </c>
      <c r="E379" s="2" t="s">
        <v>2123</v>
      </c>
      <c r="F379" s="1" t="s">
        <v>859</v>
      </c>
      <c r="G379" s="1" t="s">
        <v>2124</v>
      </c>
      <c r="H379" s="18" t="s">
        <v>1097</v>
      </c>
      <c r="I379" s="46">
        <v>234</v>
      </c>
      <c r="J379" s="2"/>
      <c r="K379" s="20" t="s">
        <v>2534</v>
      </c>
      <c r="L379" s="20"/>
      <c r="M379" s="17" t="str">
        <f t="shared" si="44"/>
        <v>기축</v>
      </c>
      <c r="N379" s="21"/>
      <c r="O379" s="21"/>
      <c r="P379" s="1">
        <f t="shared" si="40"/>
        <v>5</v>
      </c>
      <c r="Q379" s="1">
        <v>7</v>
      </c>
      <c r="R379" s="64" t="str">
        <f>IFERROR(INDEX(입력!$J$2:$J$500, MATCH($BO379, 입력!$Z$2:$Z$500, 0)) &amp; "", "")</f>
        <v/>
      </c>
      <c r="S379" s="64" t="str">
        <f>IFERROR(INDEX(입력!$K$2:$K$500, MATCH($BO379, 입력!$Z$2:$Z$500, 0)) &amp; "", "")</f>
        <v/>
      </c>
      <c r="T379" s="64">
        <f>MAX(0, 표1[[#This Row],[의무_면수]]-표1[[#This Row],[면수합]])</f>
        <v>0</v>
      </c>
      <c r="U379" s="44" t="str">
        <f t="shared" si="41"/>
        <v>이행완료</v>
      </c>
      <c r="V379" s="1">
        <f t="shared" si="45"/>
        <v>5</v>
      </c>
      <c r="W379" s="1" t="str">
        <f t="shared" si="42"/>
        <v/>
      </c>
      <c r="X379" s="1">
        <v>7</v>
      </c>
      <c r="Y379" s="64" t="str">
        <f>IFERROR(INDEX(입력!$M$2:$M$500, MATCH($BO379, 입력!$Z$2:$Z$500, 0)) &amp; "", "")</f>
        <v/>
      </c>
      <c r="Z379" s="64" t="str">
        <f>IFERROR(INDEX(입력!$N$2:$N$500, MATCH($BO379, 입력!$Z$2:$Z$500, 0)) &amp; "", "")</f>
        <v/>
      </c>
      <c r="AA379" s="64">
        <f>MAX(0, 표1[[#This Row],[의무_시설]]-표1[[#This Row],[시설합]])</f>
        <v>0</v>
      </c>
      <c r="AB379" s="17" t="str">
        <f t="shared" si="47"/>
        <v>이행완료</v>
      </c>
      <c r="AC379" s="64" t="str">
        <f>IFERROR(INDEX(입력!$P$2:$P$500, MATCH($BO379, 입력!$Z$2:$Z$500, 0)) &amp; "", "")</f>
        <v/>
      </c>
      <c r="AD379" s="64" t="str">
        <f>IFERROR(INDEX(입력!$Q$2:$Q$500, MATCH($BO379, 입력!$Z$2:$Z$500, 0)) &amp; "", "")</f>
        <v/>
      </c>
      <c r="AE379" s="64" t="str">
        <f>IFERROR(INDEX(입력!$R$2:$R$500, MATCH($BO379, 입력!$Z$2:$Z$500, 0)) &amp; "", "")</f>
        <v/>
      </c>
      <c r="AF379" s="64" t="str">
        <f>IFERROR(INDEX(입력!$S$2:$S$500, MATCH($BO379, 입력!$Z$2:$Z$500, 0)) &amp; "", "")</f>
        <v/>
      </c>
      <c r="AG379" s="64" t="str">
        <f>IFERROR(INDEX(입력!$T$2:$T$500, MATCH($BO379, 입력!$Z$2:$Z$500, 0)) &amp; "", "")</f>
        <v/>
      </c>
      <c r="AH379" s="64" t="str">
        <f>IFERROR(INDEX(입력!$U$2:$U$500, MATCH($BO379, 입력!$Z$2:$Z$500, 0)) &amp; "", "")</f>
        <v/>
      </c>
      <c r="AI379" s="64" t="str">
        <f>IFERROR(INDEX(입력!$V$2:$V$500, MATCH($BO379, 입력!$Z$2:$Z$500, 0)) &amp; "", "")</f>
        <v/>
      </c>
      <c r="AJ379" s="44" t="str">
        <f>IFERROR(INDEX(입력!$W$2:$W$500, MATCH($BO379, 입력!$Z$2:$Z$500, 0)) &amp; "", "")</f>
        <v/>
      </c>
      <c r="AK379" s="44" t="str">
        <f>IFERROR(INDEX(입력!$X$2:$X$500, MATCH($BO379, 입력!$Z$2:$Z$500, 0)) &amp; "", "")</f>
        <v/>
      </c>
      <c r="AL379" s="2"/>
      <c r="AM379" s="17" t="s">
        <v>1650</v>
      </c>
      <c r="AN379" s="101">
        <v>2025</v>
      </c>
      <c r="AO379" s="17" t="s">
        <v>3275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3132</v>
      </c>
      <c r="AZ379" s="71" t="str">
        <f>IFERROR(IF(INDEX(입력!$C$2:$C$500, MATCH($BO379, 입력!$Z$2:$Z$500, 0))="", "", TEXT(INDEX(입력!$C$2:$C$500, MATCH($BO379, 입력!$Z$2:$Z$500, 0)), "yyyy-mm-dd")), "")</f>
        <v/>
      </c>
      <c r="BA379" s="44" t="str">
        <f>IFERROR(INDEX(입력!$B$2:$B$500, MATCH($BO379, 입력!$Z$2:$Z$500, 0)) &amp; "", "")</f>
        <v/>
      </c>
      <c r="BB379" s="83" t="str">
        <f>IFERROR(INDEX(입력!$Y$2:$Y$500, MATCH($BO379, 입력!$Z$2:$Z$500, 0)) &amp; "", "")</f>
        <v/>
      </c>
      <c r="BC379" s="83" t="s">
        <v>3112</v>
      </c>
      <c r="BD379" s="83"/>
      <c r="BE379" s="101"/>
      <c r="BF379" s="101"/>
      <c r="BG379" s="101"/>
      <c r="BH379" s="101"/>
      <c r="BI379" s="101"/>
      <c r="BJ379" s="101"/>
      <c r="BK379" s="110"/>
      <c r="BL379" s="21"/>
      <c r="BM379" s="22">
        <v>234</v>
      </c>
      <c r="BN379" s="23"/>
      <c r="BO379" s="47" t="s">
        <v>860</v>
      </c>
    </row>
    <row r="380" spans="1:67" x14ac:dyDescent="0.45">
      <c r="A380" s="46">
        <v>379</v>
      </c>
      <c r="B380" s="1" t="s">
        <v>1647</v>
      </c>
      <c r="C380" s="17" t="str">
        <f t="shared" si="43"/>
        <v>이행완료</v>
      </c>
      <c r="D380" s="17" t="str">
        <f t="shared" si="46"/>
        <v/>
      </c>
      <c r="E380" s="2" t="s">
        <v>2125</v>
      </c>
      <c r="F380" s="1" t="s">
        <v>861</v>
      </c>
      <c r="G380" s="1" t="s">
        <v>2126</v>
      </c>
      <c r="H380" s="18" t="s">
        <v>1105</v>
      </c>
      <c r="I380" s="46">
        <v>545</v>
      </c>
      <c r="J380" s="2"/>
      <c r="K380" s="20" t="s">
        <v>2535</v>
      </c>
      <c r="L380" s="20"/>
      <c r="M380" s="17" t="str">
        <f t="shared" si="44"/>
        <v>기축</v>
      </c>
      <c r="N380" s="21" t="s">
        <v>2400</v>
      </c>
      <c r="O380" s="21"/>
      <c r="P380" s="1">
        <f t="shared" si="40"/>
        <v>11</v>
      </c>
      <c r="Q380" s="1">
        <v>11</v>
      </c>
      <c r="R380" s="64" t="str">
        <f>IFERROR(INDEX(입력!$J$2:$J$500, MATCH($BO380, 입력!$Z$2:$Z$500, 0)) &amp; "", "")</f>
        <v/>
      </c>
      <c r="S380" s="64" t="str">
        <f>IFERROR(INDEX(입력!$K$2:$K$500, MATCH($BO380, 입력!$Z$2:$Z$500, 0)) &amp; "", "")</f>
        <v/>
      </c>
      <c r="T380" s="64">
        <f>MAX(0, 표1[[#This Row],[의무_면수]]-표1[[#This Row],[면수합]])</f>
        <v>0</v>
      </c>
      <c r="U380" s="44" t="str">
        <f t="shared" si="41"/>
        <v>이행완료</v>
      </c>
      <c r="V380" s="1">
        <f t="shared" si="45"/>
        <v>11</v>
      </c>
      <c r="W380" s="1" t="str">
        <f t="shared" si="42"/>
        <v/>
      </c>
      <c r="X380" s="1">
        <v>11</v>
      </c>
      <c r="Y380" s="64" t="str">
        <f>IFERROR(INDEX(입력!$M$2:$M$500, MATCH($BO380, 입력!$Z$2:$Z$500, 0)) &amp; "", "")</f>
        <v/>
      </c>
      <c r="Z380" s="64" t="str">
        <f>IFERROR(INDEX(입력!$N$2:$N$500, MATCH($BO380, 입력!$Z$2:$Z$500, 0)) &amp; "", "")</f>
        <v/>
      </c>
      <c r="AA380" s="64">
        <f>MAX(0, 표1[[#This Row],[의무_시설]]-표1[[#This Row],[시설합]])</f>
        <v>0</v>
      </c>
      <c r="AB380" s="17" t="str">
        <f t="shared" si="47"/>
        <v>이행완료</v>
      </c>
      <c r="AC380" s="64" t="str">
        <f>IFERROR(INDEX(입력!$P$2:$P$500, MATCH($BO380, 입력!$Z$2:$Z$500, 0)) &amp; "", "")</f>
        <v/>
      </c>
      <c r="AD380" s="64" t="str">
        <f>IFERROR(INDEX(입력!$Q$2:$Q$500, MATCH($BO380, 입력!$Z$2:$Z$500, 0)) &amp; "", "")</f>
        <v/>
      </c>
      <c r="AE380" s="64" t="str">
        <f>IFERROR(INDEX(입력!$R$2:$R$500, MATCH($BO380, 입력!$Z$2:$Z$500, 0)) &amp; "", "")</f>
        <v/>
      </c>
      <c r="AF380" s="64" t="str">
        <f>IFERROR(INDEX(입력!$S$2:$S$500, MATCH($BO380, 입력!$Z$2:$Z$500, 0)) &amp; "", "")</f>
        <v/>
      </c>
      <c r="AG380" s="64" t="str">
        <f>IFERROR(INDEX(입력!$T$2:$T$500, MATCH($BO380, 입력!$Z$2:$Z$500, 0)) &amp; "", "")</f>
        <v/>
      </c>
      <c r="AH380" s="64" t="str">
        <f>IFERROR(INDEX(입력!$U$2:$U$500, MATCH($BO380, 입력!$Z$2:$Z$500, 0)) &amp; "", "")</f>
        <v/>
      </c>
      <c r="AI380" s="64" t="str">
        <f>IFERROR(INDEX(입력!$V$2:$V$500, MATCH($BO380, 입력!$Z$2:$Z$500, 0)) &amp; "", "")</f>
        <v/>
      </c>
      <c r="AJ380" s="44" t="str">
        <f>IFERROR(INDEX(입력!$W$2:$W$500, MATCH($BO380, 입력!$Z$2:$Z$500, 0)) &amp; "", "")</f>
        <v/>
      </c>
      <c r="AK380" s="44" t="str">
        <f>IFERROR(INDEX(입력!$X$2:$X$500, MATCH($BO380, 입력!$Z$2:$Z$500, 0)) &amp; "", "")</f>
        <v/>
      </c>
      <c r="AL380" s="2"/>
      <c r="AM380" s="17" t="s">
        <v>1650</v>
      </c>
      <c r="AN380" s="101">
        <v>2025</v>
      </c>
      <c r="AO380" s="17" t="s">
        <v>3274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3131</v>
      </c>
      <c r="AZ380" s="71" t="str">
        <f>IFERROR(IF(INDEX(입력!$C$2:$C$500, MATCH($BO380, 입력!$Z$2:$Z$500, 0))="", "", TEXT(INDEX(입력!$C$2:$C$500, MATCH($BO380, 입력!$Z$2:$Z$500, 0)), "yyyy-mm-dd")), "")</f>
        <v/>
      </c>
      <c r="BA380" s="44" t="str">
        <f>IFERROR(INDEX(입력!$B$2:$B$500, MATCH($BO380, 입력!$Z$2:$Z$500, 0)) &amp; "", "")</f>
        <v/>
      </c>
      <c r="BB380" s="83" t="str">
        <f>IFERROR(INDEX(입력!$Y$2:$Y$500, MATCH($BO380, 입력!$Z$2:$Z$500, 0)) &amp; "", "")</f>
        <v/>
      </c>
      <c r="BC380" s="83" t="s">
        <v>3112</v>
      </c>
      <c r="BD380" s="83"/>
      <c r="BE380" s="101"/>
      <c r="BF380" s="101"/>
      <c r="BG380" s="101"/>
      <c r="BH380" s="101"/>
      <c r="BI380" s="101"/>
      <c r="BJ380" s="101"/>
      <c r="BK380" s="110"/>
      <c r="BL380" s="21"/>
      <c r="BM380" s="22">
        <v>545</v>
      </c>
      <c r="BN380" s="23"/>
      <c r="BO380" s="47" t="s">
        <v>862</v>
      </c>
    </row>
    <row r="381" spans="1:67" x14ac:dyDescent="0.45">
      <c r="A381" s="19">
        <v>380</v>
      </c>
      <c r="B381" s="1" t="s">
        <v>1647</v>
      </c>
      <c r="C381" s="17" t="str">
        <f t="shared" si="43"/>
        <v>이행완료</v>
      </c>
      <c r="D381" s="17" t="str">
        <f t="shared" si="46"/>
        <v>조사완료</v>
      </c>
      <c r="E381" s="2" t="s">
        <v>60</v>
      </c>
      <c r="F381" s="1" t="s">
        <v>863</v>
      </c>
      <c r="G381" s="1" t="s">
        <v>2127</v>
      </c>
      <c r="H381" s="18" t="s">
        <v>1105</v>
      </c>
      <c r="I381" s="46">
        <v>295</v>
      </c>
      <c r="J381" s="2"/>
      <c r="K381" s="20" t="s">
        <v>2333</v>
      </c>
      <c r="L381" s="20"/>
      <c r="M381" s="17" t="str">
        <f t="shared" si="44"/>
        <v>기축</v>
      </c>
      <c r="N381" s="21"/>
      <c r="O381" s="21"/>
      <c r="P381" s="1">
        <f t="shared" si="40"/>
        <v>6</v>
      </c>
      <c r="Q381" s="1">
        <v>6</v>
      </c>
      <c r="R381" s="64" t="str">
        <f>IFERROR(INDEX(입력!$J$2:$J$500, MATCH($BO381, 입력!$Z$2:$Z$500, 0)) &amp; "", "")</f>
        <v/>
      </c>
      <c r="S381" s="64" t="str">
        <f>IFERROR(INDEX(입력!$K$2:$K$500, MATCH($BO381, 입력!$Z$2:$Z$500, 0)) &amp; "", "")</f>
        <v>6</v>
      </c>
      <c r="T381" s="64">
        <f>MAX(0, 표1[[#This Row],[의무_면수]]-표1[[#This Row],[면수합]])</f>
        <v>0</v>
      </c>
      <c r="U381" s="44" t="str">
        <f t="shared" si="41"/>
        <v>이행완료</v>
      </c>
      <c r="V381" s="1">
        <f t="shared" si="45"/>
        <v>6</v>
      </c>
      <c r="W381" s="1" t="str">
        <f t="shared" si="42"/>
        <v/>
      </c>
      <c r="X381" s="1">
        <v>6</v>
      </c>
      <c r="Y381" s="64" t="str">
        <f>IFERROR(INDEX(입력!$M$2:$M$500, MATCH($BO381, 입력!$Z$2:$Z$500, 0)) &amp; "", "")</f>
        <v/>
      </c>
      <c r="Z381" s="64" t="str">
        <f>IFERROR(INDEX(입력!$N$2:$N$500, MATCH($BO381, 입력!$Z$2:$Z$500, 0)) &amp; "", "")</f>
        <v>6</v>
      </c>
      <c r="AA381" s="64">
        <f>MAX(0, 표1[[#This Row],[의무_시설]]-표1[[#This Row],[시설합]])</f>
        <v>0</v>
      </c>
      <c r="AB381" s="17" t="str">
        <f t="shared" si="47"/>
        <v>이행완료</v>
      </c>
      <c r="AC381" s="64" t="str">
        <f>IFERROR(INDEX(입력!$P$2:$P$500, MATCH($BO381, 입력!$Z$2:$Z$500, 0)) &amp; "", "")</f>
        <v>237</v>
      </c>
      <c r="AD381" s="64" t="str">
        <f>IFERROR(INDEX(입력!$Q$2:$Q$500, MATCH($BO381, 입력!$Z$2:$Z$500, 0)) &amp; "", "")</f>
        <v>8</v>
      </c>
      <c r="AE381" s="64" t="str">
        <f>IFERROR(INDEX(입력!$R$2:$R$500, MATCH($BO381, 입력!$Z$2:$Z$500, 0)) &amp; "", "")</f>
        <v>부</v>
      </c>
      <c r="AF381" s="64" t="str">
        <f>IFERROR(INDEX(입력!$S$2:$S$500, MATCH($BO381, 입력!$Z$2:$Z$500, 0)) &amp; "", "")</f>
        <v>부</v>
      </c>
      <c r="AG381" s="64" t="str">
        <f>IFERROR(INDEX(입력!$T$2:$T$500, MATCH($BO381, 입력!$Z$2:$Z$500, 0)) &amp; "", "")</f>
        <v>부</v>
      </c>
      <c r="AH381" s="64" t="str">
        <f>IFERROR(INDEX(입력!$U$2:$U$500, MATCH($BO381, 입력!$Z$2:$Z$500, 0)) &amp; "", "")</f>
        <v/>
      </c>
      <c r="AI381" s="64" t="str">
        <f>IFERROR(INDEX(입력!$V$2:$V$500, MATCH($BO381, 입력!$Z$2:$Z$500, 0)) &amp; "", "")</f>
        <v>여</v>
      </c>
      <c r="AJ381" s="44" t="str">
        <f>IFERROR(INDEX(입력!$W$2:$W$500, MATCH($BO381, 입력!$Z$2:$Z$500, 0)) &amp; "", "")</f>
        <v>조정화</v>
      </c>
      <c r="AK381" s="44" t="str">
        <f>IFERROR(INDEX(입력!$X$2:$X$500, MATCH($BO381, 입력!$Z$2:$Z$500, 0)) &amp; "", "")</f>
        <v>010-8629-1130</v>
      </c>
      <c r="AL381" s="2" t="s">
        <v>2128</v>
      </c>
      <c r="AM381" s="17" t="s">
        <v>1650</v>
      </c>
      <c r="AN381" s="101">
        <v>2025</v>
      </c>
      <c r="AO381" s="17" t="s">
        <v>3274</v>
      </c>
      <c r="AP381" s="101"/>
      <c r="AQ381" s="108"/>
      <c r="AR381" s="119"/>
      <c r="AS381" s="101" t="s">
        <v>1094</v>
      </c>
      <c r="AT381" s="109">
        <v>46062</v>
      </c>
      <c r="AU381" s="101" t="s">
        <v>3141</v>
      </c>
      <c r="AV381" s="117" t="s">
        <v>3312</v>
      </c>
      <c r="AW381" s="101" t="s">
        <v>3145</v>
      </c>
      <c r="AX381" s="101" t="s">
        <v>3313</v>
      </c>
      <c r="AY381" s="83" t="s">
        <v>3131</v>
      </c>
      <c r="AZ381" s="71" t="str">
        <f>IFERROR(IF(INDEX(입력!$C$2:$C$500, MATCH($BO381, 입력!$Z$2:$Z$500, 0))="", "", TEXT(INDEX(입력!$C$2:$C$500, MATCH($BO381, 입력!$Z$2:$Z$500, 0)), "yyyy-mm-dd")), "")</f>
        <v>2026-04-08</v>
      </c>
      <c r="BA381" s="44" t="str">
        <f>IFERROR(INDEX(입력!$B$2:$B$500, MATCH($BO381, 입력!$Z$2:$Z$500, 0)) &amp; "", "")</f>
        <v>최하영</v>
      </c>
      <c r="BB381" s="83" t="str">
        <f>IFERROR(INDEX(입력!$Y$2:$Y$500, MATCH($BO381, 입력!$Z$2:$Z$500, 0)) &amp; "", "")</f>
        <v>상가관리주차 57면, 미래공영 062-385-5294</v>
      </c>
      <c r="BC381" s="83" t="s">
        <v>3284</v>
      </c>
      <c r="BD381" s="83"/>
      <c r="BE381" s="101"/>
      <c r="BF381" s="101"/>
      <c r="BG381" s="101" t="s">
        <v>1059</v>
      </c>
      <c r="BH381" s="101" t="s">
        <v>3376</v>
      </c>
      <c r="BI381" s="101"/>
      <c r="BJ381" s="101"/>
      <c r="BK381" s="110"/>
      <c r="BL381" s="21"/>
      <c r="BM381" s="22">
        <v>352</v>
      </c>
      <c r="BN381" s="23"/>
      <c r="BO381" s="47" t="s">
        <v>864</v>
      </c>
    </row>
    <row r="382" spans="1:67" x14ac:dyDescent="0.45">
      <c r="A382" s="46">
        <v>381</v>
      </c>
      <c r="B382" s="1" t="s">
        <v>1647</v>
      </c>
      <c r="C382" s="17" t="str">
        <f t="shared" si="43"/>
        <v>이행완료</v>
      </c>
      <c r="D382" s="17" t="str">
        <f t="shared" si="46"/>
        <v/>
      </c>
      <c r="E382" s="2" t="s">
        <v>2129</v>
      </c>
      <c r="F382" s="1" t="s">
        <v>865</v>
      </c>
      <c r="G382" s="1" t="s">
        <v>2130</v>
      </c>
      <c r="H382" s="18" t="s">
        <v>1152</v>
      </c>
      <c r="I382" s="46">
        <v>413</v>
      </c>
      <c r="J382" s="2"/>
      <c r="K382" s="20" t="s">
        <v>2536</v>
      </c>
      <c r="L382" s="20"/>
      <c r="M382" s="17" t="str">
        <f t="shared" si="44"/>
        <v>기축</v>
      </c>
      <c r="N382" s="21"/>
      <c r="O382" s="21"/>
      <c r="P382" s="1">
        <f t="shared" si="40"/>
        <v>8</v>
      </c>
      <c r="Q382" s="1">
        <v>21</v>
      </c>
      <c r="R382" s="64" t="str">
        <f>IFERROR(INDEX(입력!$J$2:$J$500, MATCH($BO382, 입력!$Z$2:$Z$500, 0)) &amp; "", "")</f>
        <v/>
      </c>
      <c r="S382" s="64" t="str">
        <f>IFERROR(INDEX(입력!$K$2:$K$500, MATCH($BO382, 입력!$Z$2:$Z$500, 0)) &amp; "", "")</f>
        <v/>
      </c>
      <c r="T382" s="64">
        <f>MAX(0, 표1[[#This Row],[의무_면수]]-표1[[#This Row],[면수합]])</f>
        <v>0</v>
      </c>
      <c r="U382" s="44" t="str">
        <f t="shared" si="41"/>
        <v>이행완료</v>
      </c>
      <c r="V382" s="1">
        <f t="shared" si="45"/>
        <v>8</v>
      </c>
      <c r="W382" s="1" t="str">
        <f t="shared" si="42"/>
        <v/>
      </c>
      <c r="X382" s="1">
        <v>21</v>
      </c>
      <c r="Y382" s="64" t="str">
        <f>IFERROR(INDEX(입력!$M$2:$M$500, MATCH($BO382, 입력!$Z$2:$Z$500, 0)) &amp; "", "")</f>
        <v/>
      </c>
      <c r="Z382" s="64" t="str">
        <f>IFERROR(INDEX(입력!$N$2:$N$500, MATCH($BO382, 입력!$Z$2:$Z$500, 0)) &amp; "", "")</f>
        <v/>
      </c>
      <c r="AA382" s="64">
        <f>MAX(0, 표1[[#This Row],[의무_시설]]-표1[[#This Row],[시설합]])</f>
        <v>0</v>
      </c>
      <c r="AB382" s="17" t="str">
        <f t="shared" si="47"/>
        <v>이행완료</v>
      </c>
      <c r="AC382" s="64" t="str">
        <f>IFERROR(INDEX(입력!$P$2:$P$500, MATCH($BO382, 입력!$Z$2:$Z$500, 0)) &amp; "", "")</f>
        <v/>
      </c>
      <c r="AD382" s="64" t="str">
        <f>IFERROR(INDEX(입력!$Q$2:$Q$500, MATCH($BO382, 입력!$Z$2:$Z$500, 0)) &amp; "", "")</f>
        <v/>
      </c>
      <c r="AE382" s="64" t="str">
        <f>IFERROR(INDEX(입력!$R$2:$R$500, MATCH($BO382, 입력!$Z$2:$Z$500, 0)) &amp; "", "")</f>
        <v/>
      </c>
      <c r="AF382" s="64" t="str">
        <f>IFERROR(INDEX(입력!$S$2:$S$500, MATCH($BO382, 입력!$Z$2:$Z$500, 0)) &amp; "", "")</f>
        <v/>
      </c>
      <c r="AG382" s="64" t="str">
        <f>IFERROR(INDEX(입력!$T$2:$T$500, MATCH($BO382, 입력!$Z$2:$Z$500, 0)) &amp; "", "")</f>
        <v/>
      </c>
      <c r="AH382" s="64" t="str">
        <f>IFERROR(INDEX(입력!$U$2:$U$500, MATCH($BO382, 입력!$Z$2:$Z$500, 0)) &amp; "", "")</f>
        <v/>
      </c>
      <c r="AI382" s="64" t="str">
        <f>IFERROR(INDEX(입력!$V$2:$V$500, MATCH($BO382, 입력!$Z$2:$Z$500, 0)) &amp; "", "")</f>
        <v/>
      </c>
      <c r="AJ382" s="44" t="str">
        <f>IFERROR(INDEX(입력!$W$2:$W$500, MATCH($BO382, 입력!$Z$2:$Z$500, 0)) &amp; "", "")</f>
        <v/>
      </c>
      <c r="AK382" s="44" t="str">
        <f>IFERROR(INDEX(입력!$X$2:$X$500, MATCH($BO382, 입력!$Z$2:$Z$500, 0)) &amp; "", "")</f>
        <v/>
      </c>
      <c r="AL382" s="2"/>
      <c r="AM382" s="17" t="s">
        <v>1650</v>
      </c>
      <c r="AN382" s="101">
        <v>2025</v>
      </c>
      <c r="AO382" s="17" t="s">
        <v>3274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3137</v>
      </c>
      <c r="AZ382" s="71" t="str">
        <f>IFERROR(IF(INDEX(입력!$C$2:$C$500, MATCH($BO382, 입력!$Z$2:$Z$500, 0))="", "", TEXT(INDEX(입력!$C$2:$C$500, MATCH($BO382, 입력!$Z$2:$Z$500, 0)), "yyyy-mm-dd")), "")</f>
        <v/>
      </c>
      <c r="BA382" s="44" t="str">
        <f>IFERROR(INDEX(입력!$B$2:$B$500, MATCH($BO382, 입력!$Z$2:$Z$500, 0)) &amp; "", "")</f>
        <v/>
      </c>
      <c r="BB382" s="83" t="str">
        <f>IFERROR(INDEX(입력!$Y$2:$Y$500, MATCH($BO382, 입력!$Z$2:$Z$500, 0)) &amp; "", "")</f>
        <v/>
      </c>
      <c r="BC382" s="83" t="s">
        <v>3112</v>
      </c>
      <c r="BD382" s="83"/>
      <c r="BE382" s="101"/>
      <c r="BF382" s="101"/>
      <c r="BG382" s="101"/>
      <c r="BH382" s="101"/>
      <c r="BI382" s="101"/>
      <c r="BJ382" s="101"/>
      <c r="BK382" s="110"/>
      <c r="BL382" s="21"/>
      <c r="BM382" s="22">
        <v>413</v>
      </c>
      <c r="BN382" s="23"/>
      <c r="BO382" s="47" t="s">
        <v>866</v>
      </c>
    </row>
    <row r="383" spans="1:67" x14ac:dyDescent="0.45">
      <c r="A383" s="19">
        <v>382</v>
      </c>
      <c r="B383" s="1" t="s">
        <v>1647</v>
      </c>
      <c r="C383" s="17" t="str">
        <f t="shared" si="43"/>
        <v>이행완료</v>
      </c>
      <c r="D383" s="17" t="str">
        <f t="shared" si="46"/>
        <v/>
      </c>
      <c r="E383" s="2" t="s">
        <v>2131</v>
      </c>
      <c r="F383" s="1" t="s">
        <v>867</v>
      </c>
      <c r="G383" s="1" t="s">
        <v>2132</v>
      </c>
      <c r="H383" s="18" t="s">
        <v>1133</v>
      </c>
      <c r="I383" s="46">
        <v>363</v>
      </c>
      <c r="J383" s="2"/>
      <c r="K383" s="20" t="s">
        <v>2537</v>
      </c>
      <c r="L383" s="20"/>
      <c r="M383" s="17" t="str">
        <f t="shared" si="44"/>
        <v>기축</v>
      </c>
      <c r="N383" s="21" t="s">
        <v>2393</v>
      </c>
      <c r="O383" s="21"/>
      <c r="P383" s="1">
        <f t="shared" si="40"/>
        <v>7</v>
      </c>
      <c r="Q383" s="1">
        <v>19</v>
      </c>
      <c r="R383" s="64" t="str">
        <f>IFERROR(INDEX(입력!$J$2:$J$500, MATCH($BO383, 입력!$Z$2:$Z$500, 0)) &amp; "", "")</f>
        <v/>
      </c>
      <c r="S383" s="64" t="str">
        <f>IFERROR(INDEX(입력!$K$2:$K$500, MATCH($BO383, 입력!$Z$2:$Z$500, 0)) &amp; "", "")</f>
        <v/>
      </c>
      <c r="T383" s="64">
        <f>MAX(0, 표1[[#This Row],[의무_면수]]-표1[[#This Row],[면수합]])</f>
        <v>0</v>
      </c>
      <c r="U383" s="44" t="str">
        <f t="shared" si="41"/>
        <v>이행완료</v>
      </c>
      <c r="V383" s="1">
        <f t="shared" si="45"/>
        <v>7</v>
      </c>
      <c r="W383" s="1" t="str">
        <f t="shared" si="42"/>
        <v/>
      </c>
      <c r="X383" s="1">
        <v>19</v>
      </c>
      <c r="Y383" s="64" t="str">
        <f>IFERROR(INDEX(입력!$M$2:$M$500, MATCH($BO383, 입력!$Z$2:$Z$500, 0)) &amp; "", "")</f>
        <v/>
      </c>
      <c r="Z383" s="64" t="str">
        <f>IFERROR(INDEX(입력!$N$2:$N$500, MATCH($BO383, 입력!$Z$2:$Z$500, 0)) &amp; "", "")</f>
        <v/>
      </c>
      <c r="AA383" s="64">
        <f>MAX(0, 표1[[#This Row],[의무_시설]]-표1[[#This Row],[시설합]])</f>
        <v>0</v>
      </c>
      <c r="AB383" s="17" t="str">
        <f t="shared" si="47"/>
        <v>이행완료</v>
      </c>
      <c r="AC383" s="64" t="str">
        <f>IFERROR(INDEX(입력!$P$2:$P$500, MATCH($BO383, 입력!$Z$2:$Z$500, 0)) &amp; "", "")</f>
        <v/>
      </c>
      <c r="AD383" s="64" t="str">
        <f>IFERROR(INDEX(입력!$Q$2:$Q$500, MATCH($BO383, 입력!$Z$2:$Z$500, 0)) &amp; "", "")</f>
        <v/>
      </c>
      <c r="AE383" s="64" t="str">
        <f>IFERROR(INDEX(입력!$R$2:$R$500, MATCH($BO383, 입력!$Z$2:$Z$500, 0)) &amp; "", "")</f>
        <v/>
      </c>
      <c r="AF383" s="64" t="str">
        <f>IFERROR(INDEX(입력!$S$2:$S$500, MATCH($BO383, 입력!$Z$2:$Z$500, 0)) &amp; "", "")</f>
        <v/>
      </c>
      <c r="AG383" s="64" t="str">
        <f>IFERROR(INDEX(입력!$T$2:$T$500, MATCH($BO383, 입력!$Z$2:$Z$500, 0)) &amp; "", "")</f>
        <v/>
      </c>
      <c r="AH383" s="64" t="str">
        <f>IFERROR(INDEX(입력!$U$2:$U$500, MATCH($BO383, 입력!$Z$2:$Z$500, 0)) &amp; "", "")</f>
        <v/>
      </c>
      <c r="AI383" s="64" t="str">
        <f>IFERROR(INDEX(입력!$V$2:$V$500, MATCH($BO383, 입력!$Z$2:$Z$500, 0)) &amp; "", "")</f>
        <v/>
      </c>
      <c r="AJ383" s="44" t="str">
        <f>IFERROR(INDEX(입력!$W$2:$W$500, MATCH($BO383, 입력!$Z$2:$Z$500, 0)) &amp; "", "")</f>
        <v/>
      </c>
      <c r="AK383" s="44" t="str">
        <f>IFERROR(INDEX(입력!$X$2:$X$500, MATCH($BO383, 입력!$Z$2:$Z$500, 0)) &amp; "", "")</f>
        <v/>
      </c>
      <c r="AL383" s="2"/>
      <c r="AM383" s="17" t="s">
        <v>1650</v>
      </c>
      <c r="AN383" s="101">
        <v>2025</v>
      </c>
      <c r="AO383" s="17" t="s">
        <v>3274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3137</v>
      </c>
      <c r="AZ383" s="71" t="str">
        <f>IFERROR(IF(INDEX(입력!$C$2:$C$500, MATCH($BO383, 입력!$Z$2:$Z$500, 0))="", "", TEXT(INDEX(입력!$C$2:$C$500, MATCH($BO383, 입력!$Z$2:$Z$500, 0)), "yyyy-mm-dd")), "")</f>
        <v/>
      </c>
      <c r="BA383" s="44" t="str">
        <f>IFERROR(INDEX(입력!$B$2:$B$500, MATCH($BO383, 입력!$Z$2:$Z$500, 0)) &amp; "", "")</f>
        <v/>
      </c>
      <c r="BB383" s="83" t="str">
        <f>IFERROR(INDEX(입력!$Y$2:$Y$500, MATCH($BO383, 입력!$Z$2:$Z$500, 0)) &amp; "", "")</f>
        <v/>
      </c>
      <c r="BC383" s="83" t="s">
        <v>3112</v>
      </c>
      <c r="BD383" s="83"/>
      <c r="BE383" s="101"/>
      <c r="BF383" s="101"/>
      <c r="BG383" s="101"/>
      <c r="BH383" s="101"/>
      <c r="BI383" s="101"/>
      <c r="BJ383" s="101"/>
      <c r="BK383" s="110"/>
      <c r="BL383" s="21"/>
      <c r="BM383" s="22">
        <v>367</v>
      </c>
      <c r="BN383" s="23"/>
      <c r="BO383" s="47" t="s">
        <v>868</v>
      </c>
    </row>
    <row r="384" spans="1:67" x14ac:dyDescent="0.45">
      <c r="A384" s="46">
        <v>383</v>
      </c>
      <c r="B384" s="1" t="s">
        <v>1647</v>
      </c>
      <c r="C384" s="17" t="str">
        <f t="shared" si="43"/>
        <v>이행완료</v>
      </c>
      <c r="D384" s="17" t="str">
        <f t="shared" si="46"/>
        <v/>
      </c>
      <c r="E384" s="2" t="s">
        <v>2133</v>
      </c>
      <c r="F384" s="1" t="s">
        <v>263</v>
      </c>
      <c r="G384" s="1" t="s">
        <v>1314</v>
      </c>
      <c r="H384" s="18" t="s">
        <v>1133</v>
      </c>
      <c r="I384" s="46">
        <v>478</v>
      </c>
      <c r="J384" s="2"/>
      <c r="K384" s="20" t="s">
        <v>2538</v>
      </c>
      <c r="L384" s="20"/>
      <c r="M384" s="17" t="str">
        <f t="shared" si="44"/>
        <v>기축</v>
      </c>
      <c r="N384" s="21"/>
      <c r="O384" s="21"/>
      <c r="P384" s="1">
        <f t="shared" ref="P384:P446" si="48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MATCH($BO384, 입력!$Z$2:$Z$500, 0)) &amp; "", "")</f>
        <v/>
      </c>
      <c r="S384" s="64" t="str">
        <f>IFERROR(INDEX(입력!$K$2:$K$500, MATCH($BO384,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9">IF(OR(P384="", Q384="", P384=0), "미이행", IF(Q384 &gt;= P384, "이행완료", "미이행"))</f>
        <v>이행완료</v>
      </c>
      <c r="V384" s="1">
        <f t="shared" si="45"/>
        <v>10</v>
      </c>
      <c r="W384" s="1" t="str">
        <f t="shared" ref="W384:W446" si="50">IF(OR(M384="", V384&lt;5), "", IF(OR(M384="신축", B384&lt;&gt;"공동주택"), 1, ""))</f>
        <v/>
      </c>
      <c r="X384" s="1">
        <v>10</v>
      </c>
      <c r="Y384" s="64" t="str">
        <f>IFERROR(INDEX(입력!$M$2:$M$500, MATCH($BO384, 입력!$Z$2:$Z$500, 0)) &amp; "", "")</f>
        <v/>
      </c>
      <c r="Z384" s="64" t="str">
        <f>IFERROR(INDEX(입력!$N$2:$N$500, MATCH($BO384, 입력!$Z$2:$Z$500, 0)) &amp; "", "")</f>
        <v/>
      </c>
      <c r="AA384" s="64">
        <f>MAX(0, 표1[[#This Row],[의무_시설]]-표1[[#This Row],[시설합]])</f>
        <v>0</v>
      </c>
      <c r="AB384" s="17" t="str">
        <f t="shared" si="47"/>
        <v>이행완료</v>
      </c>
      <c r="AC384" s="64" t="str">
        <f>IFERROR(INDEX(입력!$P$2:$P$500, MATCH($BO384, 입력!$Z$2:$Z$500, 0)) &amp; "", "")</f>
        <v/>
      </c>
      <c r="AD384" s="64" t="str">
        <f>IFERROR(INDEX(입력!$Q$2:$Q$500, MATCH($BO384, 입력!$Z$2:$Z$500, 0)) &amp; "", "")</f>
        <v/>
      </c>
      <c r="AE384" s="64" t="str">
        <f>IFERROR(INDEX(입력!$R$2:$R$500, MATCH($BO384, 입력!$Z$2:$Z$500, 0)) &amp; "", "")</f>
        <v/>
      </c>
      <c r="AF384" s="64" t="str">
        <f>IFERROR(INDEX(입력!$S$2:$S$500, MATCH($BO384, 입력!$Z$2:$Z$500, 0)) &amp; "", "")</f>
        <v/>
      </c>
      <c r="AG384" s="64" t="str">
        <f>IFERROR(INDEX(입력!$T$2:$T$500, MATCH($BO384, 입력!$Z$2:$Z$500, 0)) &amp; "", "")</f>
        <v/>
      </c>
      <c r="AH384" s="64" t="str">
        <f>IFERROR(INDEX(입력!$U$2:$U$500, MATCH($BO384, 입력!$Z$2:$Z$500, 0)) &amp; "", "")</f>
        <v/>
      </c>
      <c r="AI384" s="64" t="str">
        <f>IFERROR(INDEX(입력!$V$2:$V$500, MATCH($BO384, 입력!$Z$2:$Z$500, 0)) &amp; "", "")</f>
        <v/>
      </c>
      <c r="AJ384" s="44" t="str">
        <f>IFERROR(INDEX(입력!$W$2:$W$500, MATCH($BO384, 입력!$Z$2:$Z$500, 0)) &amp; "", "")</f>
        <v/>
      </c>
      <c r="AK384" s="44" t="str">
        <f>IFERROR(INDEX(입력!$X$2:$X$500, MATCH($BO384, 입력!$Z$2:$Z$500, 0)) &amp; "", "")</f>
        <v/>
      </c>
      <c r="AL384" s="2"/>
      <c r="AM384" s="17" t="s">
        <v>1650</v>
      </c>
      <c r="AN384" s="101">
        <v>2025</v>
      </c>
      <c r="AO384" s="17" t="s">
        <v>3277</v>
      </c>
      <c r="AP384" s="101"/>
      <c r="AQ384" s="108"/>
      <c r="AR384" s="119" t="s">
        <v>3314</v>
      </c>
      <c r="AS384" s="114" t="s">
        <v>3289</v>
      </c>
      <c r="AT384" s="109">
        <v>46034</v>
      </c>
      <c r="AU384" s="101" t="s">
        <v>3126</v>
      </c>
      <c r="AV384" s="101"/>
      <c r="AW384" s="101" t="s">
        <v>3145</v>
      </c>
      <c r="AX384" s="119" t="s">
        <v>3315</v>
      </c>
      <c r="AY384" s="83" t="s">
        <v>3131</v>
      </c>
      <c r="AZ384" s="71" t="str">
        <f>IFERROR(IF(INDEX(입력!$C$2:$C$500, MATCH($BO384, 입력!$Z$2:$Z$500, 0))="", "", TEXT(INDEX(입력!$C$2:$C$500, MATCH($BO384, 입력!$Z$2:$Z$500, 0)), "yyyy-mm-dd")), "")</f>
        <v/>
      </c>
      <c r="BA384" s="44" t="str">
        <f>IFERROR(INDEX(입력!$B$2:$B$500, MATCH($BO384, 입력!$Z$2:$Z$500, 0)) &amp; "", "")</f>
        <v/>
      </c>
      <c r="BB384" s="83" t="str">
        <f>IFERROR(INDEX(입력!$Y$2:$Y$500, MATCH($BO384, 입력!$Z$2:$Z$500, 0)) &amp; "", "")</f>
        <v/>
      </c>
      <c r="BC384" s="83" t="s">
        <v>3279</v>
      </c>
      <c r="BD384" s="83"/>
      <c r="BE384" s="114" t="s">
        <v>3316</v>
      </c>
      <c r="BF384" s="101"/>
      <c r="BG384" s="101"/>
      <c r="BH384" s="101"/>
      <c r="BI384" s="101"/>
      <c r="BJ384" s="101"/>
      <c r="BK384" s="110"/>
      <c r="BL384" s="21"/>
      <c r="BM384" s="22">
        <v>478</v>
      </c>
      <c r="BN384" s="23"/>
      <c r="BO384" s="47" t="s">
        <v>869</v>
      </c>
    </row>
    <row r="385" spans="1:67" x14ac:dyDescent="0.45">
      <c r="A385" s="19">
        <v>384</v>
      </c>
      <c r="B385" s="1" t="s">
        <v>1647</v>
      </c>
      <c r="C385" s="17" t="str">
        <f t="shared" ref="C385:C447" si="51">IF(OR(U385="", AB385=""), "", IF(AND(U385="이행완료", AB385="이행완료"), "이행완료", "미이행"))</f>
        <v>이행완료</v>
      </c>
      <c r="D385" s="17" t="str">
        <f t="shared" si="46"/>
        <v/>
      </c>
      <c r="E385" s="2" t="s">
        <v>2134</v>
      </c>
      <c r="F385" s="1" t="s">
        <v>870</v>
      </c>
      <c r="G385" s="1" t="s">
        <v>2135</v>
      </c>
      <c r="H385" s="18" t="s">
        <v>1133</v>
      </c>
      <c r="I385" s="46">
        <v>627</v>
      </c>
      <c r="J385" s="2"/>
      <c r="K385" s="20" t="s">
        <v>2539</v>
      </c>
      <c r="L385" s="20"/>
      <c r="M385" s="17" t="str">
        <f t="shared" ref="M385:M447" si="52">IF(AND(K385="", L385=""), "", IF(IF(K385="", L385, K385)*1 &lt; DATE(2022, 1, 28), "기축", "신축"))</f>
        <v>기축</v>
      </c>
      <c r="N385" s="21"/>
      <c r="O385" s="21"/>
      <c r="P385" s="1">
        <f t="shared" si="48"/>
        <v>13</v>
      </c>
      <c r="Q385" s="1">
        <v>26</v>
      </c>
      <c r="R385" s="64" t="str">
        <f>IFERROR(INDEX(입력!$J$2:$J$500, MATCH($BO385, 입력!$Z$2:$Z$500, 0)) &amp; "", "")</f>
        <v/>
      </c>
      <c r="S385" s="64" t="str">
        <f>IFERROR(INDEX(입력!$K$2:$K$500, MATCH($BO385, 입력!$Z$2:$Z$500, 0)) &amp; "", "")</f>
        <v/>
      </c>
      <c r="T385" s="64">
        <f>MAX(0, 표1[[#This Row],[의무_면수]]-표1[[#This Row],[면수합]])</f>
        <v>0</v>
      </c>
      <c r="U385" s="44" t="str">
        <f t="shared" si="49"/>
        <v>이행완료</v>
      </c>
      <c r="V385" s="1">
        <f t="shared" ref="V385:V447" si="53">IF(OR(IF(I385="", J385, I385)="", IF(I385="", J385, I385)=0), 0, IF(M385="신축", ROUND(IF(I385="", J385, I385)*0.05, 0), ROUND(IF(I385="", J385, I385)*0.02, 0)))</f>
        <v>13</v>
      </c>
      <c r="W385" s="1" t="str">
        <f t="shared" si="50"/>
        <v/>
      </c>
      <c r="X385" s="1">
        <v>26</v>
      </c>
      <c r="Y385" s="64" t="str">
        <f>IFERROR(INDEX(입력!$M$2:$M$500, MATCH($BO385, 입력!$Z$2:$Z$500, 0)) &amp; "", "")</f>
        <v/>
      </c>
      <c r="Z385" s="64" t="str">
        <f>IFERROR(INDEX(입력!$N$2:$N$500, MATCH($BO385, 입력!$Z$2:$Z$500, 0)) &amp; "", "")</f>
        <v/>
      </c>
      <c r="AA385" s="64">
        <f>MAX(0, 표1[[#This Row],[의무_시설]]-표1[[#This Row],[시설합]])</f>
        <v>0</v>
      </c>
      <c r="AB385" s="17" t="str">
        <f t="shared" si="47"/>
        <v>이행완료</v>
      </c>
      <c r="AC385" s="64" t="str">
        <f>IFERROR(INDEX(입력!$P$2:$P$500, MATCH($BO385, 입력!$Z$2:$Z$500, 0)) &amp; "", "")</f>
        <v/>
      </c>
      <c r="AD385" s="64" t="str">
        <f>IFERROR(INDEX(입력!$Q$2:$Q$500, MATCH($BO385, 입력!$Z$2:$Z$500, 0)) &amp; "", "")</f>
        <v/>
      </c>
      <c r="AE385" s="64" t="str">
        <f>IFERROR(INDEX(입력!$R$2:$R$500, MATCH($BO385, 입력!$Z$2:$Z$500, 0)) &amp; "", "")</f>
        <v/>
      </c>
      <c r="AF385" s="64" t="str">
        <f>IFERROR(INDEX(입력!$S$2:$S$500, MATCH($BO385, 입력!$Z$2:$Z$500, 0)) &amp; "", "")</f>
        <v/>
      </c>
      <c r="AG385" s="64" t="str">
        <f>IFERROR(INDEX(입력!$T$2:$T$500, MATCH($BO385, 입력!$Z$2:$Z$500, 0)) &amp; "", "")</f>
        <v/>
      </c>
      <c r="AH385" s="64" t="str">
        <f>IFERROR(INDEX(입력!$U$2:$U$500, MATCH($BO385, 입력!$Z$2:$Z$500, 0)) &amp; "", "")</f>
        <v/>
      </c>
      <c r="AI385" s="64" t="str">
        <f>IFERROR(INDEX(입력!$V$2:$V$500, MATCH($BO385, 입력!$Z$2:$Z$500, 0)) &amp; "", "")</f>
        <v/>
      </c>
      <c r="AJ385" s="44" t="str">
        <f>IFERROR(INDEX(입력!$W$2:$W$500, MATCH($BO385, 입력!$Z$2:$Z$500, 0)) &amp; "", "")</f>
        <v/>
      </c>
      <c r="AK385" s="44" t="str">
        <f>IFERROR(INDEX(입력!$X$2:$X$500, MATCH($BO385, 입력!$Z$2:$Z$500, 0)) &amp; "", "")</f>
        <v/>
      </c>
      <c r="AL385" s="2"/>
      <c r="AM385" s="17" t="s">
        <v>1650</v>
      </c>
      <c r="AN385" s="101">
        <v>2025</v>
      </c>
      <c r="AO385" s="17" t="s">
        <v>3277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3131</v>
      </c>
      <c r="AZ385" s="71" t="str">
        <f>IFERROR(IF(INDEX(입력!$C$2:$C$500, MATCH($BO385, 입력!$Z$2:$Z$500, 0))="", "", TEXT(INDEX(입력!$C$2:$C$500, MATCH($BO385, 입력!$Z$2:$Z$500, 0)), "yyyy-mm-dd")), "")</f>
        <v/>
      </c>
      <c r="BA385" s="44" t="str">
        <f>IFERROR(INDEX(입력!$B$2:$B$500, MATCH($BO385, 입력!$Z$2:$Z$500, 0)) &amp; "", "")</f>
        <v/>
      </c>
      <c r="BB385" s="83" t="str">
        <f>IFERROR(INDEX(입력!$Y$2:$Y$500, MATCH($BO385, 입력!$Z$2:$Z$500, 0)) &amp; "", "")</f>
        <v/>
      </c>
      <c r="BC385" s="83" t="s">
        <v>3112</v>
      </c>
      <c r="BD385" s="83"/>
      <c r="BE385" s="101"/>
      <c r="BF385" s="101"/>
      <c r="BG385" s="101"/>
      <c r="BH385" s="101"/>
      <c r="BI385" s="101"/>
      <c r="BJ385" s="101"/>
      <c r="BK385" s="110"/>
      <c r="BL385" s="21"/>
      <c r="BM385" s="22">
        <v>627</v>
      </c>
      <c r="BN385" s="23"/>
      <c r="BO385" s="47" t="s">
        <v>871</v>
      </c>
    </row>
    <row r="386" spans="1:67" x14ac:dyDescent="0.45">
      <c r="A386" s="46">
        <v>385</v>
      </c>
      <c r="B386" s="1" t="s">
        <v>1647</v>
      </c>
      <c r="C386" s="17" t="str">
        <f t="shared" si="51"/>
        <v>이행완료</v>
      </c>
      <c r="D386" s="17" t="str">
        <f t="shared" ref="D386:D449" si="54">IF(AZ386&lt;&gt;"", "조사완료", "")</f>
        <v/>
      </c>
      <c r="E386" s="2" t="s">
        <v>2136</v>
      </c>
      <c r="F386" s="1" t="s">
        <v>872</v>
      </c>
      <c r="G386" s="1" t="s">
        <v>2137</v>
      </c>
      <c r="H386" s="18" t="s">
        <v>1276</v>
      </c>
      <c r="I386" s="46">
        <v>291</v>
      </c>
      <c r="J386" s="2"/>
      <c r="K386" s="20" t="s">
        <v>2540</v>
      </c>
      <c r="L386" s="20"/>
      <c r="M386" s="17" t="str">
        <f t="shared" si="52"/>
        <v>기축</v>
      </c>
      <c r="N386" s="21"/>
      <c r="O386" s="21"/>
      <c r="P386" s="1">
        <f t="shared" si="48"/>
        <v>6</v>
      </c>
      <c r="Q386" s="1">
        <v>6</v>
      </c>
      <c r="R386" s="64" t="str">
        <f>IFERROR(INDEX(입력!$J$2:$J$500, MATCH($BO386, 입력!$Z$2:$Z$500, 0)) &amp; "", "")</f>
        <v/>
      </c>
      <c r="S386" s="64" t="str">
        <f>IFERROR(INDEX(입력!$K$2:$K$500, MATCH($BO386, 입력!$Z$2:$Z$500, 0)) &amp; "", "")</f>
        <v/>
      </c>
      <c r="T386" s="64">
        <f>MAX(0, 표1[[#This Row],[의무_면수]]-표1[[#This Row],[면수합]])</f>
        <v>0</v>
      </c>
      <c r="U386" s="44" t="str">
        <f t="shared" si="49"/>
        <v>이행완료</v>
      </c>
      <c r="V386" s="1">
        <f t="shared" si="53"/>
        <v>6</v>
      </c>
      <c r="W386" s="1" t="str">
        <f t="shared" si="50"/>
        <v/>
      </c>
      <c r="X386" s="1">
        <v>6</v>
      </c>
      <c r="Y386" s="64" t="str">
        <f>IFERROR(INDEX(입력!$M$2:$M$500, MATCH($BO386, 입력!$Z$2:$Z$500, 0)) &amp; "", "")</f>
        <v/>
      </c>
      <c r="Z386" s="64" t="str">
        <f>IFERROR(INDEX(입력!$N$2:$N$500, MATCH($BO386,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8" si="55">IF(OR(V386="", X386=""), "", IF(X386 &gt;= V386, "이행완료", "미이행"))</f>
        <v>이행완료</v>
      </c>
      <c r="AC386" s="64" t="str">
        <f>IFERROR(INDEX(입력!$P$2:$P$500, MATCH($BO386, 입력!$Z$2:$Z$500, 0)) &amp; "", "")</f>
        <v/>
      </c>
      <c r="AD386" s="64" t="str">
        <f>IFERROR(INDEX(입력!$Q$2:$Q$500, MATCH($BO386, 입력!$Z$2:$Z$500, 0)) &amp; "", "")</f>
        <v/>
      </c>
      <c r="AE386" s="64" t="str">
        <f>IFERROR(INDEX(입력!$R$2:$R$500, MATCH($BO386, 입력!$Z$2:$Z$500, 0)) &amp; "", "")</f>
        <v/>
      </c>
      <c r="AF386" s="64" t="str">
        <f>IFERROR(INDEX(입력!$S$2:$S$500, MATCH($BO386, 입력!$Z$2:$Z$500, 0)) &amp; "", "")</f>
        <v/>
      </c>
      <c r="AG386" s="64" t="str">
        <f>IFERROR(INDEX(입력!$T$2:$T$500, MATCH($BO386, 입력!$Z$2:$Z$500, 0)) &amp; "", "")</f>
        <v/>
      </c>
      <c r="AH386" s="64" t="str">
        <f>IFERROR(INDEX(입력!$U$2:$U$500, MATCH($BO386, 입력!$Z$2:$Z$500, 0)) &amp; "", "")</f>
        <v/>
      </c>
      <c r="AI386" s="64" t="str">
        <f>IFERROR(INDEX(입력!$V$2:$V$500, MATCH($BO386, 입력!$Z$2:$Z$500, 0)) &amp; "", "")</f>
        <v/>
      </c>
      <c r="AJ386" s="44" t="str">
        <f>IFERROR(INDEX(입력!$W$2:$W$500, MATCH($BO386, 입력!$Z$2:$Z$500, 0)) &amp; "", "")</f>
        <v/>
      </c>
      <c r="AK386" s="44" t="str">
        <f>IFERROR(INDEX(입력!$X$2:$X$500, MATCH($BO386, 입력!$Z$2:$Z$500, 0)) &amp; "", "")</f>
        <v/>
      </c>
      <c r="AL386" s="2"/>
      <c r="AM386" s="17" t="s">
        <v>1650</v>
      </c>
      <c r="AN386" s="101">
        <v>2025</v>
      </c>
      <c r="AO386" s="17" t="s">
        <v>3277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3131</v>
      </c>
      <c r="AZ386" s="71" t="str">
        <f>IFERROR(IF(INDEX(입력!$C$2:$C$500, MATCH($BO386, 입력!$Z$2:$Z$500, 0))="", "", TEXT(INDEX(입력!$C$2:$C$500, MATCH($BO386, 입력!$Z$2:$Z$500, 0)), "yyyy-mm-dd")), "")</f>
        <v/>
      </c>
      <c r="BA386" s="44" t="str">
        <f>IFERROR(INDEX(입력!$B$2:$B$500, MATCH($BO386, 입력!$Z$2:$Z$500, 0)) &amp; "", "")</f>
        <v/>
      </c>
      <c r="BB386" s="83" t="str">
        <f>IFERROR(INDEX(입력!$Y$2:$Y$500, MATCH($BO386, 입력!$Z$2:$Z$500, 0)) &amp; "", "")</f>
        <v/>
      </c>
      <c r="BC386" s="83" t="s">
        <v>3112</v>
      </c>
      <c r="BD386" s="83"/>
      <c r="BE386" s="101"/>
      <c r="BF386" s="101"/>
      <c r="BG386" s="101"/>
      <c r="BH386" s="101"/>
      <c r="BI386" s="101"/>
      <c r="BJ386" s="101"/>
      <c r="BK386" s="110"/>
      <c r="BL386" s="21"/>
      <c r="BM386" s="22">
        <v>291</v>
      </c>
      <c r="BN386" s="23"/>
      <c r="BO386" s="47" t="s">
        <v>873</v>
      </c>
    </row>
    <row r="387" spans="1:67" x14ac:dyDescent="0.45">
      <c r="A387" s="19">
        <v>386</v>
      </c>
      <c r="B387" s="1" t="s">
        <v>1647</v>
      </c>
      <c r="C387" s="17" t="str">
        <f t="shared" si="51"/>
        <v>이행완료</v>
      </c>
      <c r="D387" s="17" t="str">
        <f t="shared" si="54"/>
        <v/>
      </c>
      <c r="E387" s="2" t="s">
        <v>2138</v>
      </c>
      <c r="F387" s="1" t="s">
        <v>2552</v>
      </c>
      <c r="G387" s="1" t="s">
        <v>2139</v>
      </c>
      <c r="H387" s="18" t="s">
        <v>1276</v>
      </c>
      <c r="I387" s="46">
        <v>146</v>
      </c>
      <c r="J387" s="2"/>
      <c r="K387" s="20" t="s">
        <v>2541</v>
      </c>
      <c r="L387" s="20"/>
      <c r="M387" s="17" t="str">
        <f t="shared" si="52"/>
        <v>기축</v>
      </c>
      <c r="N387" s="21"/>
      <c r="O387" s="21"/>
      <c r="P387" s="1">
        <f t="shared" si="48"/>
        <v>3</v>
      </c>
      <c r="Q387" s="1">
        <v>3</v>
      </c>
      <c r="R387" s="64" t="str">
        <f>IFERROR(INDEX(입력!$J$2:$J$500, MATCH($BO387, 입력!$Z$2:$Z$500, 0)) &amp; "", "")</f>
        <v/>
      </c>
      <c r="S387" s="64" t="str">
        <f>IFERROR(INDEX(입력!$K$2:$K$500, MATCH($BO387, 입력!$Z$2:$Z$500, 0)) &amp; "", "")</f>
        <v/>
      </c>
      <c r="T387" s="64">
        <f>MAX(0, 표1[[#This Row],[의무_면수]]-표1[[#This Row],[면수합]])</f>
        <v>0</v>
      </c>
      <c r="U387" s="44" t="str">
        <f t="shared" si="49"/>
        <v>이행완료</v>
      </c>
      <c r="V387" s="1">
        <f t="shared" si="53"/>
        <v>3</v>
      </c>
      <c r="W387" s="1" t="str">
        <f t="shared" si="50"/>
        <v/>
      </c>
      <c r="X387" s="1">
        <v>3</v>
      </c>
      <c r="Y387" s="64" t="str">
        <f>IFERROR(INDEX(입력!$M$2:$M$500, MATCH($BO387, 입력!$Z$2:$Z$500, 0)) &amp; "", "")</f>
        <v/>
      </c>
      <c r="Z387" s="64" t="str">
        <f>IFERROR(INDEX(입력!$N$2:$N$500, MATCH($BO387, 입력!$Z$2:$Z$500, 0)) &amp; "", "")</f>
        <v/>
      </c>
      <c r="AA387" s="64">
        <f>MAX(0, 표1[[#This Row],[의무_시설]]-표1[[#This Row],[시설합]])</f>
        <v>0</v>
      </c>
      <c r="AB387" s="17" t="str">
        <f t="shared" si="55"/>
        <v>이행완료</v>
      </c>
      <c r="AC387" s="64" t="str">
        <f>IFERROR(INDEX(입력!$P$2:$P$500, MATCH($BO387, 입력!$Z$2:$Z$500, 0)) &amp; "", "")</f>
        <v/>
      </c>
      <c r="AD387" s="64" t="str">
        <f>IFERROR(INDEX(입력!$Q$2:$Q$500, MATCH($BO387, 입력!$Z$2:$Z$500, 0)) &amp; "", "")</f>
        <v/>
      </c>
      <c r="AE387" s="64" t="str">
        <f>IFERROR(INDEX(입력!$R$2:$R$500, MATCH($BO387, 입력!$Z$2:$Z$500, 0)) &amp; "", "")</f>
        <v/>
      </c>
      <c r="AF387" s="64" t="str">
        <f>IFERROR(INDEX(입력!$S$2:$S$500, MATCH($BO387, 입력!$Z$2:$Z$500, 0)) &amp; "", "")</f>
        <v/>
      </c>
      <c r="AG387" s="64" t="str">
        <f>IFERROR(INDEX(입력!$T$2:$T$500, MATCH($BO387, 입력!$Z$2:$Z$500, 0)) &amp; "", "")</f>
        <v/>
      </c>
      <c r="AH387" s="64" t="str">
        <f>IFERROR(INDEX(입력!$U$2:$U$500, MATCH($BO387, 입력!$Z$2:$Z$500, 0)) &amp; "", "")</f>
        <v/>
      </c>
      <c r="AI387" s="64" t="str">
        <f>IFERROR(INDEX(입력!$V$2:$V$500, MATCH($BO387, 입력!$Z$2:$Z$500, 0)) &amp; "", "")</f>
        <v/>
      </c>
      <c r="AJ387" s="44" t="str">
        <f>IFERROR(INDEX(입력!$W$2:$W$500, MATCH($BO387, 입력!$Z$2:$Z$500, 0)) &amp; "", "")</f>
        <v/>
      </c>
      <c r="AK387" s="44" t="str">
        <f>IFERROR(INDEX(입력!$X$2:$X$500, MATCH($BO387, 입력!$Z$2:$Z$500, 0)) &amp; "", "")</f>
        <v/>
      </c>
      <c r="AL387" s="2"/>
      <c r="AM387" s="17" t="s">
        <v>1650</v>
      </c>
      <c r="AN387" s="101">
        <v>2025</v>
      </c>
      <c r="AO387" s="17" t="s">
        <v>3275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3137</v>
      </c>
      <c r="AZ387" s="71" t="str">
        <f>IFERROR(IF(INDEX(입력!$C$2:$C$500, MATCH($BO387, 입력!$Z$2:$Z$500, 0))="", "", TEXT(INDEX(입력!$C$2:$C$500, MATCH($BO387, 입력!$Z$2:$Z$500, 0)), "yyyy-mm-dd")), "")</f>
        <v/>
      </c>
      <c r="BA387" s="44" t="str">
        <f>IFERROR(INDEX(입력!$B$2:$B$500, MATCH($BO387, 입력!$Z$2:$Z$500, 0)) &amp; "", "")</f>
        <v/>
      </c>
      <c r="BB387" s="83" t="str">
        <f>IFERROR(INDEX(입력!$Y$2:$Y$500, MATCH($BO387, 입력!$Z$2:$Z$500, 0)) &amp; "", "")</f>
        <v/>
      </c>
      <c r="BC387" s="83" t="s">
        <v>3112</v>
      </c>
      <c r="BD387" s="83"/>
      <c r="BE387" s="101"/>
      <c r="BF387" s="101"/>
      <c r="BG387" s="101"/>
      <c r="BH387" s="101"/>
      <c r="BI387" s="101"/>
      <c r="BJ387" s="101"/>
      <c r="BK387" s="110"/>
      <c r="BL387" s="21"/>
      <c r="BM387" s="22">
        <v>146</v>
      </c>
      <c r="BN387" s="23"/>
      <c r="BO387" s="47" t="s">
        <v>874</v>
      </c>
    </row>
    <row r="388" spans="1:67" x14ac:dyDescent="0.45">
      <c r="A388" s="46">
        <v>387</v>
      </c>
      <c r="B388" s="1" t="s">
        <v>1647</v>
      </c>
      <c r="C388" s="17" t="str">
        <f t="shared" si="51"/>
        <v>이행완료</v>
      </c>
      <c r="D388" s="17" t="str">
        <f t="shared" si="54"/>
        <v/>
      </c>
      <c r="E388" s="2" t="s">
        <v>2140</v>
      </c>
      <c r="F388" s="1" t="s">
        <v>875</v>
      </c>
      <c r="G388" s="1" t="s">
        <v>2141</v>
      </c>
      <c r="H388" s="18" t="s">
        <v>1088</v>
      </c>
      <c r="I388" s="46">
        <v>744</v>
      </c>
      <c r="J388" s="2"/>
      <c r="K388" s="20" t="s">
        <v>2542</v>
      </c>
      <c r="L388" s="20"/>
      <c r="M388" s="17" t="str">
        <f t="shared" si="52"/>
        <v>기축</v>
      </c>
      <c r="N388" s="21"/>
      <c r="O388" s="21"/>
      <c r="P388" s="1">
        <f t="shared" si="48"/>
        <v>15</v>
      </c>
      <c r="Q388" s="1">
        <v>15</v>
      </c>
      <c r="R388" s="64" t="str">
        <f>IFERROR(INDEX(입력!$J$2:$J$500, MATCH($BO388, 입력!$Z$2:$Z$500, 0)) &amp; "", "")</f>
        <v/>
      </c>
      <c r="S388" s="64" t="str">
        <f>IFERROR(INDEX(입력!$K$2:$K$500, MATCH($BO388, 입력!$Z$2:$Z$500, 0)) &amp; "", "")</f>
        <v/>
      </c>
      <c r="T388" s="64">
        <f>MAX(0, 표1[[#This Row],[의무_면수]]-표1[[#This Row],[면수합]])</f>
        <v>0</v>
      </c>
      <c r="U388" s="44" t="str">
        <f t="shared" si="49"/>
        <v>이행완료</v>
      </c>
      <c r="V388" s="1">
        <f t="shared" si="53"/>
        <v>15</v>
      </c>
      <c r="W388" s="1" t="str">
        <f t="shared" si="50"/>
        <v/>
      </c>
      <c r="X388" s="1">
        <v>15</v>
      </c>
      <c r="Y388" s="64" t="str">
        <f>IFERROR(INDEX(입력!$M$2:$M$500, MATCH($BO388, 입력!$Z$2:$Z$500, 0)) &amp; "", "")</f>
        <v/>
      </c>
      <c r="Z388" s="64" t="str">
        <f>IFERROR(INDEX(입력!$N$2:$N$500, MATCH($BO388, 입력!$Z$2:$Z$500, 0)) &amp; "", "")</f>
        <v/>
      </c>
      <c r="AA388" s="64">
        <f>MAX(0, 표1[[#This Row],[의무_시설]]-표1[[#This Row],[시설합]])</f>
        <v>0</v>
      </c>
      <c r="AB388" s="17" t="str">
        <f t="shared" si="55"/>
        <v>이행완료</v>
      </c>
      <c r="AC388" s="64" t="str">
        <f>IFERROR(INDEX(입력!$P$2:$P$500, MATCH($BO388, 입력!$Z$2:$Z$500, 0)) &amp; "", "")</f>
        <v/>
      </c>
      <c r="AD388" s="64" t="str">
        <f>IFERROR(INDEX(입력!$Q$2:$Q$500, MATCH($BO388, 입력!$Z$2:$Z$500, 0)) &amp; "", "")</f>
        <v/>
      </c>
      <c r="AE388" s="64" t="str">
        <f>IFERROR(INDEX(입력!$R$2:$R$500, MATCH($BO388, 입력!$Z$2:$Z$500, 0)) &amp; "", "")</f>
        <v/>
      </c>
      <c r="AF388" s="64" t="str">
        <f>IFERROR(INDEX(입력!$S$2:$S$500, MATCH($BO388, 입력!$Z$2:$Z$500, 0)) &amp; "", "")</f>
        <v/>
      </c>
      <c r="AG388" s="64" t="str">
        <f>IFERROR(INDEX(입력!$T$2:$T$500, MATCH($BO388, 입력!$Z$2:$Z$500, 0)) &amp; "", "")</f>
        <v/>
      </c>
      <c r="AH388" s="64" t="str">
        <f>IFERROR(INDEX(입력!$U$2:$U$500, MATCH($BO388, 입력!$Z$2:$Z$500, 0)) &amp; "", "")</f>
        <v/>
      </c>
      <c r="AI388" s="64" t="str">
        <f>IFERROR(INDEX(입력!$V$2:$V$500, MATCH($BO388, 입력!$Z$2:$Z$500, 0)) &amp; "", "")</f>
        <v/>
      </c>
      <c r="AJ388" s="44" t="str">
        <f>IFERROR(INDEX(입력!$W$2:$W$500, MATCH($BO388, 입력!$Z$2:$Z$500, 0)) &amp; "", "")</f>
        <v/>
      </c>
      <c r="AK388" s="44" t="str">
        <f>IFERROR(INDEX(입력!$X$2:$X$500, MATCH($BO388, 입력!$Z$2:$Z$500, 0)) &amp; "", "")</f>
        <v/>
      </c>
      <c r="AL388" s="2"/>
      <c r="AM388" s="17" t="s">
        <v>1650</v>
      </c>
      <c r="AN388" s="101">
        <v>2025</v>
      </c>
      <c r="AO388" s="17" t="s">
        <v>3274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3131</v>
      </c>
      <c r="AZ388" s="71" t="str">
        <f>IFERROR(IF(INDEX(입력!$C$2:$C$500, MATCH($BO388, 입력!$Z$2:$Z$500, 0))="", "", TEXT(INDEX(입력!$C$2:$C$500, MATCH($BO388, 입력!$Z$2:$Z$500, 0)), "yyyy-mm-dd")), "")</f>
        <v/>
      </c>
      <c r="BA388" s="44" t="str">
        <f>IFERROR(INDEX(입력!$B$2:$B$500, MATCH($BO388, 입력!$Z$2:$Z$500, 0)) &amp; "", "")</f>
        <v/>
      </c>
      <c r="BB388" s="83" t="str">
        <f>IFERROR(INDEX(입력!$Y$2:$Y$500, MATCH($BO388, 입력!$Z$2:$Z$500, 0)) &amp; "", "")</f>
        <v/>
      </c>
      <c r="BC388" s="83" t="s">
        <v>3112</v>
      </c>
      <c r="BD388" s="83"/>
      <c r="BE388" s="101"/>
      <c r="BF388" s="101"/>
      <c r="BG388" s="101"/>
      <c r="BH388" s="101"/>
      <c r="BI388" s="101"/>
      <c r="BJ388" s="101"/>
      <c r="BK388" s="110"/>
      <c r="BL388" s="21"/>
      <c r="BM388" s="22">
        <v>737</v>
      </c>
      <c r="BN388" s="23"/>
      <c r="BO388" s="47" t="s">
        <v>876</v>
      </c>
    </row>
    <row r="389" spans="1:67" x14ac:dyDescent="0.45">
      <c r="A389" s="19">
        <v>388</v>
      </c>
      <c r="B389" s="1" t="s">
        <v>1647</v>
      </c>
      <c r="C389" s="17" t="str">
        <f t="shared" si="51"/>
        <v>이행완료</v>
      </c>
      <c r="D389" s="17" t="str">
        <f t="shared" si="54"/>
        <v/>
      </c>
      <c r="E389" s="2" t="s">
        <v>2142</v>
      </c>
      <c r="F389" s="1" t="s">
        <v>877</v>
      </c>
      <c r="G389" s="1" t="s">
        <v>2143</v>
      </c>
      <c r="H389" s="18" t="s">
        <v>1088</v>
      </c>
      <c r="I389" s="46">
        <v>557</v>
      </c>
      <c r="J389" s="2"/>
      <c r="K389" s="20" t="s">
        <v>2543</v>
      </c>
      <c r="L389" s="20"/>
      <c r="M389" s="17" t="str">
        <f t="shared" si="52"/>
        <v>기축</v>
      </c>
      <c r="N389" s="21"/>
      <c r="O389" s="21"/>
      <c r="P389" s="1">
        <f t="shared" si="48"/>
        <v>11</v>
      </c>
      <c r="Q389" s="1">
        <v>24</v>
      </c>
      <c r="R389" s="64" t="str">
        <f>IFERROR(INDEX(입력!$J$2:$J$500, MATCH($BO389, 입력!$Z$2:$Z$500, 0)) &amp; "", "")</f>
        <v/>
      </c>
      <c r="S389" s="64" t="str">
        <f>IFERROR(INDEX(입력!$K$2:$K$500, MATCH($BO389, 입력!$Z$2:$Z$500, 0)) &amp; "", "")</f>
        <v/>
      </c>
      <c r="T389" s="64">
        <f>MAX(0, 표1[[#This Row],[의무_면수]]-표1[[#This Row],[면수합]])</f>
        <v>0</v>
      </c>
      <c r="U389" s="44" t="str">
        <f t="shared" si="49"/>
        <v>이행완료</v>
      </c>
      <c r="V389" s="1">
        <f t="shared" si="53"/>
        <v>11</v>
      </c>
      <c r="W389" s="1" t="str">
        <f t="shared" si="50"/>
        <v/>
      </c>
      <c r="X389" s="1">
        <v>24</v>
      </c>
      <c r="Y389" s="64" t="str">
        <f>IFERROR(INDEX(입력!$M$2:$M$500, MATCH($BO389, 입력!$Z$2:$Z$500, 0)) &amp; "", "")</f>
        <v/>
      </c>
      <c r="Z389" s="64" t="str">
        <f>IFERROR(INDEX(입력!$N$2:$N$500, MATCH($BO389, 입력!$Z$2:$Z$500, 0)) &amp; "", "")</f>
        <v/>
      </c>
      <c r="AA389" s="64">
        <f>MAX(0, 표1[[#This Row],[의무_시설]]-표1[[#This Row],[시설합]])</f>
        <v>0</v>
      </c>
      <c r="AB389" s="17" t="str">
        <f t="shared" si="55"/>
        <v>이행완료</v>
      </c>
      <c r="AC389" s="64" t="str">
        <f>IFERROR(INDEX(입력!$P$2:$P$500, MATCH($BO389, 입력!$Z$2:$Z$500, 0)) &amp; "", "")</f>
        <v/>
      </c>
      <c r="AD389" s="64" t="str">
        <f>IFERROR(INDEX(입력!$Q$2:$Q$500, MATCH($BO389, 입력!$Z$2:$Z$500, 0)) &amp; "", "")</f>
        <v/>
      </c>
      <c r="AE389" s="64" t="str">
        <f>IFERROR(INDEX(입력!$R$2:$R$500, MATCH($BO389, 입력!$Z$2:$Z$500, 0)) &amp; "", "")</f>
        <v/>
      </c>
      <c r="AF389" s="64" t="str">
        <f>IFERROR(INDEX(입력!$S$2:$S$500, MATCH($BO389, 입력!$Z$2:$Z$500, 0)) &amp; "", "")</f>
        <v/>
      </c>
      <c r="AG389" s="64" t="str">
        <f>IFERROR(INDEX(입력!$T$2:$T$500, MATCH($BO389, 입력!$Z$2:$Z$500, 0)) &amp; "", "")</f>
        <v/>
      </c>
      <c r="AH389" s="64" t="str">
        <f>IFERROR(INDEX(입력!$U$2:$U$500, MATCH($BO389, 입력!$Z$2:$Z$500, 0)) &amp; "", "")</f>
        <v/>
      </c>
      <c r="AI389" s="64" t="str">
        <f>IFERROR(INDEX(입력!$V$2:$V$500, MATCH($BO389, 입력!$Z$2:$Z$500, 0)) &amp; "", "")</f>
        <v/>
      </c>
      <c r="AJ389" s="44" t="str">
        <f>IFERROR(INDEX(입력!$W$2:$W$500, MATCH($BO389, 입력!$Z$2:$Z$500, 0)) &amp; "", "")</f>
        <v/>
      </c>
      <c r="AK389" s="44" t="str">
        <f>IFERROR(INDEX(입력!$X$2:$X$500, MATCH($BO389, 입력!$Z$2:$Z$500, 0)) &amp; "", "")</f>
        <v/>
      </c>
      <c r="AL389" s="2"/>
      <c r="AM389" s="17" t="s">
        <v>1650</v>
      </c>
      <c r="AN389" s="101">
        <v>2025</v>
      </c>
      <c r="AO389" s="17" t="s">
        <v>3275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3137</v>
      </c>
      <c r="AZ389" s="71" t="str">
        <f>IFERROR(IF(INDEX(입력!$C$2:$C$500, MATCH($BO389, 입력!$Z$2:$Z$500, 0))="", "", TEXT(INDEX(입력!$C$2:$C$500, MATCH($BO389, 입력!$Z$2:$Z$500, 0)), "yyyy-mm-dd")), "")</f>
        <v/>
      </c>
      <c r="BA389" s="44" t="str">
        <f>IFERROR(INDEX(입력!$B$2:$B$500, MATCH($BO389, 입력!$Z$2:$Z$500, 0)) &amp; "", "")</f>
        <v/>
      </c>
      <c r="BB389" s="83" t="str">
        <f>IFERROR(INDEX(입력!$Y$2:$Y$500, MATCH($BO389, 입력!$Z$2:$Z$500, 0)) &amp; "", "")</f>
        <v/>
      </c>
      <c r="BC389" s="83" t="s">
        <v>3112</v>
      </c>
      <c r="BD389" s="83"/>
      <c r="BE389" s="101"/>
      <c r="BF389" s="101"/>
      <c r="BG389" s="101"/>
      <c r="BH389" s="101"/>
      <c r="BI389" s="101"/>
      <c r="BJ389" s="101"/>
      <c r="BK389" s="110"/>
      <c r="BL389" s="21"/>
      <c r="BM389" s="22">
        <v>557</v>
      </c>
      <c r="BN389" s="23"/>
      <c r="BO389" s="47" t="s">
        <v>878</v>
      </c>
    </row>
    <row r="390" spans="1:67" x14ac:dyDescent="0.45">
      <c r="A390" s="46">
        <v>389</v>
      </c>
      <c r="B390" s="1" t="s">
        <v>1647</v>
      </c>
      <c r="C390" s="17" t="str">
        <f t="shared" si="51"/>
        <v>이행완료</v>
      </c>
      <c r="D390" s="17" t="str">
        <f t="shared" si="54"/>
        <v/>
      </c>
      <c r="E390" s="2" t="s">
        <v>2144</v>
      </c>
      <c r="F390" s="1" t="s">
        <v>879</v>
      </c>
      <c r="G390" s="1" t="s">
        <v>2145</v>
      </c>
      <c r="H390" s="18" t="s">
        <v>1088</v>
      </c>
      <c r="I390" s="46">
        <v>861</v>
      </c>
      <c r="J390" s="2"/>
      <c r="K390" s="20" t="s">
        <v>2544</v>
      </c>
      <c r="L390" s="20"/>
      <c r="M390" s="17" t="str">
        <f t="shared" si="52"/>
        <v>기축</v>
      </c>
      <c r="N390" s="21"/>
      <c r="O390" s="21"/>
      <c r="P390" s="1">
        <f t="shared" si="48"/>
        <v>17</v>
      </c>
      <c r="Q390" s="1">
        <v>18</v>
      </c>
      <c r="R390" s="64" t="str">
        <f>IFERROR(INDEX(입력!$J$2:$J$500, MATCH($BO390, 입력!$Z$2:$Z$500, 0)) &amp; "", "")</f>
        <v/>
      </c>
      <c r="S390" s="64" t="str">
        <f>IFERROR(INDEX(입력!$K$2:$K$500, MATCH($BO390, 입력!$Z$2:$Z$500, 0)) &amp; "", "")</f>
        <v/>
      </c>
      <c r="T390" s="64">
        <f>MAX(0, 표1[[#This Row],[의무_면수]]-표1[[#This Row],[면수합]])</f>
        <v>0</v>
      </c>
      <c r="U390" s="44" t="str">
        <f t="shared" si="49"/>
        <v>이행완료</v>
      </c>
      <c r="V390" s="1">
        <f t="shared" si="53"/>
        <v>17</v>
      </c>
      <c r="W390" s="1" t="str">
        <f t="shared" si="50"/>
        <v/>
      </c>
      <c r="X390" s="1">
        <v>18</v>
      </c>
      <c r="Y390" s="64" t="str">
        <f>IFERROR(INDEX(입력!$M$2:$M$500, MATCH($BO390, 입력!$Z$2:$Z$500, 0)) &amp; "", "")</f>
        <v/>
      </c>
      <c r="Z390" s="64" t="str">
        <f>IFERROR(INDEX(입력!$N$2:$N$500, MATCH($BO390, 입력!$Z$2:$Z$500, 0)) &amp; "", "")</f>
        <v/>
      </c>
      <c r="AA390" s="64">
        <f>MAX(0, 표1[[#This Row],[의무_시설]]-표1[[#This Row],[시설합]])</f>
        <v>0</v>
      </c>
      <c r="AB390" s="17" t="str">
        <f t="shared" si="55"/>
        <v>이행완료</v>
      </c>
      <c r="AC390" s="64" t="str">
        <f>IFERROR(INDEX(입력!$P$2:$P$500, MATCH($BO390, 입력!$Z$2:$Z$500, 0)) &amp; "", "")</f>
        <v/>
      </c>
      <c r="AD390" s="64" t="str">
        <f>IFERROR(INDEX(입력!$Q$2:$Q$500, MATCH($BO390, 입력!$Z$2:$Z$500, 0)) &amp; "", "")</f>
        <v/>
      </c>
      <c r="AE390" s="64" t="str">
        <f>IFERROR(INDEX(입력!$R$2:$R$500, MATCH($BO390, 입력!$Z$2:$Z$500, 0)) &amp; "", "")</f>
        <v/>
      </c>
      <c r="AF390" s="64" t="str">
        <f>IFERROR(INDEX(입력!$S$2:$S$500, MATCH($BO390, 입력!$Z$2:$Z$500, 0)) &amp; "", "")</f>
        <v/>
      </c>
      <c r="AG390" s="64" t="str">
        <f>IFERROR(INDEX(입력!$T$2:$T$500, MATCH($BO390, 입력!$Z$2:$Z$500, 0)) &amp; "", "")</f>
        <v/>
      </c>
      <c r="AH390" s="64" t="str">
        <f>IFERROR(INDEX(입력!$U$2:$U$500, MATCH($BO390, 입력!$Z$2:$Z$500, 0)) &amp; "", "")</f>
        <v/>
      </c>
      <c r="AI390" s="64" t="str">
        <f>IFERROR(INDEX(입력!$V$2:$V$500, MATCH($BO390, 입력!$Z$2:$Z$500, 0)) &amp; "", "")</f>
        <v/>
      </c>
      <c r="AJ390" s="44" t="str">
        <f>IFERROR(INDEX(입력!$W$2:$W$500, MATCH($BO390, 입력!$Z$2:$Z$500, 0)) &amp; "", "")</f>
        <v/>
      </c>
      <c r="AK390" s="44" t="str">
        <f>IFERROR(INDEX(입력!$X$2:$X$500, MATCH($BO390, 입력!$Z$2:$Z$500, 0)) &amp; "", "")</f>
        <v/>
      </c>
      <c r="AL390" s="2"/>
      <c r="AM390" s="17" t="s">
        <v>1650</v>
      </c>
      <c r="AN390" s="101">
        <v>2025</v>
      </c>
      <c r="AO390" s="17" t="s">
        <v>3274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3137</v>
      </c>
      <c r="AZ390" s="71" t="str">
        <f>IFERROR(IF(INDEX(입력!$C$2:$C$500, MATCH($BO390, 입력!$Z$2:$Z$500, 0))="", "", TEXT(INDEX(입력!$C$2:$C$500, MATCH($BO390, 입력!$Z$2:$Z$500, 0)), "yyyy-mm-dd")), "")</f>
        <v/>
      </c>
      <c r="BA390" s="44" t="str">
        <f>IFERROR(INDEX(입력!$B$2:$B$500, MATCH($BO390, 입력!$Z$2:$Z$500, 0)) &amp; "", "")</f>
        <v/>
      </c>
      <c r="BB390" s="83" t="str">
        <f>IFERROR(INDEX(입력!$Y$2:$Y$500, MATCH($BO390, 입력!$Z$2:$Z$500, 0)) &amp; "", "")</f>
        <v/>
      </c>
      <c r="BC390" s="83" t="s">
        <v>3112</v>
      </c>
      <c r="BD390" s="83"/>
      <c r="BE390" s="101"/>
      <c r="BF390" s="101"/>
      <c r="BG390" s="101"/>
      <c r="BH390" s="101"/>
      <c r="BI390" s="101"/>
      <c r="BJ390" s="101"/>
      <c r="BK390" s="110"/>
      <c r="BL390" s="21"/>
      <c r="BM390" s="22">
        <v>874</v>
      </c>
      <c r="BN390" s="23"/>
      <c r="BO390" s="47" t="s">
        <v>880</v>
      </c>
    </row>
    <row r="391" spans="1:67" x14ac:dyDescent="0.45">
      <c r="A391" s="19">
        <v>390</v>
      </c>
      <c r="B391" s="1" t="s">
        <v>1647</v>
      </c>
      <c r="C391" s="17" t="str">
        <f t="shared" si="51"/>
        <v>이행완료</v>
      </c>
      <c r="D391" s="17" t="str">
        <f t="shared" si="54"/>
        <v/>
      </c>
      <c r="E391" s="2" t="s">
        <v>2146</v>
      </c>
      <c r="F391" s="1" t="s">
        <v>881</v>
      </c>
      <c r="G391" s="1" t="s">
        <v>2147</v>
      </c>
      <c r="H391" s="18" t="s">
        <v>1056</v>
      </c>
      <c r="I391" s="46">
        <v>293</v>
      </c>
      <c r="J391" s="2"/>
      <c r="K391" s="20" t="s">
        <v>2545</v>
      </c>
      <c r="L391" s="20"/>
      <c r="M391" s="17" t="str">
        <f t="shared" si="52"/>
        <v>기축</v>
      </c>
      <c r="N391" s="21"/>
      <c r="O391" s="21"/>
      <c r="P391" s="1">
        <f t="shared" si="48"/>
        <v>6</v>
      </c>
      <c r="Q391" s="1">
        <v>6</v>
      </c>
      <c r="R391" s="64" t="str">
        <f>IFERROR(INDEX(입력!$J$2:$J$500, MATCH($BO391, 입력!$Z$2:$Z$500, 0)) &amp; "", "")</f>
        <v/>
      </c>
      <c r="S391" s="64" t="str">
        <f>IFERROR(INDEX(입력!$K$2:$K$500, MATCH($BO391, 입력!$Z$2:$Z$500, 0)) &amp; "", "")</f>
        <v/>
      </c>
      <c r="T391" s="64">
        <f>MAX(0, 표1[[#This Row],[의무_면수]]-표1[[#This Row],[면수합]])</f>
        <v>0</v>
      </c>
      <c r="U391" s="44" t="str">
        <f t="shared" si="49"/>
        <v>이행완료</v>
      </c>
      <c r="V391" s="1">
        <f t="shared" si="53"/>
        <v>6</v>
      </c>
      <c r="W391" s="1" t="str">
        <f t="shared" si="50"/>
        <v/>
      </c>
      <c r="X391" s="1">
        <v>6</v>
      </c>
      <c r="Y391" s="64" t="str">
        <f>IFERROR(INDEX(입력!$M$2:$M$500, MATCH($BO391, 입력!$Z$2:$Z$500, 0)) &amp; "", "")</f>
        <v/>
      </c>
      <c r="Z391" s="64" t="str">
        <f>IFERROR(INDEX(입력!$N$2:$N$500, MATCH($BO391, 입력!$Z$2:$Z$500, 0)) &amp; "", "")</f>
        <v/>
      </c>
      <c r="AA391" s="64">
        <f>MAX(0, 표1[[#This Row],[의무_시설]]-표1[[#This Row],[시설합]])</f>
        <v>0</v>
      </c>
      <c r="AB391" s="17" t="str">
        <f t="shared" si="55"/>
        <v>이행완료</v>
      </c>
      <c r="AC391" s="64" t="str">
        <f>IFERROR(INDEX(입력!$P$2:$P$500, MATCH($BO391, 입력!$Z$2:$Z$500, 0)) &amp; "", "")</f>
        <v/>
      </c>
      <c r="AD391" s="64" t="str">
        <f>IFERROR(INDEX(입력!$Q$2:$Q$500, MATCH($BO391, 입력!$Z$2:$Z$500, 0)) &amp; "", "")</f>
        <v/>
      </c>
      <c r="AE391" s="64" t="str">
        <f>IFERROR(INDEX(입력!$R$2:$R$500, MATCH($BO391, 입력!$Z$2:$Z$500, 0)) &amp; "", "")</f>
        <v/>
      </c>
      <c r="AF391" s="64" t="str">
        <f>IFERROR(INDEX(입력!$S$2:$S$500, MATCH($BO391, 입력!$Z$2:$Z$500, 0)) &amp; "", "")</f>
        <v/>
      </c>
      <c r="AG391" s="64" t="str">
        <f>IFERROR(INDEX(입력!$T$2:$T$500, MATCH($BO391, 입력!$Z$2:$Z$500, 0)) &amp; "", "")</f>
        <v/>
      </c>
      <c r="AH391" s="64" t="str">
        <f>IFERROR(INDEX(입력!$U$2:$U$500, MATCH($BO391, 입력!$Z$2:$Z$500, 0)) &amp; "", "")</f>
        <v/>
      </c>
      <c r="AI391" s="64" t="str">
        <f>IFERROR(INDEX(입력!$V$2:$V$500, MATCH($BO391, 입력!$Z$2:$Z$500, 0)) &amp; "", "")</f>
        <v/>
      </c>
      <c r="AJ391" s="44" t="str">
        <f>IFERROR(INDEX(입력!$W$2:$W$500, MATCH($BO391, 입력!$Z$2:$Z$500, 0)) &amp; "", "")</f>
        <v/>
      </c>
      <c r="AK391" s="44" t="str">
        <f>IFERROR(INDEX(입력!$X$2:$X$500, MATCH($BO391, 입력!$Z$2:$Z$500, 0)) &amp; "", "")</f>
        <v/>
      </c>
      <c r="AL391" s="2"/>
      <c r="AM391" s="17" t="s">
        <v>1650</v>
      </c>
      <c r="AN391" s="101">
        <v>2025</v>
      </c>
      <c r="AO391" s="17" t="s">
        <v>3275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3137</v>
      </c>
      <c r="AZ391" s="71" t="str">
        <f>IFERROR(IF(INDEX(입력!$C$2:$C$500, MATCH($BO391, 입력!$Z$2:$Z$500, 0))="", "", TEXT(INDEX(입력!$C$2:$C$500, MATCH($BO391, 입력!$Z$2:$Z$500, 0)), "yyyy-mm-dd")), "")</f>
        <v/>
      </c>
      <c r="BA391" s="44" t="str">
        <f>IFERROR(INDEX(입력!$B$2:$B$500, MATCH($BO391, 입력!$Z$2:$Z$500, 0)) &amp; "", "")</f>
        <v/>
      </c>
      <c r="BB391" s="83" t="str">
        <f>IFERROR(INDEX(입력!$Y$2:$Y$500, MATCH($BO391, 입력!$Z$2:$Z$500, 0)) &amp; "", "")</f>
        <v/>
      </c>
      <c r="BC391" s="83" t="s">
        <v>3112</v>
      </c>
      <c r="BD391" s="83"/>
      <c r="BE391" s="101"/>
      <c r="BF391" s="101"/>
      <c r="BG391" s="101"/>
      <c r="BH391" s="101"/>
      <c r="BI391" s="101"/>
      <c r="BJ391" s="101"/>
      <c r="BK391" s="110"/>
      <c r="BL391" s="21"/>
      <c r="BM391" s="22">
        <v>278</v>
      </c>
      <c r="BN391" s="23"/>
      <c r="BO391" s="47" t="s">
        <v>882</v>
      </c>
    </row>
    <row r="392" spans="1:67" x14ac:dyDescent="0.45">
      <c r="A392" s="46">
        <v>391</v>
      </c>
      <c r="B392" s="1" t="s">
        <v>1647</v>
      </c>
      <c r="C392" s="17" t="str">
        <f t="shared" si="51"/>
        <v>이행완료</v>
      </c>
      <c r="D392" s="17" t="str">
        <f t="shared" si="54"/>
        <v/>
      </c>
      <c r="E392" s="2" t="s">
        <v>2148</v>
      </c>
      <c r="F392" s="1" t="s">
        <v>883</v>
      </c>
      <c r="G392" s="1" t="s">
        <v>2149</v>
      </c>
      <c r="H392" s="18" t="s">
        <v>1133</v>
      </c>
      <c r="I392" s="46"/>
      <c r="J392" s="2">
        <v>184</v>
      </c>
      <c r="K392" s="20">
        <v>34662</v>
      </c>
      <c r="L392" s="20"/>
      <c r="M392" s="17" t="str">
        <f t="shared" si="52"/>
        <v>기축</v>
      </c>
      <c r="N392" s="21"/>
      <c r="O392" s="21"/>
      <c r="P392" s="1">
        <f t="shared" si="48"/>
        <v>4</v>
      </c>
      <c r="Q392" s="1">
        <v>8</v>
      </c>
      <c r="R392" s="64" t="str">
        <f>IFERROR(INDEX(입력!$J$2:$J$500, MATCH($BO392, 입력!$Z$2:$Z$500, 0)) &amp; "", "")</f>
        <v/>
      </c>
      <c r="S392" s="64" t="str">
        <f>IFERROR(INDEX(입력!$K$2:$K$500, MATCH($BO392, 입력!$Z$2:$Z$500, 0)) &amp; "", "")</f>
        <v/>
      </c>
      <c r="T392" s="64">
        <f>MAX(0, 표1[[#This Row],[의무_면수]]-표1[[#This Row],[면수합]])</f>
        <v>0</v>
      </c>
      <c r="U392" s="44" t="str">
        <f t="shared" si="49"/>
        <v>이행완료</v>
      </c>
      <c r="V392" s="1">
        <f t="shared" si="53"/>
        <v>4</v>
      </c>
      <c r="W392" s="1" t="str">
        <f t="shared" si="50"/>
        <v/>
      </c>
      <c r="X392" s="1">
        <v>8</v>
      </c>
      <c r="Y392" s="64" t="str">
        <f>IFERROR(INDEX(입력!$M$2:$M$500, MATCH($BO392, 입력!$Z$2:$Z$500, 0)) &amp; "", "")</f>
        <v/>
      </c>
      <c r="Z392" s="64" t="str">
        <f>IFERROR(INDEX(입력!$N$2:$N$500, MATCH($BO392, 입력!$Z$2:$Z$500, 0)) &amp; "", "")</f>
        <v/>
      </c>
      <c r="AA392" s="64">
        <f>MAX(0, 표1[[#This Row],[의무_시설]]-표1[[#This Row],[시설합]])</f>
        <v>0</v>
      </c>
      <c r="AB392" s="17" t="str">
        <f t="shared" si="55"/>
        <v>이행완료</v>
      </c>
      <c r="AC392" s="64" t="str">
        <f>IFERROR(INDEX(입력!$P$2:$P$500, MATCH($BO392, 입력!$Z$2:$Z$500, 0)) &amp; "", "")</f>
        <v/>
      </c>
      <c r="AD392" s="64" t="str">
        <f>IFERROR(INDEX(입력!$Q$2:$Q$500, MATCH($BO392, 입력!$Z$2:$Z$500, 0)) &amp; "", "")</f>
        <v/>
      </c>
      <c r="AE392" s="64" t="str">
        <f>IFERROR(INDEX(입력!$R$2:$R$500, MATCH($BO392, 입력!$Z$2:$Z$500, 0)) &amp; "", "")</f>
        <v/>
      </c>
      <c r="AF392" s="64" t="str">
        <f>IFERROR(INDEX(입력!$S$2:$S$500, MATCH($BO392, 입력!$Z$2:$Z$500, 0)) &amp; "", "")</f>
        <v/>
      </c>
      <c r="AG392" s="64" t="str">
        <f>IFERROR(INDEX(입력!$T$2:$T$500, MATCH($BO392, 입력!$Z$2:$Z$500, 0)) &amp; "", "")</f>
        <v/>
      </c>
      <c r="AH392" s="64" t="str">
        <f>IFERROR(INDEX(입력!$U$2:$U$500, MATCH($BO392, 입력!$Z$2:$Z$500, 0)) &amp; "", "")</f>
        <v/>
      </c>
      <c r="AI392" s="64" t="str">
        <f>IFERROR(INDEX(입력!$V$2:$V$500, MATCH($BO392, 입력!$Z$2:$Z$500, 0)) &amp; "", "")</f>
        <v/>
      </c>
      <c r="AJ392" s="44" t="str">
        <f>IFERROR(INDEX(입력!$W$2:$W$500, MATCH($BO392, 입력!$Z$2:$Z$500, 0)) &amp; "", "")</f>
        <v/>
      </c>
      <c r="AK392" s="44" t="str">
        <f>IFERROR(INDEX(입력!$X$2:$X$500, MATCH($BO392, 입력!$Z$2:$Z$500, 0)) &amp; "", "")</f>
        <v/>
      </c>
      <c r="AL392" s="2"/>
      <c r="AM392" s="17" t="s">
        <v>1650</v>
      </c>
      <c r="AN392" s="101">
        <v>2025</v>
      </c>
      <c r="AO392" s="17" t="s">
        <v>3274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3137</v>
      </c>
      <c r="AZ392" s="71" t="str">
        <f>IFERROR(IF(INDEX(입력!$C$2:$C$500, MATCH($BO392, 입력!$Z$2:$Z$500, 0))="", "", TEXT(INDEX(입력!$C$2:$C$500, MATCH($BO392, 입력!$Z$2:$Z$500, 0)), "yyyy-mm-dd")), "")</f>
        <v/>
      </c>
      <c r="BA392" s="44" t="str">
        <f>IFERROR(INDEX(입력!$B$2:$B$500, MATCH($BO392, 입력!$Z$2:$Z$500, 0)) &amp; "", "")</f>
        <v/>
      </c>
      <c r="BB392" s="83" t="str">
        <f>IFERROR(INDEX(입력!$Y$2:$Y$500, MATCH($BO392, 입력!$Z$2:$Z$500, 0)) &amp; "", "")</f>
        <v/>
      </c>
      <c r="BC392" s="83" t="s">
        <v>3112</v>
      </c>
      <c r="BD392" s="83"/>
      <c r="BE392" s="101"/>
      <c r="BF392" s="101"/>
      <c r="BG392" s="101"/>
      <c r="BH392" s="101"/>
      <c r="BI392" s="101"/>
      <c r="BJ392" s="101"/>
      <c r="BK392" s="110"/>
      <c r="BL392" s="21"/>
      <c r="BM392" s="22">
        <v>184</v>
      </c>
      <c r="BN392" s="23"/>
      <c r="BO392" s="47" t="s">
        <v>884</v>
      </c>
    </row>
    <row r="393" spans="1:67" x14ac:dyDescent="0.45">
      <c r="A393" s="19">
        <v>392</v>
      </c>
      <c r="B393" s="1" t="s">
        <v>1647</v>
      </c>
      <c r="C393" s="17" t="str">
        <f t="shared" si="51"/>
        <v>이행완료</v>
      </c>
      <c r="D393" s="17" t="str">
        <f t="shared" si="54"/>
        <v/>
      </c>
      <c r="E393" s="2" t="s">
        <v>2150</v>
      </c>
      <c r="F393" s="1" t="s">
        <v>885</v>
      </c>
      <c r="G393" s="1" t="s">
        <v>2151</v>
      </c>
      <c r="H393" s="18" t="s">
        <v>1133</v>
      </c>
      <c r="I393" s="46">
        <v>192</v>
      </c>
      <c r="J393" s="2"/>
      <c r="K393" s="20" t="s">
        <v>2610</v>
      </c>
      <c r="L393" s="20"/>
      <c r="M393" s="17" t="str">
        <f t="shared" si="52"/>
        <v>기축</v>
      </c>
      <c r="N393" s="21"/>
      <c r="O393" s="21"/>
      <c r="P393" s="1">
        <f t="shared" si="48"/>
        <v>4</v>
      </c>
      <c r="Q393" s="1">
        <v>4</v>
      </c>
      <c r="R393" s="64" t="str">
        <f>IFERROR(INDEX(입력!$J$2:$J$500, MATCH($BO393, 입력!$Z$2:$Z$500, 0)) &amp; "", "")</f>
        <v/>
      </c>
      <c r="S393" s="64" t="str">
        <f>IFERROR(INDEX(입력!$K$2:$K$500, MATCH($BO393, 입력!$Z$2:$Z$500, 0)) &amp; "", "")</f>
        <v/>
      </c>
      <c r="T393" s="64">
        <f>MAX(0, 표1[[#This Row],[의무_면수]]-표1[[#This Row],[면수합]])</f>
        <v>0</v>
      </c>
      <c r="U393" s="44" t="str">
        <f t="shared" si="49"/>
        <v>이행완료</v>
      </c>
      <c r="V393" s="1">
        <f t="shared" si="53"/>
        <v>4</v>
      </c>
      <c r="W393" s="1" t="str">
        <f t="shared" si="50"/>
        <v/>
      </c>
      <c r="X393" s="1">
        <v>4</v>
      </c>
      <c r="Y393" s="64" t="str">
        <f>IFERROR(INDEX(입력!$M$2:$M$500, MATCH($BO393, 입력!$Z$2:$Z$500, 0)) &amp; "", "")</f>
        <v/>
      </c>
      <c r="Z393" s="64" t="str">
        <f>IFERROR(INDEX(입력!$N$2:$N$500, MATCH($BO393, 입력!$Z$2:$Z$500, 0)) &amp; "", "")</f>
        <v/>
      </c>
      <c r="AA393" s="64">
        <f>MAX(0, 표1[[#This Row],[의무_시설]]-표1[[#This Row],[시설합]])</f>
        <v>0</v>
      </c>
      <c r="AB393" s="17" t="str">
        <f t="shared" si="55"/>
        <v>이행완료</v>
      </c>
      <c r="AC393" s="64" t="str">
        <f>IFERROR(INDEX(입력!$P$2:$P$500, MATCH($BO393, 입력!$Z$2:$Z$500, 0)) &amp; "", "")</f>
        <v/>
      </c>
      <c r="AD393" s="64" t="str">
        <f>IFERROR(INDEX(입력!$Q$2:$Q$500, MATCH($BO393, 입력!$Z$2:$Z$500, 0)) &amp; "", "")</f>
        <v/>
      </c>
      <c r="AE393" s="64" t="str">
        <f>IFERROR(INDEX(입력!$R$2:$R$500, MATCH($BO393, 입력!$Z$2:$Z$500, 0)) &amp; "", "")</f>
        <v/>
      </c>
      <c r="AF393" s="64" t="str">
        <f>IFERROR(INDEX(입력!$S$2:$S$500, MATCH($BO393, 입력!$Z$2:$Z$500, 0)) &amp; "", "")</f>
        <v/>
      </c>
      <c r="AG393" s="64" t="str">
        <f>IFERROR(INDEX(입력!$T$2:$T$500, MATCH($BO393, 입력!$Z$2:$Z$500, 0)) &amp; "", "")</f>
        <v/>
      </c>
      <c r="AH393" s="64" t="str">
        <f>IFERROR(INDEX(입력!$U$2:$U$500, MATCH($BO393, 입력!$Z$2:$Z$500, 0)) &amp; "", "")</f>
        <v/>
      </c>
      <c r="AI393" s="64" t="str">
        <f>IFERROR(INDEX(입력!$V$2:$V$500, MATCH($BO393, 입력!$Z$2:$Z$500, 0)) &amp; "", "")</f>
        <v/>
      </c>
      <c r="AJ393" s="44" t="str">
        <f>IFERROR(INDEX(입력!$W$2:$W$500, MATCH($BO393, 입력!$Z$2:$Z$500, 0)) &amp; "", "")</f>
        <v/>
      </c>
      <c r="AK393" s="44" t="str">
        <f>IFERROR(INDEX(입력!$X$2:$X$500, MATCH($BO393, 입력!$Z$2:$Z$500, 0)) &amp; "", "")</f>
        <v/>
      </c>
      <c r="AL393" s="2"/>
      <c r="AM393" s="17" t="s">
        <v>1650</v>
      </c>
      <c r="AN393" s="101">
        <v>2025</v>
      </c>
      <c r="AO393" s="17" t="s">
        <v>3274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3131</v>
      </c>
      <c r="AZ393" s="71" t="str">
        <f>IFERROR(IF(INDEX(입력!$C$2:$C$500, MATCH($BO393, 입력!$Z$2:$Z$500, 0))="", "", TEXT(INDEX(입력!$C$2:$C$500, MATCH($BO393, 입력!$Z$2:$Z$500, 0)), "yyyy-mm-dd")), "")</f>
        <v/>
      </c>
      <c r="BA393" s="44" t="str">
        <f>IFERROR(INDEX(입력!$B$2:$B$500, MATCH($BO393, 입력!$Z$2:$Z$500, 0)) &amp; "", "")</f>
        <v/>
      </c>
      <c r="BB393" s="83" t="str">
        <f>IFERROR(INDEX(입력!$Y$2:$Y$500, MATCH($BO393, 입력!$Z$2:$Z$500, 0)) &amp; "", "")</f>
        <v/>
      </c>
      <c r="BC393" s="83" t="s">
        <v>3112</v>
      </c>
      <c r="BD393" s="83"/>
      <c r="BE393" s="101"/>
      <c r="BF393" s="101"/>
      <c r="BG393" s="101"/>
      <c r="BH393" s="101"/>
      <c r="BI393" s="101"/>
      <c r="BJ393" s="101"/>
      <c r="BK393" s="110"/>
      <c r="BL393" s="21"/>
      <c r="BM393" s="22">
        <v>192</v>
      </c>
      <c r="BN393" s="23"/>
      <c r="BO393" s="47" t="s">
        <v>886</v>
      </c>
    </row>
    <row r="394" spans="1:67" x14ac:dyDescent="0.45">
      <c r="A394" s="46">
        <v>393</v>
      </c>
      <c r="B394" s="1" t="s">
        <v>1647</v>
      </c>
      <c r="C394" s="17" t="str">
        <f t="shared" si="51"/>
        <v>이행완료</v>
      </c>
      <c r="D394" s="17" t="str">
        <f t="shared" si="54"/>
        <v/>
      </c>
      <c r="E394" s="2" t="s">
        <v>2152</v>
      </c>
      <c r="F394" s="1" t="s">
        <v>887</v>
      </c>
      <c r="G394" s="1" t="s">
        <v>2153</v>
      </c>
      <c r="H394" s="18" t="s">
        <v>1133</v>
      </c>
      <c r="I394" s="19">
        <v>157</v>
      </c>
      <c r="J394" s="2"/>
      <c r="K394" s="20" t="s">
        <v>2546</v>
      </c>
      <c r="L394" s="20"/>
      <c r="M394" s="17" t="str">
        <f t="shared" si="52"/>
        <v>기축</v>
      </c>
      <c r="N394" s="21"/>
      <c r="O394" s="21"/>
      <c r="P394" s="1">
        <f t="shared" si="48"/>
        <v>3</v>
      </c>
      <c r="Q394" s="1">
        <v>4</v>
      </c>
      <c r="R394" s="64" t="str">
        <f>IFERROR(INDEX(입력!$J$2:$J$500, MATCH($BO394, 입력!$Z$2:$Z$500, 0)) &amp; "", "")</f>
        <v/>
      </c>
      <c r="S394" s="64" t="str">
        <f>IFERROR(INDEX(입력!$K$2:$K$500, MATCH($BO394, 입력!$Z$2:$Z$500, 0)) &amp; "", "")</f>
        <v/>
      </c>
      <c r="T394" s="64">
        <f>MAX(0, 표1[[#This Row],[의무_면수]]-표1[[#This Row],[면수합]])</f>
        <v>0</v>
      </c>
      <c r="U394" s="44" t="str">
        <f t="shared" si="49"/>
        <v>이행완료</v>
      </c>
      <c r="V394" s="1">
        <f t="shared" si="53"/>
        <v>3</v>
      </c>
      <c r="W394" s="1" t="str">
        <f t="shared" si="50"/>
        <v/>
      </c>
      <c r="X394" s="1">
        <v>4</v>
      </c>
      <c r="Y394" s="64" t="str">
        <f>IFERROR(INDEX(입력!$M$2:$M$500, MATCH($BO394, 입력!$Z$2:$Z$500, 0)) &amp; "", "")</f>
        <v/>
      </c>
      <c r="Z394" s="64" t="str">
        <f>IFERROR(INDEX(입력!$N$2:$N$500, MATCH($BO394, 입력!$Z$2:$Z$500, 0)) &amp; "", "")</f>
        <v/>
      </c>
      <c r="AA394" s="64">
        <f>MAX(0, 표1[[#This Row],[의무_시설]]-표1[[#This Row],[시설합]])</f>
        <v>0</v>
      </c>
      <c r="AB394" s="17" t="str">
        <f t="shared" si="55"/>
        <v>이행완료</v>
      </c>
      <c r="AC394" s="64" t="str">
        <f>IFERROR(INDEX(입력!$P$2:$P$500, MATCH($BO394, 입력!$Z$2:$Z$500, 0)) &amp; "", "")</f>
        <v/>
      </c>
      <c r="AD394" s="64" t="str">
        <f>IFERROR(INDEX(입력!$Q$2:$Q$500, MATCH($BO394, 입력!$Z$2:$Z$500, 0)) &amp; "", "")</f>
        <v/>
      </c>
      <c r="AE394" s="64" t="str">
        <f>IFERROR(INDEX(입력!$R$2:$R$500, MATCH($BO394, 입력!$Z$2:$Z$500, 0)) &amp; "", "")</f>
        <v/>
      </c>
      <c r="AF394" s="64" t="str">
        <f>IFERROR(INDEX(입력!$S$2:$S$500, MATCH($BO394, 입력!$Z$2:$Z$500, 0)) &amp; "", "")</f>
        <v/>
      </c>
      <c r="AG394" s="64" t="str">
        <f>IFERROR(INDEX(입력!$T$2:$T$500, MATCH($BO394, 입력!$Z$2:$Z$500, 0)) &amp; "", "")</f>
        <v/>
      </c>
      <c r="AH394" s="64" t="str">
        <f>IFERROR(INDEX(입력!$U$2:$U$500, MATCH($BO394, 입력!$Z$2:$Z$500, 0)) &amp; "", "")</f>
        <v/>
      </c>
      <c r="AI394" s="64" t="str">
        <f>IFERROR(INDEX(입력!$V$2:$V$500, MATCH($BO394, 입력!$Z$2:$Z$500, 0)) &amp; "", "")</f>
        <v/>
      </c>
      <c r="AJ394" s="44" t="str">
        <f>IFERROR(INDEX(입력!$W$2:$W$500, MATCH($BO394, 입력!$Z$2:$Z$500, 0)) &amp; "", "")</f>
        <v/>
      </c>
      <c r="AK394" s="44" t="str">
        <f>IFERROR(INDEX(입력!$X$2:$X$500, MATCH($BO394, 입력!$Z$2:$Z$500, 0)) &amp; "", "")</f>
        <v/>
      </c>
      <c r="AL394" s="2"/>
      <c r="AM394" s="17" t="s">
        <v>1650</v>
      </c>
      <c r="AN394" s="101">
        <v>2025</v>
      </c>
      <c r="AO394" s="17" t="s">
        <v>3274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3137</v>
      </c>
      <c r="AZ394" s="71" t="str">
        <f>IFERROR(IF(INDEX(입력!$C$2:$C$500, MATCH($BO394, 입력!$Z$2:$Z$500, 0))="", "", TEXT(INDEX(입력!$C$2:$C$500, MATCH($BO394, 입력!$Z$2:$Z$500, 0)), "yyyy-mm-dd")), "")</f>
        <v/>
      </c>
      <c r="BA394" s="44" t="str">
        <f>IFERROR(INDEX(입력!$B$2:$B$500, MATCH($BO394, 입력!$Z$2:$Z$500, 0)) &amp; "", "")</f>
        <v/>
      </c>
      <c r="BB394" s="83" t="str">
        <f>IFERROR(INDEX(입력!$Y$2:$Y$500, MATCH($BO394, 입력!$Z$2:$Z$500, 0)) &amp; "", "")</f>
        <v/>
      </c>
      <c r="BC394" s="83" t="s">
        <v>3112</v>
      </c>
      <c r="BD394" s="83"/>
      <c r="BE394" s="101"/>
      <c r="BF394" s="101"/>
      <c r="BG394" s="101"/>
      <c r="BH394" s="101"/>
      <c r="BI394" s="101"/>
      <c r="BJ394" s="101"/>
      <c r="BK394" s="110"/>
      <c r="BL394" s="21"/>
      <c r="BM394" s="22">
        <v>157</v>
      </c>
      <c r="BN394" s="23"/>
      <c r="BO394" s="47" t="s">
        <v>888</v>
      </c>
    </row>
    <row r="395" spans="1:67" x14ac:dyDescent="0.45">
      <c r="A395" s="19">
        <v>394</v>
      </c>
      <c r="B395" s="1" t="s">
        <v>1647</v>
      </c>
      <c r="C395" s="17" t="str">
        <f t="shared" si="51"/>
        <v>이행완료</v>
      </c>
      <c r="D395" s="17" t="str">
        <f t="shared" si="54"/>
        <v/>
      </c>
      <c r="E395" s="2" t="s">
        <v>2154</v>
      </c>
      <c r="F395" s="1" t="s">
        <v>889</v>
      </c>
      <c r="G395" s="1" t="s">
        <v>2155</v>
      </c>
      <c r="H395" s="18" t="s">
        <v>1133</v>
      </c>
      <c r="I395" s="19">
        <v>198</v>
      </c>
      <c r="J395" s="2"/>
      <c r="K395" s="20" t="s">
        <v>2546</v>
      </c>
      <c r="L395" s="20"/>
      <c r="M395" s="17" t="str">
        <f t="shared" si="52"/>
        <v>기축</v>
      </c>
      <c r="N395" s="21"/>
      <c r="O395" s="21"/>
      <c r="P395" s="1">
        <f t="shared" si="48"/>
        <v>4</v>
      </c>
      <c r="Q395" s="1">
        <v>4</v>
      </c>
      <c r="R395" s="64" t="str">
        <f>IFERROR(INDEX(입력!$J$2:$J$500, MATCH($BO395, 입력!$Z$2:$Z$500, 0)) &amp; "", "")</f>
        <v/>
      </c>
      <c r="S395" s="64" t="str">
        <f>IFERROR(INDEX(입력!$K$2:$K$500, MATCH($BO395, 입력!$Z$2:$Z$500, 0)) &amp; "", "")</f>
        <v/>
      </c>
      <c r="T395" s="64">
        <f>MAX(0, 표1[[#This Row],[의무_면수]]-표1[[#This Row],[면수합]])</f>
        <v>0</v>
      </c>
      <c r="U395" s="44" t="str">
        <f t="shared" si="49"/>
        <v>이행완료</v>
      </c>
      <c r="V395" s="1">
        <f t="shared" si="53"/>
        <v>4</v>
      </c>
      <c r="W395" s="1" t="str">
        <f t="shared" si="50"/>
        <v/>
      </c>
      <c r="X395" s="1">
        <v>4</v>
      </c>
      <c r="Y395" s="64" t="str">
        <f>IFERROR(INDEX(입력!$M$2:$M$500, MATCH($BO395, 입력!$Z$2:$Z$500, 0)) &amp; "", "")</f>
        <v/>
      </c>
      <c r="Z395" s="64" t="str">
        <f>IFERROR(INDEX(입력!$N$2:$N$500, MATCH($BO395, 입력!$Z$2:$Z$500, 0)) &amp; "", "")</f>
        <v/>
      </c>
      <c r="AA395" s="64">
        <f>MAX(0, 표1[[#This Row],[의무_시설]]-표1[[#This Row],[시설합]])</f>
        <v>0</v>
      </c>
      <c r="AB395" s="17" t="str">
        <f t="shared" si="55"/>
        <v>이행완료</v>
      </c>
      <c r="AC395" s="64" t="str">
        <f>IFERROR(INDEX(입력!$P$2:$P$500, MATCH($BO395, 입력!$Z$2:$Z$500, 0)) &amp; "", "")</f>
        <v/>
      </c>
      <c r="AD395" s="64" t="str">
        <f>IFERROR(INDEX(입력!$Q$2:$Q$500, MATCH($BO395, 입력!$Z$2:$Z$500, 0)) &amp; "", "")</f>
        <v/>
      </c>
      <c r="AE395" s="64" t="str">
        <f>IFERROR(INDEX(입력!$R$2:$R$500, MATCH($BO395, 입력!$Z$2:$Z$500, 0)) &amp; "", "")</f>
        <v/>
      </c>
      <c r="AF395" s="64" t="str">
        <f>IFERROR(INDEX(입력!$S$2:$S$500, MATCH($BO395, 입력!$Z$2:$Z$500, 0)) &amp; "", "")</f>
        <v/>
      </c>
      <c r="AG395" s="64" t="str">
        <f>IFERROR(INDEX(입력!$T$2:$T$500, MATCH($BO395, 입력!$Z$2:$Z$500, 0)) &amp; "", "")</f>
        <v/>
      </c>
      <c r="AH395" s="64" t="str">
        <f>IFERROR(INDEX(입력!$U$2:$U$500, MATCH($BO395, 입력!$Z$2:$Z$500, 0)) &amp; "", "")</f>
        <v/>
      </c>
      <c r="AI395" s="64" t="str">
        <f>IFERROR(INDEX(입력!$V$2:$V$500, MATCH($BO395, 입력!$Z$2:$Z$500, 0)) &amp; "", "")</f>
        <v/>
      </c>
      <c r="AJ395" s="44" t="str">
        <f>IFERROR(INDEX(입력!$W$2:$W$500, MATCH($BO395, 입력!$Z$2:$Z$500, 0)) &amp; "", "")</f>
        <v/>
      </c>
      <c r="AK395" s="44" t="str">
        <f>IFERROR(INDEX(입력!$X$2:$X$500, MATCH($BO395, 입력!$Z$2:$Z$500, 0)) &amp; "", "")</f>
        <v/>
      </c>
      <c r="AL395" s="2"/>
      <c r="AM395" s="17" t="s">
        <v>1650</v>
      </c>
      <c r="AN395" s="101">
        <v>2025</v>
      </c>
      <c r="AO395" s="17" t="s">
        <v>3274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3131</v>
      </c>
      <c r="AZ395" s="71" t="str">
        <f>IFERROR(IF(INDEX(입력!$C$2:$C$500, MATCH($BO395, 입력!$Z$2:$Z$500, 0))="", "", TEXT(INDEX(입력!$C$2:$C$500, MATCH($BO395, 입력!$Z$2:$Z$500, 0)), "yyyy-mm-dd")), "")</f>
        <v/>
      </c>
      <c r="BA395" s="44" t="str">
        <f>IFERROR(INDEX(입력!$B$2:$B$500, MATCH($BO395, 입력!$Z$2:$Z$500, 0)) &amp; "", "")</f>
        <v/>
      </c>
      <c r="BB395" s="83" t="str">
        <f>IFERROR(INDEX(입력!$Y$2:$Y$500, MATCH($BO395, 입력!$Z$2:$Z$500, 0)) &amp; "", "")</f>
        <v/>
      </c>
      <c r="BC395" s="83" t="s">
        <v>3112</v>
      </c>
      <c r="BD395" s="83"/>
      <c r="BE395" s="101"/>
      <c r="BF395" s="101"/>
      <c r="BG395" s="101"/>
      <c r="BH395" s="101"/>
      <c r="BI395" s="101"/>
      <c r="BJ395" s="101"/>
      <c r="BK395" s="110"/>
      <c r="BL395" s="21"/>
      <c r="BM395" s="22">
        <v>198</v>
      </c>
      <c r="BN395" s="23"/>
      <c r="BO395" s="47" t="s">
        <v>890</v>
      </c>
    </row>
    <row r="396" spans="1:67" x14ac:dyDescent="0.45">
      <c r="A396" s="46">
        <v>395</v>
      </c>
      <c r="B396" s="1" t="s">
        <v>1647</v>
      </c>
      <c r="C396" s="17" t="str">
        <f t="shared" si="51"/>
        <v>이행완료</v>
      </c>
      <c r="D396" s="17" t="str">
        <f t="shared" si="54"/>
        <v/>
      </c>
      <c r="E396" s="2" t="s">
        <v>2156</v>
      </c>
      <c r="F396" s="1" t="s">
        <v>891</v>
      </c>
      <c r="G396" s="1" t="s">
        <v>2157</v>
      </c>
      <c r="H396" s="18" t="s">
        <v>1133</v>
      </c>
      <c r="I396" s="19">
        <v>217</v>
      </c>
      <c r="J396" s="2"/>
      <c r="K396" s="20" t="s">
        <v>2611</v>
      </c>
      <c r="L396" s="20"/>
      <c r="M396" s="17" t="str">
        <f t="shared" si="52"/>
        <v>기축</v>
      </c>
      <c r="N396" s="21"/>
      <c r="O396" s="21"/>
      <c r="P396" s="1">
        <f t="shared" si="48"/>
        <v>4</v>
      </c>
      <c r="Q396" s="1">
        <v>5</v>
      </c>
      <c r="R396" s="64" t="str">
        <f>IFERROR(INDEX(입력!$J$2:$J$500, MATCH($BO396, 입력!$Z$2:$Z$500, 0)) &amp; "", "")</f>
        <v/>
      </c>
      <c r="S396" s="64" t="str">
        <f>IFERROR(INDEX(입력!$K$2:$K$500, MATCH($BO396, 입력!$Z$2:$Z$500, 0)) &amp; "", "")</f>
        <v/>
      </c>
      <c r="T396" s="64">
        <f>MAX(0, 표1[[#This Row],[의무_면수]]-표1[[#This Row],[면수합]])</f>
        <v>0</v>
      </c>
      <c r="U396" s="44" t="str">
        <f t="shared" si="49"/>
        <v>이행완료</v>
      </c>
      <c r="V396" s="1">
        <f t="shared" si="53"/>
        <v>4</v>
      </c>
      <c r="W396" s="1" t="str">
        <f t="shared" si="50"/>
        <v/>
      </c>
      <c r="X396" s="1">
        <v>5</v>
      </c>
      <c r="Y396" s="64" t="str">
        <f>IFERROR(INDEX(입력!$M$2:$M$500, MATCH($BO396, 입력!$Z$2:$Z$500, 0)) &amp; "", "")</f>
        <v/>
      </c>
      <c r="Z396" s="64" t="str">
        <f>IFERROR(INDEX(입력!$N$2:$N$500, MATCH($BO396, 입력!$Z$2:$Z$500, 0)) &amp; "", "")</f>
        <v/>
      </c>
      <c r="AA396" s="64">
        <f>MAX(0, 표1[[#This Row],[의무_시설]]-표1[[#This Row],[시설합]])</f>
        <v>0</v>
      </c>
      <c r="AB396" s="17" t="str">
        <f t="shared" si="55"/>
        <v>이행완료</v>
      </c>
      <c r="AC396" s="64" t="str">
        <f>IFERROR(INDEX(입력!$P$2:$P$500, MATCH($BO396, 입력!$Z$2:$Z$500, 0)) &amp; "", "")</f>
        <v/>
      </c>
      <c r="AD396" s="64" t="str">
        <f>IFERROR(INDEX(입력!$Q$2:$Q$500, MATCH($BO396, 입력!$Z$2:$Z$500, 0)) &amp; "", "")</f>
        <v/>
      </c>
      <c r="AE396" s="64" t="str">
        <f>IFERROR(INDEX(입력!$R$2:$R$500, MATCH($BO396, 입력!$Z$2:$Z$500, 0)) &amp; "", "")</f>
        <v/>
      </c>
      <c r="AF396" s="64" t="str">
        <f>IFERROR(INDEX(입력!$S$2:$S$500, MATCH($BO396, 입력!$Z$2:$Z$500, 0)) &amp; "", "")</f>
        <v/>
      </c>
      <c r="AG396" s="64" t="str">
        <f>IFERROR(INDEX(입력!$T$2:$T$500, MATCH($BO396, 입력!$Z$2:$Z$500, 0)) &amp; "", "")</f>
        <v/>
      </c>
      <c r="AH396" s="64" t="str">
        <f>IFERROR(INDEX(입력!$U$2:$U$500, MATCH($BO396, 입력!$Z$2:$Z$500, 0)) &amp; "", "")</f>
        <v/>
      </c>
      <c r="AI396" s="64" t="str">
        <f>IFERROR(INDEX(입력!$V$2:$V$500, MATCH($BO396, 입력!$Z$2:$Z$500, 0)) &amp; "", "")</f>
        <v/>
      </c>
      <c r="AJ396" s="44" t="str">
        <f>IFERROR(INDEX(입력!$W$2:$W$500, MATCH($BO396, 입력!$Z$2:$Z$500, 0)) &amp; "", "")</f>
        <v/>
      </c>
      <c r="AK396" s="44" t="str">
        <f>IFERROR(INDEX(입력!$X$2:$X$500, MATCH($BO396, 입력!$Z$2:$Z$500, 0)) &amp; "", "")</f>
        <v/>
      </c>
      <c r="AL396" s="2"/>
      <c r="AM396" s="17" t="s">
        <v>1650</v>
      </c>
      <c r="AN396" s="101">
        <v>2025</v>
      </c>
      <c r="AO396" s="17" t="s">
        <v>3275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3137</v>
      </c>
      <c r="AZ396" s="71" t="str">
        <f>IFERROR(IF(INDEX(입력!$C$2:$C$500, MATCH($BO396, 입력!$Z$2:$Z$500, 0))="", "", TEXT(INDEX(입력!$C$2:$C$500, MATCH($BO396, 입력!$Z$2:$Z$500, 0)), "yyyy-mm-dd")), "")</f>
        <v/>
      </c>
      <c r="BA396" s="44" t="str">
        <f>IFERROR(INDEX(입력!$B$2:$B$500, MATCH($BO396, 입력!$Z$2:$Z$500, 0)) &amp; "", "")</f>
        <v/>
      </c>
      <c r="BB396" s="83" t="str">
        <f>IFERROR(INDEX(입력!$Y$2:$Y$500, MATCH($BO396, 입력!$Z$2:$Z$500, 0)) &amp; "", "")</f>
        <v/>
      </c>
      <c r="BC396" s="83" t="s">
        <v>3112</v>
      </c>
      <c r="BD396" s="83"/>
      <c r="BE396" s="101"/>
      <c r="BF396" s="101"/>
      <c r="BG396" s="101"/>
      <c r="BH396" s="101"/>
      <c r="BI396" s="101"/>
      <c r="BJ396" s="101"/>
      <c r="BK396" s="110"/>
      <c r="BL396" s="21"/>
      <c r="BM396" s="22">
        <v>208</v>
      </c>
      <c r="BN396" s="23"/>
      <c r="BO396" s="47" t="s">
        <v>892</v>
      </c>
    </row>
    <row r="397" spans="1:67" x14ac:dyDescent="0.45">
      <c r="A397" s="19">
        <v>396</v>
      </c>
      <c r="B397" s="1" t="s">
        <v>1647</v>
      </c>
      <c r="C397" s="17" t="str">
        <f t="shared" si="51"/>
        <v>이행완료</v>
      </c>
      <c r="D397" s="17" t="str">
        <f t="shared" si="54"/>
        <v/>
      </c>
      <c r="E397" s="2" t="s">
        <v>2158</v>
      </c>
      <c r="F397" s="1" t="s">
        <v>893</v>
      </c>
      <c r="G397" s="1" t="s">
        <v>2159</v>
      </c>
      <c r="H397" s="18" t="s">
        <v>1172</v>
      </c>
      <c r="I397" s="19">
        <v>210</v>
      </c>
      <c r="J397" s="2"/>
      <c r="K397" s="20" t="s">
        <v>2547</v>
      </c>
      <c r="L397" s="20"/>
      <c r="M397" s="17" t="str">
        <f t="shared" si="52"/>
        <v>기축</v>
      </c>
      <c r="N397" s="21"/>
      <c r="O397" s="21"/>
      <c r="P397" s="1">
        <f t="shared" si="48"/>
        <v>4</v>
      </c>
      <c r="Q397" s="1">
        <v>4</v>
      </c>
      <c r="R397" s="64" t="str">
        <f>IFERROR(INDEX(입력!$J$2:$J$500, MATCH($BO397, 입력!$Z$2:$Z$500, 0)) &amp; "", "")</f>
        <v/>
      </c>
      <c r="S397" s="64" t="str">
        <f>IFERROR(INDEX(입력!$K$2:$K$500, MATCH($BO397, 입력!$Z$2:$Z$500, 0)) &amp; "", "")</f>
        <v/>
      </c>
      <c r="T397" s="64">
        <f>MAX(0, 표1[[#This Row],[의무_면수]]-표1[[#This Row],[면수합]])</f>
        <v>0</v>
      </c>
      <c r="U397" s="44" t="str">
        <f t="shared" si="49"/>
        <v>이행완료</v>
      </c>
      <c r="V397" s="1">
        <f t="shared" si="53"/>
        <v>4</v>
      </c>
      <c r="W397" s="1" t="str">
        <f t="shared" si="50"/>
        <v/>
      </c>
      <c r="X397" s="1">
        <v>4</v>
      </c>
      <c r="Y397" s="64" t="str">
        <f>IFERROR(INDEX(입력!$M$2:$M$500, MATCH($BO397, 입력!$Z$2:$Z$500, 0)) &amp; "", "")</f>
        <v/>
      </c>
      <c r="Z397" s="64" t="str">
        <f>IFERROR(INDEX(입력!$N$2:$N$500, MATCH($BO397, 입력!$Z$2:$Z$500, 0)) &amp; "", "")</f>
        <v/>
      </c>
      <c r="AA397" s="64">
        <f>MAX(0, 표1[[#This Row],[의무_시설]]-표1[[#This Row],[시설합]])</f>
        <v>0</v>
      </c>
      <c r="AB397" s="17" t="str">
        <f t="shared" si="55"/>
        <v>이행완료</v>
      </c>
      <c r="AC397" s="64" t="str">
        <f>IFERROR(INDEX(입력!$P$2:$P$500, MATCH($BO397, 입력!$Z$2:$Z$500, 0)) &amp; "", "")</f>
        <v/>
      </c>
      <c r="AD397" s="64" t="str">
        <f>IFERROR(INDEX(입력!$Q$2:$Q$500, MATCH($BO397, 입력!$Z$2:$Z$500, 0)) &amp; "", "")</f>
        <v/>
      </c>
      <c r="AE397" s="64" t="str">
        <f>IFERROR(INDEX(입력!$R$2:$R$500, MATCH($BO397, 입력!$Z$2:$Z$500, 0)) &amp; "", "")</f>
        <v/>
      </c>
      <c r="AF397" s="64" t="str">
        <f>IFERROR(INDEX(입력!$S$2:$S$500, MATCH($BO397, 입력!$Z$2:$Z$500, 0)) &amp; "", "")</f>
        <v/>
      </c>
      <c r="AG397" s="64" t="str">
        <f>IFERROR(INDEX(입력!$T$2:$T$500, MATCH($BO397, 입력!$Z$2:$Z$500, 0)) &amp; "", "")</f>
        <v/>
      </c>
      <c r="AH397" s="64" t="str">
        <f>IFERROR(INDEX(입력!$U$2:$U$500, MATCH($BO397, 입력!$Z$2:$Z$500, 0)) &amp; "", "")</f>
        <v/>
      </c>
      <c r="AI397" s="64" t="str">
        <f>IFERROR(INDEX(입력!$V$2:$V$500, MATCH($BO397, 입력!$Z$2:$Z$500, 0)) &amp; "", "")</f>
        <v/>
      </c>
      <c r="AJ397" s="44" t="str">
        <f>IFERROR(INDEX(입력!$W$2:$W$500, MATCH($BO397, 입력!$Z$2:$Z$500, 0)) &amp; "", "")</f>
        <v/>
      </c>
      <c r="AK397" s="44" t="str">
        <f>IFERROR(INDEX(입력!$X$2:$X$500, MATCH($BO397, 입력!$Z$2:$Z$500, 0)) &amp; "", "")</f>
        <v/>
      </c>
      <c r="AL397" s="2"/>
      <c r="AM397" s="17" t="s">
        <v>1650</v>
      </c>
      <c r="AN397" s="101">
        <v>2025</v>
      </c>
      <c r="AO397" s="17" t="s">
        <v>3275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3131</v>
      </c>
      <c r="AZ397" s="71" t="str">
        <f>IFERROR(IF(INDEX(입력!$C$2:$C$500, MATCH($BO397, 입력!$Z$2:$Z$500, 0))="", "", TEXT(INDEX(입력!$C$2:$C$500, MATCH($BO397, 입력!$Z$2:$Z$500, 0)), "yyyy-mm-dd")), "")</f>
        <v/>
      </c>
      <c r="BA397" s="44" t="str">
        <f>IFERROR(INDEX(입력!$B$2:$B$500, MATCH($BO397, 입력!$Z$2:$Z$500, 0)) &amp; "", "")</f>
        <v/>
      </c>
      <c r="BB397" s="83" t="str">
        <f>IFERROR(INDEX(입력!$Y$2:$Y$500, MATCH($BO397, 입력!$Z$2:$Z$500, 0)) &amp; "", "")</f>
        <v/>
      </c>
      <c r="BC397" s="83" t="s">
        <v>3112</v>
      </c>
      <c r="BD397" s="83"/>
      <c r="BE397" s="101"/>
      <c r="BF397" s="101"/>
      <c r="BG397" s="101"/>
      <c r="BH397" s="101"/>
      <c r="BI397" s="101"/>
      <c r="BJ397" s="101"/>
      <c r="BK397" s="110"/>
      <c r="BL397" s="21"/>
      <c r="BM397" s="22">
        <v>207</v>
      </c>
      <c r="BN397" s="23"/>
      <c r="BO397" s="47" t="s">
        <v>894</v>
      </c>
    </row>
    <row r="398" spans="1:67" x14ac:dyDescent="0.45">
      <c r="A398" s="46">
        <v>397</v>
      </c>
      <c r="B398" s="1" t="s">
        <v>1647</v>
      </c>
      <c r="C398" s="17" t="str">
        <f t="shared" si="51"/>
        <v>이행완료</v>
      </c>
      <c r="D398" s="17" t="str">
        <f t="shared" si="54"/>
        <v>조사완료</v>
      </c>
      <c r="E398" s="2" t="s">
        <v>2160</v>
      </c>
      <c r="F398" s="1" t="s">
        <v>895</v>
      </c>
      <c r="G398" s="1" t="s">
        <v>2161</v>
      </c>
      <c r="H398" s="18" t="s">
        <v>1133</v>
      </c>
      <c r="I398" s="19">
        <v>200</v>
      </c>
      <c r="J398" s="2"/>
      <c r="K398" s="20" t="s">
        <v>2612</v>
      </c>
      <c r="L398" s="20"/>
      <c r="M398" s="17" t="str">
        <f t="shared" si="52"/>
        <v>기축</v>
      </c>
      <c r="N398" s="21"/>
      <c r="O398" s="21"/>
      <c r="P398" s="1">
        <f t="shared" si="48"/>
        <v>4</v>
      </c>
      <c r="Q398" s="1">
        <v>4</v>
      </c>
      <c r="R398" s="64" t="str">
        <f>IFERROR(INDEX(입력!$J$2:$J$500, MATCH($BO398, 입력!$Z$2:$Z$500, 0)) &amp; "", "")</f>
        <v>4</v>
      </c>
      <c r="S398" s="64" t="str">
        <f>IFERROR(INDEX(입력!$K$2:$K$500, MATCH($BO398, 입력!$Z$2:$Z$500, 0)) &amp; "", "")</f>
        <v/>
      </c>
      <c r="T398" s="64">
        <f>MAX(0, 표1[[#This Row],[의무_면수]]-표1[[#This Row],[면수합]])</f>
        <v>0</v>
      </c>
      <c r="U398" s="44" t="str">
        <f t="shared" si="49"/>
        <v>이행완료</v>
      </c>
      <c r="V398" s="1">
        <f t="shared" si="53"/>
        <v>4</v>
      </c>
      <c r="W398" s="1" t="str">
        <f t="shared" si="50"/>
        <v/>
      </c>
      <c r="X398" s="1">
        <v>4</v>
      </c>
      <c r="Y398" s="64" t="str">
        <f>IFERROR(INDEX(입력!$M$2:$M$500, MATCH($BO398, 입력!$Z$2:$Z$500, 0)) &amp; "", "")</f>
        <v/>
      </c>
      <c r="Z398" s="64" t="str">
        <f>IFERROR(INDEX(입력!$N$2:$N$500, MATCH($BO398, 입력!$Z$2:$Z$500, 0)) &amp; "", "")</f>
        <v>4</v>
      </c>
      <c r="AA398" s="64">
        <f>MAX(0, 표1[[#This Row],[의무_시설]]-표1[[#This Row],[시설합]])</f>
        <v>0</v>
      </c>
      <c r="AB398" s="17" t="str">
        <f t="shared" si="55"/>
        <v>이행완료</v>
      </c>
      <c r="AC398" s="64" t="str">
        <f>IFERROR(INDEX(입력!$P$2:$P$500, MATCH($BO398, 입력!$Z$2:$Z$500, 0)) &amp; "", "")</f>
        <v>200</v>
      </c>
      <c r="AD398" s="64" t="str">
        <f>IFERROR(INDEX(입력!$Q$2:$Q$500, MATCH($BO398, 입력!$Z$2:$Z$500, 0)) &amp; "", "")</f>
        <v>3</v>
      </c>
      <c r="AE398" s="64" t="str">
        <f>IFERROR(INDEX(입력!$R$2:$R$500, MATCH($BO398, 입력!$Z$2:$Z$500, 0)) &amp; "", "")</f>
        <v>여</v>
      </c>
      <c r="AF398" s="64" t="str">
        <f>IFERROR(INDEX(입력!$S$2:$S$500, MATCH($BO398, 입력!$Z$2:$Z$500, 0)) &amp; "", "")</f>
        <v>여</v>
      </c>
      <c r="AG398" s="64" t="str">
        <f>IFERROR(INDEX(입력!$T$2:$T$500, MATCH($BO398, 입력!$Z$2:$Z$500, 0)) &amp; "", "")</f>
        <v>여</v>
      </c>
      <c r="AH398" s="64" t="str">
        <f>IFERROR(INDEX(입력!$U$2:$U$500, MATCH($BO398, 입력!$Z$2:$Z$500, 0)) &amp; "", "")</f>
        <v>2</v>
      </c>
      <c r="AI398" s="64" t="str">
        <f>IFERROR(INDEX(입력!$V$2:$V$500, MATCH($BO398, 입력!$Z$2:$Z$500, 0)) &amp; "", "")</f>
        <v>여</v>
      </c>
      <c r="AJ398" s="44" t="str">
        <f>IFERROR(INDEX(입력!$W$2:$W$500, MATCH($BO398, 입력!$Z$2:$Z$500, 0)) &amp; "", "")</f>
        <v>박민경</v>
      </c>
      <c r="AK398" s="44" t="str">
        <f>IFERROR(INDEX(입력!$X$2:$X$500, MATCH($BO398, 입력!$Z$2:$Z$500, 0)) &amp; "", "")</f>
        <v>972-7684</v>
      </c>
      <c r="AL398" s="2" t="s">
        <v>2162</v>
      </c>
      <c r="AM398" s="17" t="s">
        <v>1650</v>
      </c>
      <c r="AN398" s="101">
        <v>2025</v>
      </c>
      <c r="AO398" s="17" t="s">
        <v>3274</v>
      </c>
      <c r="AP398" s="118"/>
      <c r="AQ398" s="21"/>
      <c r="AR398" s="119"/>
      <c r="AS398" s="101" t="s">
        <v>3138</v>
      </c>
      <c r="AT398" s="109">
        <v>46097</v>
      </c>
      <c r="AU398" s="101" t="s">
        <v>3126</v>
      </c>
      <c r="AV398" s="21" t="s">
        <v>2163</v>
      </c>
      <c r="AW398" s="101"/>
      <c r="AX398" s="119" t="s">
        <v>2164</v>
      </c>
      <c r="AY398" s="83" t="s">
        <v>3131</v>
      </c>
      <c r="AZ398" s="71" t="str">
        <f>IFERROR(IF(INDEX(입력!$C$2:$C$500, MATCH($BO398, 입력!$Z$2:$Z$500, 0))="", "", TEXT(INDEX(입력!$C$2:$C$500, MATCH($BO398, 입력!$Z$2:$Z$500, 0)), "yyyy-mm-dd")), "")</f>
        <v>2026-04-10</v>
      </c>
      <c r="BA398" s="44" t="str">
        <f>IFERROR(INDEX(입력!$B$2:$B$500, MATCH($BO398, 입력!$Z$2:$Z$500, 0)) &amp; "", "")</f>
        <v>정은진</v>
      </c>
      <c r="BB398" s="83" t="str">
        <f>IFERROR(INDEX(입력!$Y$2:$Y$500, MATCH($BO398, 입력!$Z$2:$Z$500, 0)) &amp; "", "")</f>
        <v/>
      </c>
      <c r="BC398" s="83" t="s">
        <v>3112</v>
      </c>
      <c r="BD398" s="83"/>
      <c r="BE398" s="101"/>
      <c r="BF398" s="101"/>
      <c r="BG398" s="101"/>
      <c r="BH398" s="101"/>
      <c r="BI398" s="101"/>
      <c r="BJ398" s="101"/>
      <c r="BK398" s="110"/>
      <c r="BL398" s="21"/>
      <c r="BM398" s="22">
        <v>240</v>
      </c>
      <c r="BN398" s="23"/>
      <c r="BO398" s="47" t="s">
        <v>896</v>
      </c>
    </row>
    <row r="399" spans="1:67" x14ac:dyDescent="0.45">
      <c r="A399" s="19">
        <v>398</v>
      </c>
      <c r="B399" s="1" t="s">
        <v>1647</v>
      </c>
      <c r="C399" s="17" t="str">
        <f t="shared" si="51"/>
        <v>이행완료</v>
      </c>
      <c r="D399" s="17" t="str">
        <f t="shared" si="54"/>
        <v/>
      </c>
      <c r="E399" s="1" t="s">
        <v>3353</v>
      </c>
      <c r="F399" s="1" t="s">
        <v>897</v>
      </c>
      <c r="G399" s="1" t="s">
        <v>2165</v>
      </c>
      <c r="H399" s="18" t="s">
        <v>1266</v>
      </c>
      <c r="I399" s="46">
        <v>193</v>
      </c>
      <c r="J399" s="2"/>
      <c r="K399" s="20" t="s">
        <v>2466</v>
      </c>
      <c r="L399" s="20"/>
      <c r="M399" s="17" t="str">
        <f t="shared" si="52"/>
        <v>기축</v>
      </c>
      <c r="N399" s="21"/>
      <c r="O399" s="21"/>
      <c r="P399" s="1">
        <f t="shared" si="48"/>
        <v>4</v>
      </c>
      <c r="Q399" s="1">
        <v>5</v>
      </c>
      <c r="R399" s="64" t="str">
        <f>IFERROR(INDEX(입력!$J$2:$J$500, MATCH($BO399, 입력!$Z$2:$Z$500, 0)) &amp; "", "")</f>
        <v/>
      </c>
      <c r="S399" s="64" t="str">
        <f>IFERROR(INDEX(입력!$K$2:$K$500, MATCH($BO399, 입력!$Z$2:$Z$500, 0)) &amp; "", "")</f>
        <v/>
      </c>
      <c r="T399" s="64">
        <f>MAX(0, 표1[[#This Row],[의무_면수]]-표1[[#This Row],[면수합]])</f>
        <v>0</v>
      </c>
      <c r="U399" s="44" t="str">
        <f t="shared" si="49"/>
        <v>이행완료</v>
      </c>
      <c r="V399" s="1">
        <f t="shared" si="53"/>
        <v>4</v>
      </c>
      <c r="W399" s="1" t="str">
        <f t="shared" si="50"/>
        <v/>
      </c>
      <c r="X399" s="1">
        <v>5</v>
      </c>
      <c r="Y399" s="64" t="str">
        <f>IFERROR(INDEX(입력!$M$2:$M$500, MATCH($BO399, 입력!$Z$2:$Z$500, 0)) &amp; "", "")</f>
        <v/>
      </c>
      <c r="Z399" s="64" t="str">
        <f>IFERROR(INDEX(입력!$N$2:$N$500, MATCH($BO399, 입력!$Z$2:$Z$500, 0)) &amp; "", "")</f>
        <v/>
      </c>
      <c r="AA399" s="64">
        <f>MAX(0, 표1[[#This Row],[의무_시설]]-표1[[#This Row],[시설합]])</f>
        <v>0</v>
      </c>
      <c r="AB399" s="17" t="str">
        <f t="shared" si="55"/>
        <v>이행완료</v>
      </c>
      <c r="AC399" s="64" t="str">
        <f>IFERROR(INDEX(입력!$P$2:$P$500, MATCH($BO399, 입력!$Z$2:$Z$500, 0)) &amp; "", "")</f>
        <v/>
      </c>
      <c r="AD399" s="64" t="str">
        <f>IFERROR(INDEX(입력!$Q$2:$Q$500, MATCH($BO399, 입력!$Z$2:$Z$500, 0)) &amp; "", "")</f>
        <v/>
      </c>
      <c r="AE399" s="64" t="str">
        <f>IFERROR(INDEX(입력!$R$2:$R$500, MATCH($BO399, 입력!$Z$2:$Z$500, 0)) &amp; "", "")</f>
        <v/>
      </c>
      <c r="AF399" s="64" t="str">
        <f>IFERROR(INDEX(입력!$S$2:$S$500, MATCH($BO399, 입력!$Z$2:$Z$500, 0)) &amp; "", "")</f>
        <v/>
      </c>
      <c r="AG399" s="64" t="str">
        <f>IFERROR(INDEX(입력!$T$2:$T$500, MATCH($BO399, 입력!$Z$2:$Z$500, 0)) &amp; "", "")</f>
        <v/>
      </c>
      <c r="AH399" s="64" t="str">
        <f>IFERROR(INDEX(입력!$U$2:$U$500, MATCH($BO399, 입력!$Z$2:$Z$500, 0)) &amp; "", "")</f>
        <v/>
      </c>
      <c r="AI399" s="64" t="str">
        <f>IFERROR(INDEX(입력!$V$2:$V$500, MATCH($BO399, 입력!$Z$2:$Z$500, 0)) &amp; "", "")</f>
        <v/>
      </c>
      <c r="AJ399" s="44" t="str">
        <f>IFERROR(INDEX(입력!$W$2:$W$500, MATCH($BO399, 입력!$Z$2:$Z$500, 0)) &amp; "", "")</f>
        <v/>
      </c>
      <c r="AK399" s="44" t="str">
        <f>IFERROR(INDEX(입력!$X$2:$X$500, MATCH($BO399, 입력!$Z$2:$Z$500, 0)) &amp; "", "")</f>
        <v/>
      </c>
      <c r="AL399" s="2"/>
      <c r="AM399" s="17" t="s">
        <v>1650</v>
      </c>
      <c r="AN399" s="101">
        <v>2025</v>
      </c>
      <c r="AO399" s="17" t="s">
        <v>3275</v>
      </c>
      <c r="AP399" s="101"/>
      <c r="AQ399" s="108"/>
      <c r="AR399" s="119"/>
      <c r="AS399" s="83" t="s">
        <v>3291</v>
      </c>
      <c r="AT399" s="109">
        <v>46034</v>
      </c>
      <c r="AU399" s="101" t="s">
        <v>3126</v>
      </c>
      <c r="AV399" s="101"/>
      <c r="AW399" s="101" t="s">
        <v>3149</v>
      </c>
      <c r="AX399" s="101"/>
      <c r="AY399" s="83" t="s">
        <v>3137</v>
      </c>
      <c r="AZ399" s="71" t="str">
        <f>IFERROR(IF(INDEX(입력!$C$2:$C$500, MATCH($BO399, 입력!$Z$2:$Z$500, 0))="", "", TEXT(INDEX(입력!$C$2:$C$500, MATCH($BO399, 입력!$Z$2:$Z$500, 0)), "yyyy-mm-dd")), "")</f>
        <v/>
      </c>
      <c r="BA399" s="44" t="str">
        <f>IFERROR(INDEX(입력!$B$2:$B$500, MATCH($BO399, 입력!$Z$2:$Z$500, 0)) &amp; "", "")</f>
        <v/>
      </c>
      <c r="BB399" s="83" t="str">
        <f>IFERROR(INDEX(입력!$Y$2:$Y$500, MATCH($BO399, 입력!$Z$2:$Z$500, 0)) &amp; "", "")</f>
        <v/>
      </c>
      <c r="BC399" s="83" t="s">
        <v>3284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3377</v>
      </c>
      <c r="BI399" s="101"/>
      <c r="BJ399" s="101" t="s">
        <v>3378</v>
      </c>
      <c r="BK399" s="110"/>
      <c r="BL399" s="21"/>
      <c r="BM399" s="22">
        <v>193</v>
      </c>
      <c r="BN399" s="23"/>
      <c r="BO399" s="47" t="s">
        <v>898</v>
      </c>
    </row>
    <row r="400" spans="1:67" x14ac:dyDescent="0.45">
      <c r="A400" s="46">
        <v>399</v>
      </c>
      <c r="B400" s="1" t="s">
        <v>1647</v>
      </c>
      <c r="C400" s="17" t="str">
        <f t="shared" si="51"/>
        <v>이행완료</v>
      </c>
      <c r="D400" s="17" t="str">
        <f t="shared" si="54"/>
        <v/>
      </c>
      <c r="E400" s="2" t="s">
        <v>2166</v>
      </c>
      <c r="F400" s="1" t="s">
        <v>899</v>
      </c>
      <c r="G400" s="1" t="s">
        <v>2167</v>
      </c>
      <c r="H400" s="18" t="s">
        <v>1276</v>
      </c>
      <c r="I400" s="19">
        <v>131</v>
      </c>
      <c r="J400" s="2"/>
      <c r="K400" s="20" t="s">
        <v>2554</v>
      </c>
      <c r="L400" s="20"/>
      <c r="M400" s="17" t="str">
        <f t="shared" si="52"/>
        <v>기축</v>
      </c>
      <c r="N400" s="21"/>
      <c r="O400" s="21"/>
      <c r="P400" s="1">
        <f t="shared" si="48"/>
        <v>3</v>
      </c>
      <c r="Q400" s="1">
        <v>3</v>
      </c>
      <c r="R400" s="64" t="str">
        <f>IFERROR(INDEX(입력!$J$2:$J$500, MATCH($BO400, 입력!$Z$2:$Z$500, 0)) &amp; "", "")</f>
        <v/>
      </c>
      <c r="S400" s="64" t="str">
        <f>IFERROR(INDEX(입력!$K$2:$K$500, MATCH($BO400, 입력!$Z$2:$Z$500, 0)) &amp; "", "")</f>
        <v/>
      </c>
      <c r="T400" s="64">
        <f>MAX(0, 표1[[#This Row],[의무_면수]]-표1[[#This Row],[면수합]])</f>
        <v>0</v>
      </c>
      <c r="U400" s="44" t="str">
        <f t="shared" si="49"/>
        <v>이행완료</v>
      </c>
      <c r="V400" s="1">
        <f t="shared" si="53"/>
        <v>3</v>
      </c>
      <c r="W400" s="1" t="str">
        <f t="shared" si="50"/>
        <v/>
      </c>
      <c r="X400" s="1">
        <v>3</v>
      </c>
      <c r="Y400" s="64" t="str">
        <f>IFERROR(INDEX(입력!$M$2:$M$500, MATCH($BO400, 입력!$Z$2:$Z$500, 0)) &amp; "", "")</f>
        <v/>
      </c>
      <c r="Z400" s="64" t="str">
        <f>IFERROR(INDEX(입력!$N$2:$N$500, MATCH($BO400, 입력!$Z$2:$Z$500, 0)) &amp; "", "")</f>
        <v/>
      </c>
      <c r="AA400" s="64">
        <f>MAX(0, 표1[[#This Row],[의무_시설]]-표1[[#This Row],[시설합]])</f>
        <v>0</v>
      </c>
      <c r="AB400" s="17" t="str">
        <f t="shared" si="55"/>
        <v>이행완료</v>
      </c>
      <c r="AC400" s="64" t="str">
        <f>IFERROR(INDEX(입력!$P$2:$P$500, MATCH($BO400, 입력!$Z$2:$Z$500, 0)) &amp; "", "")</f>
        <v/>
      </c>
      <c r="AD400" s="64" t="str">
        <f>IFERROR(INDEX(입력!$Q$2:$Q$500, MATCH($BO400, 입력!$Z$2:$Z$500, 0)) &amp; "", "")</f>
        <v/>
      </c>
      <c r="AE400" s="64" t="str">
        <f>IFERROR(INDEX(입력!$R$2:$R$500, MATCH($BO400, 입력!$Z$2:$Z$500, 0)) &amp; "", "")</f>
        <v/>
      </c>
      <c r="AF400" s="64" t="str">
        <f>IFERROR(INDEX(입력!$S$2:$S$500, MATCH($BO400, 입력!$Z$2:$Z$500, 0)) &amp; "", "")</f>
        <v/>
      </c>
      <c r="AG400" s="64" t="str">
        <f>IFERROR(INDEX(입력!$T$2:$T$500, MATCH($BO400, 입력!$Z$2:$Z$500, 0)) &amp; "", "")</f>
        <v/>
      </c>
      <c r="AH400" s="64" t="str">
        <f>IFERROR(INDEX(입력!$U$2:$U$500, MATCH($BO400, 입력!$Z$2:$Z$500, 0)) &amp; "", "")</f>
        <v/>
      </c>
      <c r="AI400" s="64" t="str">
        <f>IFERROR(INDEX(입력!$V$2:$V$500, MATCH($BO400, 입력!$Z$2:$Z$500, 0)) &amp; "", "")</f>
        <v/>
      </c>
      <c r="AJ400" s="44" t="str">
        <f>IFERROR(INDEX(입력!$W$2:$W$500, MATCH($BO400, 입력!$Z$2:$Z$500, 0)) &amp; "", "")</f>
        <v/>
      </c>
      <c r="AK400" s="44" t="str">
        <f>IFERROR(INDEX(입력!$X$2:$X$500, MATCH($BO400, 입력!$Z$2:$Z$500, 0)) &amp; "", "")</f>
        <v/>
      </c>
      <c r="AL400" s="2"/>
      <c r="AM400" s="17" t="s">
        <v>1650</v>
      </c>
      <c r="AN400" s="101">
        <v>2025</v>
      </c>
      <c r="AO400" s="17" t="s">
        <v>3275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3137</v>
      </c>
      <c r="AZ400" s="71" t="str">
        <f>IFERROR(IF(INDEX(입력!$C$2:$C$500, MATCH($BO400, 입력!$Z$2:$Z$500, 0))="", "", TEXT(INDEX(입력!$C$2:$C$500, MATCH($BO400, 입력!$Z$2:$Z$500, 0)), "yyyy-mm-dd")), "")</f>
        <v/>
      </c>
      <c r="BA400" s="44" t="str">
        <f>IFERROR(INDEX(입력!$B$2:$B$500, MATCH($BO400, 입력!$Z$2:$Z$500, 0)) &amp; "", "")</f>
        <v/>
      </c>
      <c r="BB400" s="83" t="str">
        <f>IFERROR(INDEX(입력!$Y$2:$Y$500, MATCH($BO400, 입력!$Z$2:$Z$500, 0)) &amp; "", "")</f>
        <v/>
      </c>
      <c r="BC400" s="83" t="s">
        <v>3112</v>
      </c>
      <c r="BD400" s="83"/>
      <c r="BE400" s="101"/>
      <c r="BF400" s="101"/>
      <c r="BG400" s="101"/>
      <c r="BH400" s="101"/>
      <c r="BI400" s="101"/>
      <c r="BJ400" s="101"/>
      <c r="BK400" s="110"/>
      <c r="BL400" s="21"/>
      <c r="BM400" s="22">
        <v>131</v>
      </c>
      <c r="BN400" s="23"/>
      <c r="BO400" s="47" t="s">
        <v>900</v>
      </c>
    </row>
    <row r="401" spans="1:67" x14ac:dyDescent="0.45">
      <c r="A401" s="19">
        <v>400</v>
      </c>
      <c r="B401" s="1" t="s">
        <v>1647</v>
      </c>
      <c r="C401" s="17" t="str">
        <f t="shared" si="51"/>
        <v>이행완료</v>
      </c>
      <c r="D401" s="17" t="str">
        <f t="shared" si="54"/>
        <v/>
      </c>
      <c r="E401" s="2" t="s">
        <v>2168</v>
      </c>
      <c r="F401" s="1" t="s">
        <v>901</v>
      </c>
      <c r="G401" s="1" t="s">
        <v>2169</v>
      </c>
      <c r="H401" s="18" t="s">
        <v>1152</v>
      </c>
      <c r="I401" s="19">
        <v>138</v>
      </c>
      <c r="J401" s="2"/>
      <c r="K401" s="20" t="s">
        <v>2613</v>
      </c>
      <c r="L401" s="20"/>
      <c r="M401" s="17" t="str">
        <f t="shared" si="52"/>
        <v>기축</v>
      </c>
      <c r="N401" s="21"/>
      <c r="O401" s="21"/>
      <c r="P401" s="1">
        <f t="shared" si="48"/>
        <v>3</v>
      </c>
      <c r="Q401" s="1">
        <v>3</v>
      </c>
      <c r="R401" s="64" t="str">
        <f>IFERROR(INDEX(입력!$J$2:$J$500, MATCH($BO401, 입력!$Z$2:$Z$500, 0)) &amp; "", "")</f>
        <v/>
      </c>
      <c r="S401" s="64" t="str">
        <f>IFERROR(INDEX(입력!$K$2:$K$500, MATCH($BO401, 입력!$Z$2:$Z$500, 0)) &amp; "", "")</f>
        <v/>
      </c>
      <c r="T401" s="64">
        <f>MAX(0, 표1[[#This Row],[의무_면수]]-표1[[#This Row],[면수합]])</f>
        <v>0</v>
      </c>
      <c r="U401" s="44" t="str">
        <f t="shared" si="49"/>
        <v>이행완료</v>
      </c>
      <c r="V401" s="1">
        <f t="shared" si="53"/>
        <v>3</v>
      </c>
      <c r="W401" s="1" t="str">
        <f t="shared" si="50"/>
        <v/>
      </c>
      <c r="X401" s="1">
        <v>3</v>
      </c>
      <c r="Y401" s="64" t="str">
        <f>IFERROR(INDEX(입력!$M$2:$M$500, MATCH($BO401, 입력!$Z$2:$Z$500, 0)) &amp; "", "")</f>
        <v/>
      </c>
      <c r="Z401" s="64" t="str">
        <f>IFERROR(INDEX(입력!$N$2:$N$500, MATCH($BO401, 입력!$Z$2:$Z$500, 0)) &amp; "", "")</f>
        <v/>
      </c>
      <c r="AA401" s="64">
        <f>MAX(0, 표1[[#This Row],[의무_시설]]-표1[[#This Row],[시설합]])</f>
        <v>0</v>
      </c>
      <c r="AB401" s="17" t="str">
        <f t="shared" si="55"/>
        <v>이행완료</v>
      </c>
      <c r="AC401" s="64" t="str">
        <f>IFERROR(INDEX(입력!$P$2:$P$500, MATCH($BO401, 입력!$Z$2:$Z$500, 0)) &amp; "", "")</f>
        <v/>
      </c>
      <c r="AD401" s="64" t="str">
        <f>IFERROR(INDEX(입력!$Q$2:$Q$500, MATCH($BO401, 입력!$Z$2:$Z$500, 0)) &amp; "", "")</f>
        <v/>
      </c>
      <c r="AE401" s="64" t="str">
        <f>IFERROR(INDEX(입력!$R$2:$R$500, MATCH($BO401, 입력!$Z$2:$Z$500, 0)) &amp; "", "")</f>
        <v/>
      </c>
      <c r="AF401" s="64" t="str">
        <f>IFERROR(INDEX(입력!$S$2:$S$500, MATCH($BO401, 입력!$Z$2:$Z$500, 0)) &amp; "", "")</f>
        <v/>
      </c>
      <c r="AG401" s="64" t="str">
        <f>IFERROR(INDEX(입력!$T$2:$T$500, MATCH($BO401, 입력!$Z$2:$Z$500, 0)) &amp; "", "")</f>
        <v/>
      </c>
      <c r="AH401" s="64" t="str">
        <f>IFERROR(INDEX(입력!$U$2:$U$500, MATCH($BO401, 입력!$Z$2:$Z$500, 0)) &amp; "", "")</f>
        <v/>
      </c>
      <c r="AI401" s="64" t="str">
        <f>IFERROR(INDEX(입력!$V$2:$V$500, MATCH($BO401, 입력!$Z$2:$Z$500, 0)) &amp; "", "")</f>
        <v/>
      </c>
      <c r="AJ401" s="44" t="str">
        <f>IFERROR(INDEX(입력!$W$2:$W$500, MATCH($BO401, 입력!$Z$2:$Z$500, 0)) &amp; "", "")</f>
        <v/>
      </c>
      <c r="AK401" s="44" t="str">
        <f>IFERROR(INDEX(입력!$X$2:$X$500, MATCH($BO401, 입력!$Z$2:$Z$500, 0)) &amp; "", "")</f>
        <v/>
      </c>
      <c r="AL401" s="2"/>
      <c r="AM401" s="17" t="s">
        <v>1650</v>
      </c>
      <c r="AN401" s="101">
        <v>2025</v>
      </c>
      <c r="AO401" s="17" t="s">
        <v>3277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3131</v>
      </c>
      <c r="AZ401" s="71" t="str">
        <f>IFERROR(IF(INDEX(입력!$C$2:$C$500, MATCH($BO401, 입력!$Z$2:$Z$500, 0))="", "", TEXT(INDEX(입력!$C$2:$C$500, MATCH($BO401, 입력!$Z$2:$Z$500, 0)), "yyyy-mm-dd")), "")</f>
        <v/>
      </c>
      <c r="BA401" s="44" t="str">
        <f>IFERROR(INDEX(입력!$B$2:$B$500, MATCH($BO401, 입력!$Z$2:$Z$500, 0)) &amp; "", "")</f>
        <v/>
      </c>
      <c r="BB401" s="83" t="str">
        <f>IFERROR(INDEX(입력!$Y$2:$Y$500, MATCH($BO401, 입력!$Z$2:$Z$500, 0)) &amp; "", "")</f>
        <v/>
      </c>
      <c r="BC401" s="83" t="s">
        <v>3112</v>
      </c>
      <c r="BD401" s="83"/>
      <c r="BE401" s="101"/>
      <c r="BF401" s="101"/>
      <c r="BG401" s="101"/>
      <c r="BH401" s="101"/>
      <c r="BI401" s="101"/>
      <c r="BJ401" s="101"/>
      <c r="BK401" s="110"/>
      <c r="BL401" s="21"/>
      <c r="BM401" s="22">
        <v>138</v>
      </c>
      <c r="BN401" s="23"/>
      <c r="BO401" s="47" t="s">
        <v>902</v>
      </c>
    </row>
    <row r="402" spans="1:67" x14ac:dyDescent="0.45">
      <c r="A402" s="46">
        <v>401</v>
      </c>
      <c r="B402" s="1" t="s">
        <v>1647</v>
      </c>
      <c r="C402" s="17" t="str">
        <f t="shared" si="51"/>
        <v>미이행</v>
      </c>
      <c r="D402" s="17" t="str">
        <f t="shared" si="54"/>
        <v>조사완료</v>
      </c>
      <c r="E402" s="2" t="s">
        <v>2170</v>
      </c>
      <c r="F402" s="1" t="s">
        <v>903</v>
      </c>
      <c r="G402" s="1" t="s">
        <v>2171</v>
      </c>
      <c r="H402" s="18" t="s">
        <v>1566</v>
      </c>
      <c r="I402" s="19">
        <v>73</v>
      </c>
      <c r="J402" s="2"/>
      <c r="K402" s="20">
        <v>33942</v>
      </c>
      <c r="L402" s="20"/>
      <c r="M402" s="17" t="str">
        <f t="shared" si="52"/>
        <v>기축</v>
      </c>
      <c r="N402" s="21"/>
      <c r="O402" s="21"/>
      <c r="P402" s="1">
        <f t="shared" si="48"/>
        <v>1</v>
      </c>
      <c r="Q402" s="1">
        <v>0</v>
      </c>
      <c r="R402" s="64" t="str">
        <f>IFERROR(INDEX(입력!$J$2:$J$500, MATCH($BO402, 입력!$Z$2:$Z$500, 0)) &amp; "", "")</f>
        <v/>
      </c>
      <c r="S402" s="64" t="str">
        <f>IFERROR(INDEX(입력!$K$2:$K$500, MATCH($BO402, 입력!$Z$2:$Z$500, 0)) &amp; "", "")</f>
        <v/>
      </c>
      <c r="T402" s="64">
        <f>MAX(0, 표1[[#This Row],[의무_면수]]-표1[[#This Row],[면수합]])</f>
        <v>1</v>
      </c>
      <c r="U402" s="44" t="str">
        <f t="shared" si="49"/>
        <v>미이행</v>
      </c>
      <c r="V402" s="1">
        <f t="shared" si="53"/>
        <v>1</v>
      </c>
      <c r="W402" s="1" t="str">
        <f t="shared" si="50"/>
        <v/>
      </c>
      <c r="X402" s="1">
        <v>0</v>
      </c>
      <c r="Y402" s="64" t="str">
        <f>IFERROR(INDEX(입력!$M$2:$M$500, MATCH($BO402, 입력!$Z$2:$Z$500, 0)) &amp; "", "")</f>
        <v/>
      </c>
      <c r="Z402" s="64" t="str">
        <f>IFERROR(INDEX(입력!$N$2:$N$500, MATCH($BO402, 입력!$Z$2:$Z$500, 0)) &amp; "", "")</f>
        <v/>
      </c>
      <c r="AA402" s="64">
        <f>MAX(0, 표1[[#This Row],[의무_시설]]-표1[[#This Row],[시설합]])</f>
        <v>1</v>
      </c>
      <c r="AB402" s="17" t="str">
        <f t="shared" si="55"/>
        <v>미이행</v>
      </c>
      <c r="AC402" s="64" t="str">
        <f>IFERROR(INDEX(입력!$P$2:$P$500, MATCH($BO402, 입력!$Z$2:$Z$500, 0)) &amp; "", "")</f>
        <v>134</v>
      </c>
      <c r="AD402" s="64" t="str">
        <f>IFERROR(INDEX(입력!$Q$2:$Q$500, MATCH($BO402, 입력!$Z$2:$Z$500, 0)) &amp; "", "")</f>
        <v>3</v>
      </c>
      <c r="AE402" s="64" t="str">
        <f>IFERROR(INDEX(입력!$R$2:$R$500, MATCH($BO402, 입력!$Z$2:$Z$500, 0)) &amp; "", "")</f>
        <v>부</v>
      </c>
      <c r="AF402" s="64" t="str">
        <f>IFERROR(INDEX(입력!$S$2:$S$500, MATCH($BO402, 입력!$Z$2:$Z$500, 0)) &amp; "", "")</f>
        <v>부</v>
      </c>
      <c r="AG402" s="64" t="str">
        <f>IFERROR(INDEX(입력!$T$2:$T$500, MATCH($BO402, 입력!$Z$2:$Z$500, 0)) &amp; "", "")</f>
        <v>부</v>
      </c>
      <c r="AH402" s="64" t="str">
        <f>IFERROR(INDEX(입력!$U$2:$U$500, MATCH($BO402, 입력!$Z$2:$Z$500, 0)) &amp; "", "")</f>
        <v/>
      </c>
      <c r="AI402" s="64" t="str">
        <f>IFERROR(INDEX(입력!$V$2:$V$500, MATCH($BO402, 입력!$Z$2:$Z$500, 0)) &amp; "", "")</f>
        <v>여</v>
      </c>
      <c r="AJ402" s="44" t="str">
        <f>IFERROR(INDEX(입력!$W$2:$W$500, MATCH($BO402, 입력!$Z$2:$Z$500, 0)) &amp; "", "")</f>
        <v>이강돈</v>
      </c>
      <c r="AK402" s="44" t="str">
        <f>IFERROR(INDEX(입력!$X$2:$X$500, MATCH($BO402, 입력!$Z$2:$Z$500, 0)) &amp; "", "")</f>
        <v>010-8240-9569</v>
      </c>
      <c r="AL402" s="2" t="s">
        <v>2172</v>
      </c>
      <c r="AM402" s="17" t="s">
        <v>1650</v>
      </c>
      <c r="AN402" s="101">
        <v>2025</v>
      </c>
      <c r="AO402" s="17" t="s">
        <v>3274</v>
      </c>
      <c r="AP402" s="101"/>
      <c r="AQ402" s="108"/>
      <c r="AR402" s="119" t="s">
        <v>3317</v>
      </c>
      <c r="AS402" s="101" t="s">
        <v>3124</v>
      </c>
      <c r="AT402" s="109">
        <v>46034</v>
      </c>
      <c r="AU402" s="101" t="s">
        <v>3141</v>
      </c>
      <c r="AV402" s="101" t="s">
        <v>1927</v>
      </c>
      <c r="AW402" s="101" t="s">
        <v>3318</v>
      </c>
      <c r="AX402" s="101"/>
      <c r="AY402" s="83" t="s">
        <v>3137</v>
      </c>
      <c r="AZ402" s="71" t="str">
        <f>IFERROR(IF(INDEX(입력!$C$2:$C$500, MATCH($BO402, 입력!$Z$2:$Z$500, 0))="", "", TEXT(INDEX(입력!$C$2:$C$500, MATCH($BO402, 입력!$Z$2:$Z$500, 0)), "yyyy-mm-dd")), "")</f>
        <v>2026-04-03</v>
      </c>
      <c r="BA402" s="44" t="str">
        <f>IFERROR(INDEX(입력!$B$2:$B$500, MATCH($BO402, 입력!$Z$2:$Z$500, 0)) &amp; "", "")</f>
        <v>최하영</v>
      </c>
      <c r="BB402" s="83" t="str">
        <f>IFERROR(INDEX(입력!$Y$2:$Y$500, MATCH($BO402, 입력!$Z$2:$Z$500, 0)) &amp; "", "")</f>
        <v>주민자치위원회 협의중</v>
      </c>
      <c r="BC402" s="83" t="s">
        <v>3145</v>
      </c>
      <c r="BD402" s="83"/>
      <c r="BE402" s="101" t="s">
        <v>3808</v>
      </c>
      <c r="BF402" s="101">
        <v>46156</v>
      </c>
      <c r="BG402" s="101" t="s">
        <v>1089</v>
      </c>
      <c r="BH402" s="101" t="s">
        <v>3811</v>
      </c>
      <c r="BI402" s="101" t="s">
        <v>3812</v>
      </c>
      <c r="BJ402" s="101"/>
      <c r="BK402" s="110"/>
      <c r="BL402" s="21"/>
      <c r="BM402" s="22">
        <v>93</v>
      </c>
      <c r="BN402" s="23"/>
      <c r="BO402" s="47" t="s">
        <v>904</v>
      </c>
    </row>
    <row r="403" spans="1:67" x14ac:dyDescent="0.45">
      <c r="A403" s="19">
        <v>402</v>
      </c>
      <c r="B403" s="1" t="s">
        <v>1647</v>
      </c>
      <c r="C403" s="17" t="str">
        <f t="shared" si="51"/>
        <v>이행완료</v>
      </c>
      <c r="D403" s="17" t="str">
        <f t="shared" si="54"/>
        <v/>
      </c>
      <c r="E403" s="2" t="s">
        <v>2173</v>
      </c>
      <c r="F403" s="1" t="s">
        <v>905</v>
      </c>
      <c r="G403" s="1" t="s">
        <v>2174</v>
      </c>
      <c r="H403" s="18" t="s">
        <v>1566</v>
      </c>
      <c r="I403" s="19">
        <v>78</v>
      </c>
      <c r="J403" s="2"/>
      <c r="K403" s="20" t="s">
        <v>2555</v>
      </c>
      <c r="L403" s="20"/>
      <c r="M403" s="17" t="str">
        <f t="shared" si="52"/>
        <v>기축</v>
      </c>
      <c r="N403" s="21"/>
      <c r="O403" s="21"/>
      <c r="P403" s="1">
        <f t="shared" si="48"/>
        <v>2</v>
      </c>
      <c r="Q403" s="1">
        <v>2</v>
      </c>
      <c r="R403" s="64" t="str">
        <f>IFERROR(INDEX(입력!$J$2:$J$500, MATCH($BO403, 입력!$Z$2:$Z$500, 0)) &amp; "", "")</f>
        <v/>
      </c>
      <c r="S403" s="64" t="str">
        <f>IFERROR(INDEX(입력!$K$2:$K$500, MATCH($BO403, 입력!$Z$2:$Z$500, 0)) &amp; "", "")</f>
        <v/>
      </c>
      <c r="T403" s="64">
        <f>MAX(0, 표1[[#This Row],[의무_면수]]-표1[[#This Row],[면수합]])</f>
        <v>0</v>
      </c>
      <c r="U403" s="44" t="str">
        <f t="shared" si="49"/>
        <v>이행완료</v>
      </c>
      <c r="V403" s="1">
        <f t="shared" si="53"/>
        <v>2</v>
      </c>
      <c r="W403" s="1" t="str">
        <f t="shared" si="50"/>
        <v/>
      </c>
      <c r="X403" s="1">
        <v>2</v>
      </c>
      <c r="Y403" s="64" t="str">
        <f>IFERROR(INDEX(입력!$M$2:$M$500, MATCH($BO403, 입력!$Z$2:$Z$500, 0)) &amp; "", "")</f>
        <v/>
      </c>
      <c r="Z403" s="64" t="str">
        <f>IFERROR(INDEX(입력!$N$2:$N$500, MATCH($BO403, 입력!$Z$2:$Z$500, 0)) &amp; "", "")</f>
        <v/>
      </c>
      <c r="AA403" s="64">
        <f>MAX(0, 표1[[#This Row],[의무_시설]]-표1[[#This Row],[시설합]])</f>
        <v>0</v>
      </c>
      <c r="AB403" s="17" t="str">
        <f t="shared" si="55"/>
        <v>이행완료</v>
      </c>
      <c r="AC403" s="64" t="str">
        <f>IFERROR(INDEX(입력!$P$2:$P$500, MATCH($BO403, 입력!$Z$2:$Z$500, 0)) &amp; "", "")</f>
        <v/>
      </c>
      <c r="AD403" s="64" t="str">
        <f>IFERROR(INDEX(입력!$Q$2:$Q$500, MATCH($BO403, 입력!$Z$2:$Z$500, 0)) &amp; "", "")</f>
        <v/>
      </c>
      <c r="AE403" s="64" t="str">
        <f>IFERROR(INDEX(입력!$R$2:$R$500, MATCH($BO403, 입력!$Z$2:$Z$500, 0)) &amp; "", "")</f>
        <v/>
      </c>
      <c r="AF403" s="64" t="str">
        <f>IFERROR(INDEX(입력!$S$2:$S$500, MATCH($BO403, 입력!$Z$2:$Z$500, 0)) &amp; "", "")</f>
        <v/>
      </c>
      <c r="AG403" s="64" t="str">
        <f>IFERROR(INDEX(입력!$T$2:$T$500, MATCH($BO403, 입력!$Z$2:$Z$500, 0)) &amp; "", "")</f>
        <v/>
      </c>
      <c r="AH403" s="64" t="str">
        <f>IFERROR(INDEX(입력!$U$2:$U$500, MATCH($BO403, 입력!$Z$2:$Z$500, 0)) &amp; "", "")</f>
        <v/>
      </c>
      <c r="AI403" s="64" t="str">
        <f>IFERROR(INDEX(입력!$V$2:$V$500, MATCH($BO403, 입력!$Z$2:$Z$500, 0)) &amp; "", "")</f>
        <v/>
      </c>
      <c r="AJ403" s="44" t="str">
        <f>IFERROR(INDEX(입력!$W$2:$W$500, MATCH($BO403, 입력!$Z$2:$Z$500, 0)) &amp; "", "")</f>
        <v/>
      </c>
      <c r="AK403" s="44" t="str">
        <f>IFERROR(INDEX(입력!$X$2:$X$500, MATCH($BO403, 입력!$Z$2:$Z$500, 0)) &amp; "", "")</f>
        <v/>
      </c>
      <c r="AL403" s="2"/>
      <c r="AM403" s="17" t="s">
        <v>1650</v>
      </c>
      <c r="AN403" s="101">
        <v>2025</v>
      </c>
      <c r="AO403" s="17" t="s">
        <v>3274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3137</v>
      </c>
      <c r="AZ403" s="71" t="str">
        <f>IFERROR(IF(INDEX(입력!$C$2:$C$500, MATCH($BO403, 입력!$Z$2:$Z$500, 0))="", "", TEXT(INDEX(입력!$C$2:$C$500, MATCH($BO403, 입력!$Z$2:$Z$500, 0)), "yyyy-mm-dd")), "")</f>
        <v/>
      </c>
      <c r="BA403" s="44" t="str">
        <f>IFERROR(INDEX(입력!$B$2:$B$500, MATCH($BO403, 입력!$Z$2:$Z$500, 0)) &amp; "", "")</f>
        <v/>
      </c>
      <c r="BB403" s="83" t="str">
        <f>IFERROR(INDEX(입력!$Y$2:$Y$500, MATCH($BO403, 입력!$Z$2:$Z$500, 0)) &amp; "", "")</f>
        <v/>
      </c>
      <c r="BC403" s="83" t="s">
        <v>3112</v>
      </c>
      <c r="BD403" s="83"/>
      <c r="BE403" s="101"/>
      <c r="BF403" s="101"/>
      <c r="BG403" s="101"/>
      <c r="BH403" s="101"/>
      <c r="BI403" s="101"/>
      <c r="BJ403" s="101"/>
      <c r="BK403" s="110"/>
      <c r="BL403" s="21"/>
      <c r="BM403" s="22">
        <v>78</v>
      </c>
      <c r="BN403" s="23"/>
      <c r="BO403" s="47" t="s">
        <v>906</v>
      </c>
    </row>
    <row r="404" spans="1:67" x14ac:dyDescent="0.45">
      <c r="A404" s="46">
        <v>403</v>
      </c>
      <c r="B404" s="1" t="s">
        <v>1647</v>
      </c>
      <c r="C404" s="17" t="str">
        <f t="shared" si="51"/>
        <v>이행완료</v>
      </c>
      <c r="D404" s="17" t="str">
        <f t="shared" si="54"/>
        <v>조사완료</v>
      </c>
      <c r="E404" s="2" t="s">
        <v>2175</v>
      </c>
      <c r="F404" s="1" t="s">
        <v>907</v>
      </c>
      <c r="G404" s="1" t="s">
        <v>2176</v>
      </c>
      <c r="H404" s="18" t="s">
        <v>1566</v>
      </c>
      <c r="I404" s="19">
        <v>91</v>
      </c>
      <c r="J404" s="2"/>
      <c r="K404" s="20">
        <v>35450</v>
      </c>
      <c r="L404" s="20"/>
      <c r="M404" s="17" t="str">
        <f t="shared" si="52"/>
        <v>기축</v>
      </c>
      <c r="N404" s="21"/>
      <c r="O404" s="21" t="s">
        <v>3099</v>
      </c>
      <c r="P404" s="1">
        <f t="shared" si="48"/>
        <v>2</v>
      </c>
      <c r="Q404" s="1">
        <v>5</v>
      </c>
      <c r="R404" s="64" t="str">
        <f>IFERROR(INDEX(입력!$J$2:$J$500, MATCH($BO404, 입력!$Z$2:$Z$500, 0)) &amp; "", "")</f>
        <v>5</v>
      </c>
      <c r="S404" s="64" t="str">
        <f>IFERROR(INDEX(입력!$K$2:$K$500, MATCH($BO404, 입력!$Z$2:$Z$500, 0)) &amp; "", "")</f>
        <v/>
      </c>
      <c r="T404" s="64">
        <f>MAX(0, 표1[[#This Row],[의무_면수]]-표1[[#This Row],[면수합]])</f>
        <v>0</v>
      </c>
      <c r="U404" s="44" t="str">
        <f t="shared" si="49"/>
        <v>이행완료</v>
      </c>
      <c r="V404" s="1">
        <f t="shared" si="53"/>
        <v>2</v>
      </c>
      <c r="W404" s="1" t="str">
        <f t="shared" si="50"/>
        <v/>
      </c>
      <c r="X404" s="1">
        <v>2</v>
      </c>
      <c r="Y404" s="64" t="str">
        <f>IFERROR(INDEX(입력!$M$2:$M$500, MATCH($BO404, 입력!$Z$2:$Z$500, 0)) &amp; "", "")</f>
        <v/>
      </c>
      <c r="Z404" s="64" t="str">
        <f>IFERROR(INDEX(입력!$N$2:$N$500, MATCH($BO404, 입력!$Z$2:$Z$500, 0)) &amp; "", "")</f>
        <v>2</v>
      </c>
      <c r="AA404" s="64">
        <f>MAX(0, 표1[[#This Row],[의무_시설]]-표1[[#This Row],[시설합]])</f>
        <v>0</v>
      </c>
      <c r="AB404" s="17" t="str">
        <f t="shared" si="55"/>
        <v>이행완료</v>
      </c>
      <c r="AC404" s="64" t="str">
        <f>IFERROR(INDEX(입력!$P$2:$P$500, MATCH($BO404, 입력!$Z$2:$Z$500, 0)) &amp; "", "")</f>
        <v>228</v>
      </c>
      <c r="AD404" s="64" t="str">
        <f>IFERROR(INDEX(입력!$Q$2:$Q$500, MATCH($BO404, 입력!$Z$2:$Z$500, 0)) &amp; "", "")</f>
        <v>1</v>
      </c>
      <c r="AE404" s="64" t="str">
        <f>IFERROR(INDEX(입력!$R$2:$R$500, MATCH($BO404, 입력!$Z$2:$Z$500, 0)) &amp; "", "")</f>
        <v>여</v>
      </c>
      <c r="AF404" s="64" t="str">
        <f>IFERROR(INDEX(입력!$S$2:$S$500, MATCH($BO404, 입력!$Z$2:$Z$500, 0)) &amp; "", "")</f>
        <v>부</v>
      </c>
      <c r="AG404" s="64" t="str">
        <f>IFERROR(INDEX(입력!$T$2:$T$500, MATCH($BO404, 입력!$Z$2:$Z$500, 0)) &amp; "", "")</f>
        <v>부</v>
      </c>
      <c r="AH404" s="64" t="str">
        <f>IFERROR(INDEX(입력!$U$2:$U$500, MATCH($BO404, 입력!$Z$2:$Z$500, 0)) &amp; "", "")</f>
        <v/>
      </c>
      <c r="AI404" s="64" t="str">
        <f>IFERROR(INDEX(입력!$V$2:$V$500, MATCH($BO404, 입력!$Z$2:$Z$500, 0)) &amp; "", "")</f>
        <v>여</v>
      </c>
      <c r="AJ404" s="44" t="str">
        <f>IFERROR(INDEX(입력!$W$2:$W$500, MATCH($BO404, 입력!$Z$2:$Z$500, 0)) &amp; "", "")</f>
        <v>김수윤</v>
      </c>
      <c r="AK404" s="44" t="str">
        <f>IFERROR(INDEX(입력!$X$2:$X$500, MATCH($BO404, 입력!$Z$2:$Z$500, 0)) &amp; "", "")</f>
        <v>010-3854-1234</v>
      </c>
      <c r="AL404" s="2" t="s">
        <v>2177</v>
      </c>
      <c r="AM404" s="17" t="s">
        <v>1650</v>
      </c>
      <c r="AN404" s="101">
        <v>2025</v>
      </c>
      <c r="AO404" s="17" t="s">
        <v>3274</v>
      </c>
      <c r="AP404" s="118"/>
      <c r="AQ404" s="21"/>
      <c r="AR404" s="119"/>
      <c r="AS404" s="101" t="s">
        <v>3138</v>
      </c>
      <c r="AT404" s="109">
        <v>46062</v>
      </c>
      <c r="AU404" s="101"/>
      <c r="AV404" s="21" t="s">
        <v>1760</v>
      </c>
      <c r="AW404" s="101"/>
      <c r="AX404" s="119" t="s">
        <v>1787</v>
      </c>
      <c r="AY404" s="83" t="s">
        <v>3131</v>
      </c>
      <c r="AZ404" s="71" t="str">
        <f>IFERROR(IF(INDEX(입력!$C$2:$C$500, MATCH($BO404, 입력!$Z$2:$Z$500, 0))="", "", TEXT(INDEX(입력!$C$2:$C$500, MATCH($BO404, 입력!$Z$2:$Z$500, 0)), "yyyy-mm-dd")), "")</f>
        <v>2026-04-03</v>
      </c>
      <c r="BA404" s="44" t="str">
        <f>IFERROR(INDEX(입력!$B$2:$B$500, MATCH($BO404, 입력!$Z$2:$Z$500, 0)) &amp; "", "")</f>
        <v>최하영</v>
      </c>
      <c r="BB404" s="83" t="str">
        <f>IFERROR(INDEX(입력!$Y$2:$Y$500, MATCH($BO404, 입력!$Z$2:$Z$500, 0)) &amp; "", "")</f>
        <v/>
      </c>
      <c r="BC404" s="83" t="s">
        <v>3112</v>
      </c>
      <c r="BD404" s="83"/>
      <c r="BE404" s="101"/>
      <c r="BF404" s="101"/>
      <c r="BG404" s="101"/>
      <c r="BH404" s="101"/>
      <c r="BI404" s="101"/>
      <c r="BJ404" s="101"/>
      <c r="BK404" s="110"/>
      <c r="BL404" s="21" t="s">
        <v>2410</v>
      </c>
      <c r="BM404" s="22">
        <v>98</v>
      </c>
      <c r="BN404" s="23"/>
      <c r="BO404" s="47" t="s">
        <v>908</v>
      </c>
    </row>
    <row r="405" spans="1:67" x14ac:dyDescent="0.45">
      <c r="A405" s="19">
        <v>404</v>
      </c>
      <c r="B405" s="1" t="s">
        <v>1647</v>
      </c>
      <c r="C405" s="17" t="str">
        <f t="shared" si="51"/>
        <v>이행완료</v>
      </c>
      <c r="D405" s="17" t="str">
        <f t="shared" si="54"/>
        <v/>
      </c>
      <c r="E405" s="2" t="s">
        <v>2178</v>
      </c>
      <c r="F405" s="1" t="s">
        <v>909</v>
      </c>
      <c r="G405" s="1" t="s">
        <v>2179</v>
      </c>
      <c r="H405" s="18" t="s">
        <v>1462</v>
      </c>
      <c r="I405" s="19">
        <v>168</v>
      </c>
      <c r="J405" s="2"/>
      <c r="K405" s="20" t="s">
        <v>2556</v>
      </c>
      <c r="L405" s="20"/>
      <c r="M405" s="17" t="str">
        <f t="shared" si="52"/>
        <v>기축</v>
      </c>
      <c r="N405" s="21"/>
      <c r="O405" s="21"/>
      <c r="P405" s="1">
        <f t="shared" si="48"/>
        <v>3</v>
      </c>
      <c r="Q405" s="1">
        <v>7</v>
      </c>
      <c r="R405" s="64" t="str">
        <f>IFERROR(INDEX(입력!$J$2:$J$500, MATCH($BO405, 입력!$Z$2:$Z$500, 0)) &amp; "", "")</f>
        <v/>
      </c>
      <c r="S405" s="64" t="str">
        <f>IFERROR(INDEX(입력!$K$2:$K$500, MATCH($BO405, 입력!$Z$2:$Z$500, 0)) &amp; "", "")</f>
        <v/>
      </c>
      <c r="T405" s="64">
        <f>MAX(0, 표1[[#This Row],[의무_면수]]-표1[[#This Row],[면수합]])</f>
        <v>0</v>
      </c>
      <c r="U405" s="44" t="str">
        <f t="shared" si="49"/>
        <v>이행완료</v>
      </c>
      <c r="V405" s="1">
        <f t="shared" si="53"/>
        <v>3</v>
      </c>
      <c r="W405" s="1" t="str">
        <f t="shared" si="50"/>
        <v/>
      </c>
      <c r="X405" s="1">
        <v>7</v>
      </c>
      <c r="Y405" s="64" t="str">
        <f>IFERROR(INDEX(입력!$M$2:$M$500, MATCH($BO405, 입력!$Z$2:$Z$500, 0)) &amp; "", "")</f>
        <v/>
      </c>
      <c r="Z405" s="64" t="str">
        <f>IFERROR(INDEX(입력!$N$2:$N$500, MATCH($BO405, 입력!$Z$2:$Z$500, 0)) &amp; "", "")</f>
        <v/>
      </c>
      <c r="AA405" s="64">
        <f>MAX(0, 표1[[#This Row],[의무_시설]]-표1[[#This Row],[시설합]])</f>
        <v>0</v>
      </c>
      <c r="AB405" s="17" t="str">
        <f t="shared" si="55"/>
        <v>이행완료</v>
      </c>
      <c r="AC405" s="64" t="str">
        <f>IFERROR(INDEX(입력!$P$2:$P$500, MATCH($BO405, 입력!$Z$2:$Z$500, 0)) &amp; "", "")</f>
        <v/>
      </c>
      <c r="AD405" s="64" t="str">
        <f>IFERROR(INDEX(입력!$Q$2:$Q$500, MATCH($BO405, 입력!$Z$2:$Z$500, 0)) &amp; "", "")</f>
        <v/>
      </c>
      <c r="AE405" s="64" t="str">
        <f>IFERROR(INDEX(입력!$R$2:$R$500, MATCH($BO405, 입력!$Z$2:$Z$500, 0)) &amp; "", "")</f>
        <v/>
      </c>
      <c r="AF405" s="64" t="str">
        <f>IFERROR(INDEX(입력!$S$2:$S$500, MATCH($BO405, 입력!$Z$2:$Z$500, 0)) &amp; "", "")</f>
        <v/>
      </c>
      <c r="AG405" s="64" t="str">
        <f>IFERROR(INDEX(입력!$T$2:$T$500, MATCH($BO405, 입력!$Z$2:$Z$500, 0)) &amp; "", "")</f>
        <v/>
      </c>
      <c r="AH405" s="64" t="str">
        <f>IFERROR(INDEX(입력!$U$2:$U$500, MATCH($BO405, 입력!$Z$2:$Z$500, 0)) &amp; "", "")</f>
        <v/>
      </c>
      <c r="AI405" s="64" t="str">
        <f>IFERROR(INDEX(입력!$V$2:$V$500, MATCH($BO405, 입력!$Z$2:$Z$500, 0)) &amp; "", "")</f>
        <v/>
      </c>
      <c r="AJ405" s="44" t="str">
        <f>IFERROR(INDEX(입력!$W$2:$W$500, MATCH($BO405, 입력!$Z$2:$Z$500, 0)) &amp; "", "")</f>
        <v/>
      </c>
      <c r="AK405" s="44" t="str">
        <f>IFERROR(INDEX(입력!$X$2:$X$500, MATCH($BO405, 입력!$Z$2:$Z$500, 0)) &amp; "", "")</f>
        <v/>
      </c>
      <c r="AL405" s="2"/>
      <c r="AM405" s="17" t="s">
        <v>1650</v>
      </c>
      <c r="AN405" s="101">
        <v>2025</v>
      </c>
      <c r="AO405" s="17" t="s">
        <v>3275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3132</v>
      </c>
      <c r="AZ405" s="71" t="str">
        <f>IFERROR(IF(INDEX(입력!$C$2:$C$500, MATCH($BO405, 입력!$Z$2:$Z$500, 0))="", "", TEXT(INDEX(입력!$C$2:$C$500, MATCH($BO405, 입력!$Z$2:$Z$500, 0)), "yyyy-mm-dd")), "")</f>
        <v/>
      </c>
      <c r="BA405" s="44" t="str">
        <f>IFERROR(INDEX(입력!$B$2:$B$500, MATCH($BO405, 입력!$Z$2:$Z$500, 0)) &amp; "", "")</f>
        <v/>
      </c>
      <c r="BB405" s="83" t="str">
        <f>IFERROR(INDEX(입력!$Y$2:$Y$500, MATCH($BO405, 입력!$Z$2:$Z$500, 0)) &amp; "", "")</f>
        <v/>
      </c>
      <c r="BC405" s="83" t="s">
        <v>3112</v>
      </c>
      <c r="BD405" s="83"/>
      <c r="BE405" s="101"/>
      <c r="BF405" s="101"/>
      <c r="BG405" s="101"/>
      <c r="BH405" s="101"/>
      <c r="BI405" s="101"/>
      <c r="BJ405" s="101"/>
      <c r="BK405" s="110"/>
      <c r="BL405" s="21"/>
      <c r="BM405" s="22">
        <v>172</v>
      </c>
      <c r="BN405" s="23"/>
      <c r="BO405" s="47" t="s">
        <v>910</v>
      </c>
    </row>
    <row r="406" spans="1:67" x14ac:dyDescent="0.45">
      <c r="A406" s="46">
        <v>405</v>
      </c>
      <c r="B406" s="1" t="s">
        <v>1647</v>
      </c>
      <c r="C406" s="17" t="str">
        <f t="shared" si="51"/>
        <v>이행완료</v>
      </c>
      <c r="D406" s="17" t="str">
        <f t="shared" si="54"/>
        <v/>
      </c>
      <c r="E406" s="2" t="s">
        <v>2180</v>
      </c>
      <c r="F406" s="1" t="s">
        <v>911</v>
      </c>
      <c r="G406" s="1" t="s">
        <v>2181</v>
      </c>
      <c r="H406" s="18" t="s">
        <v>1462</v>
      </c>
      <c r="I406" s="19">
        <v>210</v>
      </c>
      <c r="J406" s="2"/>
      <c r="K406" s="20" t="s">
        <v>2557</v>
      </c>
      <c r="L406" s="20"/>
      <c r="M406" s="17" t="str">
        <f t="shared" si="52"/>
        <v>기축</v>
      </c>
      <c r="N406" s="21"/>
      <c r="O406" s="21"/>
      <c r="P406" s="1">
        <f t="shared" si="48"/>
        <v>4</v>
      </c>
      <c r="Q406" s="1">
        <v>5</v>
      </c>
      <c r="R406" s="64" t="str">
        <f>IFERROR(INDEX(입력!$J$2:$J$500, MATCH($BO406, 입력!$Z$2:$Z$500, 0)) &amp; "", "")</f>
        <v/>
      </c>
      <c r="S406" s="64" t="str">
        <f>IFERROR(INDEX(입력!$K$2:$K$500, MATCH($BO406, 입력!$Z$2:$Z$500, 0)) &amp; "", "")</f>
        <v/>
      </c>
      <c r="T406" s="64">
        <f>MAX(0, 표1[[#This Row],[의무_면수]]-표1[[#This Row],[면수합]])</f>
        <v>0</v>
      </c>
      <c r="U406" s="44" t="str">
        <f t="shared" si="49"/>
        <v>이행완료</v>
      </c>
      <c r="V406" s="1">
        <f t="shared" si="53"/>
        <v>4</v>
      </c>
      <c r="W406" s="1" t="str">
        <f t="shared" si="50"/>
        <v/>
      </c>
      <c r="X406" s="1">
        <v>5</v>
      </c>
      <c r="Y406" s="64" t="str">
        <f>IFERROR(INDEX(입력!$M$2:$M$500, MATCH($BO406, 입력!$Z$2:$Z$500, 0)) &amp; "", "")</f>
        <v/>
      </c>
      <c r="Z406" s="64" t="str">
        <f>IFERROR(INDEX(입력!$N$2:$N$500, MATCH($BO406, 입력!$Z$2:$Z$500, 0)) &amp; "", "")</f>
        <v/>
      </c>
      <c r="AA406" s="64">
        <f>MAX(0, 표1[[#This Row],[의무_시설]]-표1[[#This Row],[시설합]])</f>
        <v>0</v>
      </c>
      <c r="AB406" s="17" t="str">
        <f t="shared" si="55"/>
        <v>이행완료</v>
      </c>
      <c r="AC406" s="64" t="str">
        <f>IFERROR(INDEX(입력!$P$2:$P$500, MATCH($BO406, 입력!$Z$2:$Z$500, 0)) &amp; "", "")</f>
        <v/>
      </c>
      <c r="AD406" s="64" t="str">
        <f>IFERROR(INDEX(입력!$Q$2:$Q$500, MATCH($BO406, 입력!$Z$2:$Z$500, 0)) &amp; "", "")</f>
        <v/>
      </c>
      <c r="AE406" s="64" t="str">
        <f>IFERROR(INDEX(입력!$R$2:$R$500, MATCH($BO406, 입력!$Z$2:$Z$500, 0)) &amp; "", "")</f>
        <v/>
      </c>
      <c r="AF406" s="64" t="str">
        <f>IFERROR(INDEX(입력!$S$2:$S$500, MATCH($BO406, 입력!$Z$2:$Z$500, 0)) &amp; "", "")</f>
        <v/>
      </c>
      <c r="AG406" s="64" t="str">
        <f>IFERROR(INDEX(입력!$T$2:$T$500, MATCH($BO406, 입력!$Z$2:$Z$500, 0)) &amp; "", "")</f>
        <v/>
      </c>
      <c r="AH406" s="64" t="str">
        <f>IFERROR(INDEX(입력!$U$2:$U$500, MATCH($BO406, 입력!$Z$2:$Z$500, 0)) &amp; "", "")</f>
        <v/>
      </c>
      <c r="AI406" s="64" t="str">
        <f>IFERROR(INDEX(입력!$V$2:$V$500, MATCH($BO406, 입력!$Z$2:$Z$500, 0)) &amp; "", "")</f>
        <v/>
      </c>
      <c r="AJ406" s="44" t="str">
        <f>IFERROR(INDEX(입력!$W$2:$W$500, MATCH($BO406, 입력!$Z$2:$Z$500, 0)) &amp; "", "")</f>
        <v/>
      </c>
      <c r="AK406" s="44" t="str">
        <f>IFERROR(INDEX(입력!$X$2:$X$500, MATCH($BO406, 입력!$Z$2:$Z$500, 0)) &amp; "", "")</f>
        <v/>
      </c>
      <c r="AL406" s="2" t="s">
        <v>2182</v>
      </c>
      <c r="AM406" s="17" t="s">
        <v>1650</v>
      </c>
      <c r="AN406" s="101">
        <v>2025</v>
      </c>
      <c r="AO406" s="17" t="s">
        <v>3274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3131</v>
      </c>
      <c r="AZ406" s="71" t="str">
        <f>IFERROR(IF(INDEX(입력!$C$2:$C$500, MATCH($BO406, 입력!$Z$2:$Z$500, 0))="", "", TEXT(INDEX(입력!$C$2:$C$500, MATCH($BO406, 입력!$Z$2:$Z$500, 0)), "yyyy-mm-dd")), "")</f>
        <v/>
      </c>
      <c r="BA406" s="44" t="str">
        <f>IFERROR(INDEX(입력!$B$2:$B$500, MATCH($BO406, 입력!$Z$2:$Z$500, 0)) &amp; "", "")</f>
        <v/>
      </c>
      <c r="BB406" s="83" t="str">
        <f>IFERROR(INDEX(입력!$Y$2:$Y$500, MATCH($BO406, 입력!$Z$2:$Z$500, 0)) &amp; "", "")</f>
        <v/>
      </c>
      <c r="BC406" s="83" t="s">
        <v>3112</v>
      </c>
      <c r="BD406" s="83"/>
      <c r="BE406" s="101"/>
      <c r="BF406" s="101"/>
      <c r="BG406" s="101"/>
      <c r="BH406" s="101"/>
      <c r="BI406" s="101"/>
      <c r="BJ406" s="101"/>
      <c r="BK406" s="110"/>
      <c r="BL406" s="21"/>
      <c r="BM406" s="22">
        <v>204</v>
      </c>
      <c r="BN406" s="23"/>
      <c r="BO406" s="47" t="s">
        <v>912</v>
      </c>
    </row>
    <row r="407" spans="1:67" x14ac:dyDescent="0.45">
      <c r="A407" s="19">
        <v>406</v>
      </c>
      <c r="B407" s="1" t="s">
        <v>1647</v>
      </c>
      <c r="C407" s="17" t="str">
        <f t="shared" si="51"/>
        <v>이행완료</v>
      </c>
      <c r="D407" s="17" t="str">
        <f t="shared" si="54"/>
        <v/>
      </c>
      <c r="E407" s="2" t="s">
        <v>2183</v>
      </c>
      <c r="F407" s="1" t="s">
        <v>913</v>
      </c>
      <c r="G407" s="1" t="s">
        <v>2184</v>
      </c>
      <c r="H407" s="18" t="s">
        <v>1097</v>
      </c>
      <c r="I407" s="19">
        <v>150</v>
      </c>
      <c r="J407" s="2"/>
      <c r="K407" s="20" t="s">
        <v>2558</v>
      </c>
      <c r="L407" s="20"/>
      <c r="M407" s="17" t="str">
        <f t="shared" si="52"/>
        <v>기축</v>
      </c>
      <c r="N407" s="21"/>
      <c r="O407" s="21"/>
      <c r="P407" s="1">
        <f t="shared" si="48"/>
        <v>3</v>
      </c>
      <c r="Q407" s="1">
        <v>3</v>
      </c>
      <c r="R407" s="64" t="str">
        <f>IFERROR(INDEX(입력!$J$2:$J$500, MATCH($BO407, 입력!$Z$2:$Z$500, 0)) &amp; "", "")</f>
        <v/>
      </c>
      <c r="S407" s="64" t="str">
        <f>IFERROR(INDEX(입력!$K$2:$K$500, MATCH($BO407, 입력!$Z$2:$Z$500, 0)) &amp; "", "")</f>
        <v/>
      </c>
      <c r="T407" s="64">
        <f>MAX(0, 표1[[#This Row],[의무_면수]]-표1[[#This Row],[면수합]])</f>
        <v>0</v>
      </c>
      <c r="U407" s="44" t="str">
        <f t="shared" si="49"/>
        <v>이행완료</v>
      </c>
      <c r="V407" s="1">
        <f t="shared" si="53"/>
        <v>3</v>
      </c>
      <c r="W407" s="1" t="str">
        <f t="shared" si="50"/>
        <v/>
      </c>
      <c r="X407" s="1">
        <v>3</v>
      </c>
      <c r="Y407" s="64" t="str">
        <f>IFERROR(INDEX(입력!$M$2:$M$500, MATCH($BO407, 입력!$Z$2:$Z$500, 0)) &amp; "", "")</f>
        <v/>
      </c>
      <c r="Z407" s="64" t="str">
        <f>IFERROR(INDEX(입력!$N$2:$N$500, MATCH($BO407, 입력!$Z$2:$Z$500, 0)) &amp; "", "")</f>
        <v/>
      </c>
      <c r="AA407" s="64">
        <f>MAX(0, 표1[[#This Row],[의무_시설]]-표1[[#This Row],[시설합]])</f>
        <v>0</v>
      </c>
      <c r="AB407" s="17" t="str">
        <f t="shared" si="55"/>
        <v>이행완료</v>
      </c>
      <c r="AC407" s="64" t="str">
        <f>IFERROR(INDEX(입력!$P$2:$P$500, MATCH($BO407, 입력!$Z$2:$Z$500, 0)) &amp; "", "")</f>
        <v/>
      </c>
      <c r="AD407" s="64" t="str">
        <f>IFERROR(INDEX(입력!$Q$2:$Q$500, MATCH($BO407, 입력!$Z$2:$Z$500, 0)) &amp; "", "")</f>
        <v/>
      </c>
      <c r="AE407" s="64" t="str">
        <f>IFERROR(INDEX(입력!$R$2:$R$500, MATCH($BO407, 입력!$Z$2:$Z$500, 0)) &amp; "", "")</f>
        <v/>
      </c>
      <c r="AF407" s="64" t="str">
        <f>IFERROR(INDEX(입력!$S$2:$S$500, MATCH($BO407, 입력!$Z$2:$Z$500, 0)) &amp; "", "")</f>
        <v/>
      </c>
      <c r="AG407" s="64" t="str">
        <f>IFERROR(INDEX(입력!$T$2:$T$500, MATCH($BO407, 입력!$Z$2:$Z$500, 0)) &amp; "", "")</f>
        <v/>
      </c>
      <c r="AH407" s="64" t="str">
        <f>IFERROR(INDEX(입력!$U$2:$U$500, MATCH($BO407, 입력!$Z$2:$Z$500, 0)) &amp; "", "")</f>
        <v/>
      </c>
      <c r="AI407" s="64" t="str">
        <f>IFERROR(INDEX(입력!$V$2:$V$500, MATCH($BO407, 입력!$Z$2:$Z$500, 0)) &amp; "", "")</f>
        <v/>
      </c>
      <c r="AJ407" s="44" t="str">
        <f>IFERROR(INDEX(입력!$W$2:$W$500, MATCH($BO407, 입력!$Z$2:$Z$500, 0)) &amp; "", "")</f>
        <v/>
      </c>
      <c r="AK407" s="44" t="str">
        <f>IFERROR(INDEX(입력!$X$2:$X$500, MATCH($BO407, 입력!$Z$2:$Z$500, 0)) &amp; "", "")</f>
        <v/>
      </c>
      <c r="AL407" s="2"/>
      <c r="AM407" s="17" t="s">
        <v>1650</v>
      </c>
      <c r="AN407" s="101">
        <v>2025</v>
      </c>
      <c r="AO407" s="17" t="s">
        <v>3275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3137</v>
      </c>
      <c r="AZ407" s="71" t="str">
        <f>IFERROR(IF(INDEX(입력!$C$2:$C$500, MATCH($BO407, 입력!$Z$2:$Z$500, 0))="", "", TEXT(INDEX(입력!$C$2:$C$500, MATCH($BO407, 입력!$Z$2:$Z$500, 0)), "yyyy-mm-dd")), "")</f>
        <v/>
      </c>
      <c r="BA407" s="44" t="str">
        <f>IFERROR(INDEX(입력!$B$2:$B$500, MATCH($BO407, 입력!$Z$2:$Z$500, 0)) &amp; "", "")</f>
        <v/>
      </c>
      <c r="BB407" s="83" t="str">
        <f>IFERROR(INDEX(입력!$Y$2:$Y$500, MATCH($BO407, 입력!$Z$2:$Z$500, 0)) &amp; "", "")</f>
        <v/>
      </c>
      <c r="BC407" s="83" t="s">
        <v>3112</v>
      </c>
      <c r="BD407" s="83"/>
      <c r="BE407" s="101"/>
      <c r="BF407" s="101"/>
      <c r="BG407" s="101"/>
      <c r="BH407" s="101"/>
      <c r="BI407" s="101"/>
      <c r="BJ407" s="101"/>
      <c r="BK407" s="110"/>
      <c r="BL407" s="21"/>
      <c r="BM407" s="22">
        <v>150</v>
      </c>
      <c r="BN407" s="23"/>
      <c r="BO407" s="47" t="s">
        <v>914</v>
      </c>
    </row>
    <row r="408" spans="1:67" x14ac:dyDescent="0.45">
      <c r="A408" s="46">
        <v>407</v>
      </c>
      <c r="B408" s="1" t="s">
        <v>1647</v>
      </c>
      <c r="C408" s="17" t="str">
        <f t="shared" si="51"/>
        <v>이행완료</v>
      </c>
      <c r="D408" s="17" t="str">
        <f t="shared" si="54"/>
        <v/>
      </c>
      <c r="E408" s="2" t="s">
        <v>2185</v>
      </c>
      <c r="F408" s="1" t="s">
        <v>2186</v>
      </c>
      <c r="G408" s="1" t="s">
        <v>2187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52"/>
        <v>기축</v>
      </c>
      <c r="N408" s="21"/>
      <c r="O408" s="21"/>
      <c r="P408" s="1">
        <f t="shared" si="48"/>
        <v>3</v>
      </c>
      <c r="Q408" s="1">
        <v>4</v>
      </c>
      <c r="R408" s="64" t="str">
        <f>IFERROR(INDEX(입력!$J$2:$J$500, MATCH($BO408, 입력!$Z$2:$Z$500, 0)) &amp; "", "")</f>
        <v/>
      </c>
      <c r="S408" s="64" t="str">
        <f>IFERROR(INDEX(입력!$K$2:$K$500, MATCH($BO408, 입력!$Z$2:$Z$500, 0)) &amp; "", "")</f>
        <v/>
      </c>
      <c r="T408" s="64">
        <f>MAX(0, 표1[[#This Row],[의무_면수]]-표1[[#This Row],[면수합]])</f>
        <v>0</v>
      </c>
      <c r="U408" s="44" t="str">
        <f t="shared" si="49"/>
        <v>이행완료</v>
      </c>
      <c r="V408" s="1">
        <f t="shared" si="53"/>
        <v>3</v>
      </c>
      <c r="W408" s="1" t="str">
        <f t="shared" si="50"/>
        <v/>
      </c>
      <c r="X408" s="1">
        <v>4</v>
      </c>
      <c r="Y408" s="64" t="str">
        <f>IFERROR(INDEX(입력!$M$2:$M$500, MATCH($BO408, 입력!$Z$2:$Z$500, 0)) &amp; "", "")</f>
        <v/>
      </c>
      <c r="Z408" s="64" t="str">
        <f>IFERROR(INDEX(입력!$N$2:$N$500, MATCH($BO408, 입력!$Z$2:$Z$500, 0)) &amp; "", "")</f>
        <v/>
      </c>
      <c r="AA408" s="64">
        <f>MAX(0, 표1[[#This Row],[의무_시설]]-표1[[#This Row],[시설합]])</f>
        <v>0</v>
      </c>
      <c r="AB408" s="17" t="str">
        <f t="shared" si="55"/>
        <v>이행완료</v>
      </c>
      <c r="AC408" s="64" t="str">
        <f>IFERROR(INDEX(입력!$P$2:$P$500, MATCH($BO408, 입력!$Z$2:$Z$500, 0)) &amp; "", "")</f>
        <v/>
      </c>
      <c r="AD408" s="64" t="str">
        <f>IFERROR(INDEX(입력!$Q$2:$Q$500, MATCH($BO408, 입력!$Z$2:$Z$500, 0)) &amp; "", "")</f>
        <v/>
      </c>
      <c r="AE408" s="64" t="str">
        <f>IFERROR(INDEX(입력!$R$2:$R$500, MATCH($BO408, 입력!$Z$2:$Z$500, 0)) &amp; "", "")</f>
        <v/>
      </c>
      <c r="AF408" s="64" t="str">
        <f>IFERROR(INDEX(입력!$S$2:$S$500, MATCH($BO408, 입력!$Z$2:$Z$500, 0)) &amp; "", "")</f>
        <v/>
      </c>
      <c r="AG408" s="64" t="str">
        <f>IFERROR(INDEX(입력!$T$2:$T$500, MATCH($BO408, 입력!$Z$2:$Z$500, 0)) &amp; "", "")</f>
        <v/>
      </c>
      <c r="AH408" s="64" t="str">
        <f>IFERROR(INDEX(입력!$U$2:$U$500, MATCH($BO408, 입력!$Z$2:$Z$500, 0)) &amp; "", "")</f>
        <v/>
      </c>
      <c r="AI408" s="64" t="str">
        <f>IFERROR(INDEX(입력!$V$2:$V$500, MATCH($BO408, 입력!$Z$2:$Z$500, 0)) &amp; "", "")</f>
        <v/>
      </c>
      <c r="AJ408" s="44" t="str">
        <f>IFERROR(INDEX(입력!$W$2:$W$500, MATCH($BO408, 입력!$Z$2:$Z$500, 0)) &amp; "", "")</f>
        <v/>
      </c>
      <c r="AK408" s="44" t="str">
        <f>IFERROR(INDEX(입력!$X$2:$X$500, MATCH($BO408, 입력!$Z$2:$Z$500, 0)) &amp; "", "")</f>
        <v/>
      </c>
      <c r="AL408" s="2"/>
      <c r="AM408" s="17" t="s">
        <v>1650</v>
      </c>
      <c r="AN408" s="101">
        <v>2025</v>
      </c>
      <c r="AO408" s="17" t="s">
        <v>3277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3137</v>
      </c>
      <c r="AZ408" s="71" t="str">
        <f>IFERROR(IF(INDEX(입력!$C$2:$C$500, MATCH($BO408, 입력!$Z$2:$Z$500, 0))="", "", TEXT(INDEX(입력!$C$2:$C$500, MATCH($BO408, 입력!$Z$2:$Z$500, 0)), "yyyy-mm-dd")), "")</f>
        <v/>
      </c>
      <c r="BA408" s="44" t="str">
        <f>IFERROR(INDEX(입력!$B$2:$B$500, MATCH($BO408, 입력!$Z$2:$Z$500, 0)) &amp; "", "")</f>
        <v/>
      </c>
      <c r="BB408" s="83" t="str">
        <f>IFERROR(INDEX(입력!$Y$2:$Y$500, MATCH($BO408, 입력!$Z$2:$Z$500, 0)) &amp; "", "")</f>
        <v/>
      </c>
      <c r="BC408" s="83" t="s">
        <v>3112</v>
      </c>
      <c r="BD408" s="83"/>
      <c r="BE408" s="101"/>
      <c r="BF408" s="101"/>
      <c r="BG408" s="101"/>
      <c r="BH408" s="101"/>
      <c r="BI408" s="101"/>
      <c r="BJ408" s="101"/>
      <c r="BK408" s="110"/>
      <c r="BL408" s="21"/>
      <c r="BM408" s="22">
        <v>157</v>
      </c>
      <c r="BN408" s="23"/>
      <c r="BO408" s="47" t="s">
        <v>915</v>
      </c>
    </row>
    <row r="409" spans="1:67" x14ac:dyDescent="0.45">
      <c r="A409" s="19">
        <v>408</v>
      </c>
      <c r="B409" s="1" t="s">
        <v>1647</v>
      </c>
      <c r="C409" s="17" t="str">
        <f t="shared" si="51"/>
        <v>이행완료</v>
      </c>
      <c r="D409" s="17" t="str">
        <f t="shared" si="54"/>
        <v>조사완료</v>
      </c>
      <c r="E409" s="2" t="s">
        <v>25</v>
      </c>
      <c r="F409" s="1" t="s">
        <v>916</v>
      </c>
      <c r="G409" s="1" t="s">
        <v>2188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52"/>
        <v>기축</v>
      </c>
      <c r="N409" s="21"/>
      <c r="O409" s="21"/>
      <c r="P409" s="1">
        <f t="shared" si="48"/>
        <v>2</v>
      </c>
      <c r="Q409" s="1">
        <v>4</v>
      </c>
      <c r="R409" s="64" t="str">
        <f>IFERROR(INDEX(입력!$J$2:$J$500, MATCH($BO409, 입력!$Z$2:$Z$500, 0)) &amp; "", "")</f>
        <v>4</v>
      </c>
      <c r="S409" s="64" t="str">
        <f>IFERROR(INDEX(입력!$K$2:$K$500, MATCH($BO409, 입력!$Z$2:$Z$500, 0)) &amp; "", "")</f>
        <v/>
      </c>
      <c r="T409" s="64">
        <f>MAX(0, 표1[[#This Row],[의무_면수]]-표1[[#This Row],[면수합]])</f>
        <v>0</v>
      </c>
      <c r="U409" s="44" t="str">
        <f t="shared" si="49"/>
        <v>이행완료</v>
      </c>
      <c r="V409" s="1">
        <f t="shared" si="53"/>
        <v>2</v>
      </c>
      <c r="W409" s="1" t="str">
        <f t="shared" si="50"/>
        <v/>
      </c>
      <c r="X409" s="1">
        <v>4</v>
      </c>
      <c r="Y409" s="64" t="str">
        <f>IFERROR(INDEX(입력!$M$2:$M$500, MATCH($BO409, 입력!$Z$2:$Z$500, 0)) &amp; "", "")</f>
        <v/>
      </c>
      <c r="Z409" s="64" t="str">
        <f>IFERROR(INDEX(입력!$N$2:$N$500, MATCH($BO409, 입력!$Z$2:$Z$500, 0)) &amp; "", "")</f>
        <v>4</v>
      </c>
      <c r="AA409" s="64">
        <f>MAX(0, 표1[[#This Row],[의무_시설]]-표1[[#This Row],[시설합]])</f>
        <v>0</v>
      </c>
      <c r="AB409" s="17" t="str">
        <f t="shared" si="55"/>
        <v>이행완료</v>
      </c>
      <c r="AC409" s="64" t="str">
        <f>IFERROR(INDEX(입력!$P$2:$P$500, MATCH($BO409, 입력!$Z$2:$Z$500, 0)) &amp; "", "")</f>
        <v>107</v>
      </c>
      <c r="AD409" s="64" t="str">
        <f>IFERROR(INDEX(입력!$Q$2:$Q$500, MATCH($BO409, 입력!$Z$2:$Z$500, 0)) &amp; "", "")</f>
        <v>4</v>
      </c>
      <c r="AE409" s="64" t="str">
        <f>IFERROR(INDEX(입력!$R$2:$R$500, MATCH($BO409, 입력!$Z$2:$Z$500, 0)) &amp; "", "")</f>
        <v>여</v>
      </c>
      <c r="AF409" s="64" t="str">
        <f>IFERROR(INDEX(입력!$S$2:$S$500, MATCH($BO409, 입력!$Z$2:$Z$500, 0)) &amp; "", "")</f>
        <v>여</v>
      </c>
      <c r="AG409" s="64" t="str">
        <f>IFERROR(INDEX(입력!$T$2:$T$500, MATCH($BO409, 입력!$Z$2:$Z$500, 0)) &amp; "", "")</f>
        <v>여</v>
      </c>
      <c r="AH409" s="64" t="str">
        <f>IFERROR(INDEX(입력!$U$2:$U$500, MATCH($BO409, 입력!$Z$2:$Z$500, 0)) &amp; "", "")</f>
        <v>2</v>
      </c>
      <c r="AI409" s="64" t="str">
        <f>IFERROR(INDEX(입력!$V$2:$V$500, MATCH($BO409, 입력!$Z$2:$Z$500, 0)) &amp; "", "")</f>
        <v>여</v>
      </c>
      <c r="AJ409" s="44" t="str">
        <f>IFERROR(INDEX(입력!$W$2:$W$500, MATCH($BO409, 입력!$Z$2:$Z$500, 0)) &amp; "", "")</f>
        <v>정광호</v>
      </c>
      <c r="AK409" s="44" t="str">
        <f>IFERROR(INDEX(입력!$X$2:$X$500, MATCH($BO409, 입력!$Z$2:$Z$500, 0)) &amp; "", "")</f>
        <v>010-8921-5676</v>
      </c>
      <c r="AL409" s="2" t="s">
        <v>2189</v>
      </c>
      <c r="AM409" s="17" t="s">
        <v>1650</v>
      </c>
      <c r="AN409" s="101">
        <v>2025</v>
      </c>
      <c r="AO409" s="17" t="s">
        <v>3275</v>
      </c>
      <c r="AP409" s="118"/>
      <c r="AQ409" s="21"/>
      <c r="AR409" s="119"/>
      <c r="AS409" s="101"/>
      <c r="AT409" s="109">
        <v>46034</v>
      </c>
      <c r="AU409" s="101" t="s">
        <v>3141</v>
      </c>
      <c r="AV409" s="21" t="s">
        <v>2190</v>
      </c>
      <c r="AW409" s="101"/>
      <c r="AX409" s="119" t="s">
        <v>2191</v>
      </c>
      <c r="AY409" s="83" t="s">
        <v>3137</v>
      </c>
      <c r="AZ409" s="71" t="str">
        <f>IFERROR(IF(INDEX(입력!$C$2:$C$500, MATCH($BO409, 입력!$Z$2:$Z$500, 0))="", "", TEXT(INDEX(입력!$C$2:$C$500, MATCH($BO409, 입력!$Z$2:$Z$500, 0)), "yyyy-mm-dd")), "")</f>
        <v>2026-04-06</v>
      </c>
      <c r="BA409" s="44" t="str">
        <f>IFERROR(INDEX(입력!$B$2:$B$500, MATCH($BO409, 입력!$Z$2:$Z$500, 0)) &amp; "", "")</f>
        <v>최하영</v>
      </c>
      <c r="BB409" s="83" t="str">
        <f>IFERROR(INDEX(입력!$Y$2:$Y$500, MATCH($BO409, 입력!$Z$2:$Z$500, 0)) &amp; "", "")</f>
        <v/>
      </c>
      <c r="BC409" s="83" t="s">
        <v>3112</v>
      </c>
      <c r="BD409" s="83"/>
      <c r="BE409" s="101"/>
      <c r="BF409" s="101"/>
      <c r="BG409" s="101"/>
      <c r="BH409" s="101"/>
      <c r="BI409" s="101"/>
      <c r="BJ409" s="101"/>
      <c r="BK409" s="110"/>
      <c r="BL409" s="21"/>
      <c r="BM409" s="22">
        <v>76</v>
      </c>
      <c r="BN409" s="23"/>
      <c r="BO409" s="47" t="s">
        <v>917</v>
      </c>
    </row>
    <row r="410" spans="1:67" x14ac:dyDescent="0.45">
      <c r="A410" s="46">
        <v>409</v>
      </c>
      <c r="B410" s="1" t="s">
        <v>1647</v>
      </c>
      <c r="C410" s="17" t="str">
        <f t="shared" si="51"/>
        <v>이행완료</v>
      </c>
      <c r="D410" s="17" t="str">
        <f t="shared" si="54"/>
        <v/>
      </c>
      <c r="E410" s="2" t="s">
        <v>2192</v>
      </c>
      <c r="F410" s="1" t="s">
        <v>2572</v>
      </c>
      <c r="G410" s="1" t="s">
        <v>2193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52"/>
        <v>기축</v>
      </c>
      <c r="N410" s="21"/>
      <c r="O410" s="21"/>
      <c r="P410" s="1">
        <f t="shared" si="48"/>
        <v>3</v>
      </c>
      <c r="Q410" s="1">
        <v>3</v>
      </c>
      <c r="R410" s="64" t="str">
        <f>IFERROR(INDEX(입력!$J$2:$J$500, MATCH($BO410, 입력!$Z$2:$Z$500, 0)) &amp; "", "")</f>
        <v/>
      </c>
      <c r="S410" s="64" t="str">
        <f>IFERROR(INDEX(입력!$K$2:$K$500, MATCH($BO410, 입력!$Z$2:$Z$500, 0)) &amp; "", "")</f>
        <v/>
      </c>
      <c r="T410" s="64">
        <f>MAX(0, 표1[[#This Row],[의무_면수]]-표1[[#This Row],[면수합]])</f>
        <v>0</v>
      </c>
      <c r="U410" s="44" t="str">
        <f t="shared" si="49"/>
        <v>이행완료</v>
      </c>
      <c r="V410" s="1">
        <f t="shared" si="53"/>
        <v>3</v>
      </c>
      <c r="W410" s="1" t="str">
        <f t="shared" si="50"/>
        <v/>
      </c>
      <c r="X410" s="1">
        <v>3</v>
      </c>
      <c r="Y410" s="64" t="str">
        <f>IFERROR(INDEX(입력!$M$2:$M$500, MATCH($BO410, 입력!$Z$2:$Z$500, 0)) &amp; "", "")</f>
        <v/>
      </c>
      <c r="Z410" s="64" t="str">
        <f>IFERROR(INDEX(입력!$N$2:$N$500, MATCH($BO410, 입력!$Z$2:$Z$500, 0)) &amp; "", "")</f>
        <v/>
      </c>
      <c r="AA410" s="64">
        <f>MAX(0, 표1[[#This Row],[의무_시설]]-표1[[#This Row],[시설합]])</f>
        <v>0</v>
      </c>
      <c r="AB410" s="17" t="str">
        <f t="shared" si="55"/>
        <v>이행완료</v>
      </c>
      <c r="AC410" s="64" t="str">
        <f>IFERROR(INDEX(입력!$P$2:$P$500, MATCH($BO410, 입력!$Z$2:$Z$500, 0)) &amp; "", "")</f>
        <v/>
      </c>
      <c r="AD410" s="64" t="str">
        <f>IFERROR(INDEX(입력!$Q$2:$Q$500, MATCH($BO410, 입력!$Z$2:$Z$500, 0)) &amp; "", "")</f>
        <v/>
      </c>
      <c r="AE410" s="64" t="str">
        <f>IFERROR(INDEX(입력!$R$2:$R$500, MATCH($BO410, 입력!$Z$2:$Z$500, 0)) &amp; "", "")</f>
        <v/>
      </c>
      <c r="AF410" s="64" t="str">
        <f>IFERROR(INDEX(입력!$S$2:$S$500, MATCH($BO410, 입력!$Z$2:$Z$500, 0)) &amp; "", "")</f>
        <v/>
      </c>
      <c r="AG410" s="64" t="str">
        <f>IFERROR(INDEX(입력!$T$2:$T$500, MATCH($BO410, 입력!$Z$2:$Z$500, 0)) &amp; "", "")</f>
        <v/>
      </c>
      <c r="AH410" s="64" t="str">
        <f>IFERROR(INDEX(입력!$U$2:$U$500, MATCH($BO410, 입력!$Z$2:$Z$500, 0)) &amp; "", "")</f>
        <v/>
      </c>
      <c r="AI410" s="64" t="str">
        <f>IFERROR(INDEX(입력!$V$2:$V$500, MATCH($BO410, 입력!$Z$2:$Z$500, 0)) &amp; "", "")</f>
        <v/>
      </c>
      <c r="AJ410" s="44" t="str">
        <f>IFERROR(INDEX(입력!$W$2:$W$500, MATCH($BO410, 입력!$Z$2:$Z$500, 0)) &amp; "", "")</f>
        <v/>
      </c>
      <c r="AK410" s="44" t="str">
        <f>IFERROR(INDEX(입력!$X$2:$X$500, MATCH($BO410, 입력!$Z$2:$Z$500, 0)) &amp; "", "")</f>
        <v/>
      </c>
      <c r="AL410" s="2" t="s">
        <v>2194</v>
      </c>
      <c r="AM410" s="17" t="s">
        <v>1650</v>
      </c>
      <c r="AN410" s="101">
        <v>2025</v>
      </c>
      <c r="AO410" s="17" t="s">
        <v>3275</v>
      </c>
      <c r="AP410" s="118"/>
      <c r="AQ410" s="21"/>
      <c r="AR410" s="119"/>
      <c r="AS410" s="101"/>
      <c r="AT410" s="109">
        <v>46034</v>
      </c>
      <c r="AU410" s="101" t="s">
        <v>3126</v>
      </c>
      <c r="AV410" s="21" t="s">
        <v>1927</v>
      </c>
      <c r="AW410" s="101"/>
      <c r="AX410" s="119" t="s">
        <v>2195</v>
      </c>
      <c r="AY410" s="83" t="s">
        <v>3137</v>
      </c>
      <c r="AZ410" s="71" t="str">
        <f>IFERROR(IF(INDEX(입력!$C$2:$C$500, MATCH($BO410, 입력!$Z$2:$Z$500, 0))="", "", TEXT(INDEX(입력!$C$2:$C$500, MATCH($BO410, 입력!$Z$2:$Z$500, 0)), "yyyy-mm-dd")), "")</f>
        <v/>
      </c>
      <c r="BA410" s="44" t="str">
        <f>IFERROR(INDEX(입력!$B$2:$B$500, MATCH($BO410, 입력!$Z$2:$Z$500, 0)) &amp; "", "")</f>
        <v/>
      </c>
      <c r="BB410" s="83" t="str">
        <f>IFERROR(INDEX(입력!$Y$2:$Y$500, MATCH($BO410, 입력!$Z$2:$Z$500, 0)) &amp; "", "")</f>
        <v/>
      </c>
      <c r="BC410" s="83" t="s">
        <v>3112</v>
      </c>
      <c r="BD410" s="83"/>
      <c r="BE410" s="101"/>
      <c r="BF410" s="101"/>
      <c r="BG410" s="101"/>
      <c r="BH410" s="101"/>
      <c r="BI410" s="101"/>
      <c r="BJ410" s="101"/>
      <c r="BK410" s="110"/>
      <c r="BL410" s="21"/>
      <c r="BM410" s="22">
        <v>192</v>
      </c>
      <c r="BN410" s="23"/>
      <c r="BO410" s="47" t="s">
        <v>918</v>
      </c>
    </row>
    <row r="411" spans="1:67" x14ac:dyDescent="0.45">
      <c r="A411" s="19">
        <v>410</v>
      </c>
      <c r="B411" s="1" t="s">
        <v>1647</v>
      </c>
      <c r="C411" s="17" t="str">
        <f t="shared" si="51"/>
        <v>이행완료</v>
      </c>
      <c r="D411" s="17" t="str">
        <f t="shared" si="54"/>
        <v/>
      </c>
      <c r="E411" s="2" t="s">
        <v>2196</v>
      </c>
      <c r="F411" s="1" t="s">
        <v>919</v>
      </c>
      <c r="G411" s="1" t="s">
        <v>2197</v>
      </c>
      <c r="H411" s="18" t="s">
        <v>1097</v>
      </c>
      <c r="I411" s="19">
        <v>140</v>
      </c>
      <c r="J411" s="2"/>
      <c r="K411" s="20" t="s">
        <v>2559</v>
      </c>
      <c r="L411" s="20"/>
      <c r="M411" s="17" t="str">
        <f t="shared" si="52"/>
        <v>기축</v>
      </c>
      <c r="N411" s="21"/>
      <c r="O411" s="21"/>
      <c r="P411" s="1">
        <f t="shared" si="48"/>
        <v>3</v>
      </c>
      <c r="Q411" s="1">
        <v>3</v>
      </c>
      <c r="R411" s="64" t="str">
        <f>IFERROR(INDEX(입력!$J$2:$J$500, MATCH($BO411, 입력!$Z$2:$Z$500, 0)) &amp; "", "")</f>
        <v/>
      </c>
      <c r="S411" s="64" t="str">
        <f>IFERROR(INDEX(입력!$K$2:$K$500, MATCH($BO411, 입력!$Z$2:$Z$500, 0)) &amp; "", "")</f>
        <v/>
      </c>
      <c r="T411" s="64">
        <f>MAX(0, 표1[[#This Row],[의무_면수]]-표1[[#This Row],[면수합]])</f>
        <v>0</v>
      </c>
      <c r="U411" s="44" t="str">
        <f t="shared" si="49"/>
        <v>이행완료</v>
      </c>
      <c r="V411" s="1">
        <f t="shared" si="53"/>
        <v>3</v>
      </c>
      <c r="W411" s="1" t="str">
        <f t="shared" si="50"/>
        <v/>
      </c>
      <c r="X411" s="1">
        <v>3</v>
      </c>
      <c r="Y411" s="64" t="str">
        <f>IFERROR(INDEX(입력!$M$2:$M$500, MATCH($BO411, 입력!$Z$2:$Z$500, 0)) &amp; "", "")</f>
        <v/>
      </c>
      <c r="Z411" s="64" t="str">
        <f>IFERROR(INDEX(입력!$N$2:$N$500, MATCH($BO411, 입력!$Z$2:$Z$500, 0)) &amp; "", "")</f>
        <v/>
      </c>
      <c r="AA411" s="64">
        <f>MAX(0, 표1[[#This Row],[의무_시설]]-표1[[#This Row],[시설합]])</f>
        <v>0</v>
      </c>
      <c r="AB411" s="17" t="str">
        <f t="shared" si="55"/>
        <v>이행완료</v>
      </c>
      <c r="AC411" s="64" t="str">
        <f>IFERROR(INDEX(입력!$P$2:$P$500, MATCH($BO411, 입력!$Z$2:$Z$500, 0)) &amp; "", "")</f>
        <v/>
      </c>
      <c r="AD411" s="64" t="str">
        <f>IFERROR(INDEX(입력!$Q$2:$Q$500, MATCH($BO411, 입력!$Z$2:$Z$500, 0)) &amp; "", "")</f>
        <v/>
      </c>
      <c r="AE411" s="64" t="str">
        <f>IFERROR(INDEX(입력!$R$2:$R$500, MATCH($BO411, 입력!$Z$2:$Z$500, 0)) &amp; "", "")</f>
        <v/>
      </c>
      <c r="AF411" s="64" t="str">
        <f>IFERROR(INDEX(입력!$S$2:$S$500, MATCH($BO411, 입력!$Z$2:$Z$500, 0)) &amp; "", "")</f>
        <v/>
      </c>
      <c r="AG411" s="64" t="str">
        <f>IFERROR(INDEX(입력!$T$2:$T$500, MATCH($BO411, 입력!$Z$2:$Z$500, 0)) &amp; "", "")</f>
        <v/>
      </c>
      <c r="AH411" s="64" t="str">
        <f>IFERROR(INDEX(입력!$U$2:$U$500, MATCH($BO411, 입력!$Z$2:$Z$500, 0)) &amp; "", "")</f>
        <v/>
      </c>
      <c r="AI411" s="64" t="str">
        <f>IFERROR(INDEX(입력!$V$2:$V$500, MATCH($BO411, 입력!$Z$2:$Z$500, 0)) &amp; "", "")</f>
        <v/>
      </c>
      <c r="AJ411" s="44" t="str">
        <f>IFERROR(INDEX(입력!$W$2:$W$500, MATCH($BO411, 입력!$Z$2:$Z$500, 0)) &amp; "", "")</f>
        <v/>
      </c>
      <c r="AK411" s="44" t="str">
        <f>IFERROR(INDEX(입력!$X$2:$X$500, MATCH($BO411, 입력!$Z$2:$Z$500, 0)) &amp; "", "")</f>
        <v/>
      </c>
      <c r="AL411" s="2"/>
      <c r="AM411" s="17" t="s">
        <v>1650</v>
      </c>
      <c r="AN411" s="101">
        <v>2025</v>
      </c>
      <c r="AO411" s="17" t="s">
        <v>3275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3137</v>
      </c>
      <c r="AZ411" s="71" t="str">
        <f>IFERROR(IF(INDEX(입력!$C$2:$C$500, MATCH($BO411, 입력!$Z$2:$Z$500, 0))="", "", TEXT(INDEX(입력!$C$2:$C$500, MATCH($BO411, 입력!$Z$2:$Z$500, 0)), "yyyy-mm-dd")), "")</f>
        <v/>
      </c>
      <c r="BA411" s="44" t="str">
        <f>IFERROR(INDEX(입력!$B$2:$B$500, MATCH($BO411, 입력!$Z$2:$Z$500, 0)) &amp; "", "")</f>
        <v/>
      </c>
      <c r="BB411" s="83" t="str">
        <f>IFERROR(INDEX(입력!$Y$2:$Y$500, MATCH($BO411, 입력!$Z$2:$Z$500, 0)) &amp; "", "")</f>
        <v/>
      </c>
      <c r="BC411" s="83" t="s">
        <v>3112</v>
      </c>
      <c r="BD411" s="83"/>
      <c r="BE411" s="101"/>
      <c r="BF411" s="101"/>
      <c r="BG411" s="101"/>
      <c r="BH411" s="101"/>
      <c r="BI411" s="101"/>
      <c r="BJ411" s="101"/>
      <c r="BK411" s="110"/>
      <c r="BL411" s="21"/>
      <c r="BM411" s="22">
        <v>140</v>
      </c>
      <c r="BN411" s="23"/>
      <c r="BO411" s="47" t="s">
        <v>920</v>
      </c>
    </row>
    <row r="412" spans="1:67" x14ac:dyDescent="0.45">
      <c r="A412" s="46">
        <v>411</v>
      </c>
      <c r="B412" s="1" t="s">
        <v>1647</v>
      </c>
      <c r="C412" s="17" t="str">
        <f t="shared" si="51"/>
        <v>이행완료</v>
      </c>
      <c r="D412" s="17" t="str">
        <f t="shared" si="54"/>
        <v/>
      </c>
      <c r="E412" s="2" t="s">
        <v>2198</v>
      </c>
      <c r="F412" s="1" t="s">
        <v>921</v>
      </c>
      <c r="G412" s="1" t="s">
        <v>2199</v>
      </c>
      <c r="H412" s="18" t="s">
        <v>1097</v>
      </c>
      <c r="I412" s="19">
        <v>88</v>
      </c>
      <c r="J412" s="2"/>
      <c r="K412" s="20" t="s">
        <v>2560</v>
      </c>
      <c r="L412" s="20"/>
      <c r="M412" s="17" t="str">
        <f t="shared" si="52"/>
        <v>기축</v>
      </c>
      <c r="N412" s="21"/>
      <c r="O412" s="21"/>
      <c r="P412" s="1">
        <f t="shared" si="48"/>
        <v>2</v>
      </c>
      <c r="Q412" s="1">
        <v>5</v>
      </c>
      <c r="R412" s="64" t="str">
        <f>IFERROR(INDEX(입력!$J$2:$J$500, MATCH($BO412, 입력!$Z$2:$Z$500, 0)) &amp; "", "")</f>
        <v/>
      </c>
      <c r="S412" s="64" t="str">
        <f>IFERROR(INDEX(입력!$K$2:$K$500, MATCH($BO412, 입력!$Z$2:$Z$500, 0)) &amp; "", "")</f>
        <v/>
      </c>
      <c r="T412" s="64">
        <f>MAX(0, 표1[[#This Row],[의무_면수]]-표1[[#This Row],[면수합]])</f>
        <v>0</v>
      </c>
      <c r="U412" s="44" t="str">
        <f t="shared" si="49"/>
        <v>이행완료</v>
      </c>
      <c r="V412" s="1">
        <f t="shared" si="53"/>
        <v>2</v>
      </c>
      <c r="W412" s="1" t="str">
        <f t="shared" si="50"/>
        <v/>
      </c>
      <c r="X412" s="1">
        <v>5</v>
      </c>
      <c r="Y412" s="64" t="str">
        <f>IFERROR(INDEX(입력!$M$2:$M$500, MATCH($BO412, 입력!$Z$2:$Z$500, 0)) &amp; "", "")</f>
        <v/>
      </c>
      <c r="Z412" s="64" t="str">
        <f>IFERROR(INDEX(입력!$N$2:$N$500, MATCH($BO412, 입력!$Z$2:$Z$500, 0)) &amp; "", "")</f>
        <v/>
      </c>
      <c r="AA412" s="64">
        <f>MAX(0, 표1[[#This Row],[의무_시설]]-표1[[#This Row],[시설합]])</f>
        <v>0</v>
      </c>
      <c r="AB412" s="17" t="str">
        <f t="shared" si="55"/>
        <v>이행완료</v>
      </c>
      <c r="AC412" s="64" t="str">
        <f>IFERROR(INDEX(입력!$P$2:$P$500, MATCH($BO412, 입력!$Z$2:$Z$500, 0)) &amp; "", "")</f>
        <v/>
      </c>
      <c r="AD412" s="64" t="str">
        <f>IFERROR(INDEX(입력!$Q$2:$Q$500, MATCH($BO412, 입력!$Z$2:$Z$500, 0)) &amp; "", "")</f>
        <v/>
      </c>
      <c r="AE412" s="64" t="str">
        <f>IFERROR(INDEX(입력!$R$2:$R$500, MATCH($BO412, 입력!$Z$2:$Z$500, 0)) &amp; "", "")</f>
        <v/>
      </c>
      <c r="AF412" s="64" t="str">
        <f>IFERROR(INDEX(입력!$S$2:$S$500, MATCH($BO412, 입력!$Z$2:$Z$500, 0)) &amp; "", "")</f>
        <v/>
      </c>
      <c r="AG412" s="64" t="str">
        <f>IFERROR(INDEX(입력!$T$2:$T$500, MATCH($BO412, 입력!$Z$2:$Z$500, 0)) &amp; "", "")</f>
        <v/>
      </c>
      <c r="AH412" s="64" t="str">
        <f>IFERROR(INDEX(입력!$U$2:$U$500, MATCH($BO412, 입력!$Z$2:$Z$500, 0)) &amp; "", "")</f>
        <v/>
      </c>
      <c r="AI412" s="64" t="str">
        <f>IFERROR(INDEX(입력!$V$2:$V$500, MATCH($BO412, 입력!$Z$2:$Z$500, 0)) &amp; "", "")</f>
        <v/>
      </c>
      <c r="AJ412" s="44" t="str">
        <f>IFERROR(INDEX(입력!$W$2:$W$500, MATCH($BO412, 입력!$Z$2:$Z$500, 0)) &amp; "", "")</f>
        <v/>
      </c>
      <c r="AK412" s="44" t="str">
        <f>IFERROR(INDEX(입력!$X$2:$X$500, MATCH($BO412, 입력!$Z$2:$Z$500, 0)) &amp; "", "")</f>
        <v/>
      </c>
      <c r="AL412" s="2" t="s">
        <v>2200</v>
      </c>
      <c r="AM412" s="17" t="s">
        <v>1650</v>
      </c>
      <c r="AN412" s="101">
        <v>2025</v>
      </c>
      <c r="AO412" s="17" t="s">
        <v>3274</v>
      </c>
      <c r="AP412" s="118"/>
      <c r="AQ412" s="21"/>
      <c r="AR412" s="119"/>
      <c r="AS412" s="17" t="s">
        <v>1943</v>
      </c>
      <c r="AT412" s="101"/>
      <c r="AU412" s="101"/>
      <c r="AV412" s="119" t="s">
        <v>2201</v>
      </c>
      <c r="AW412" s="101"/>
      <c r="AX412" s="119"/>
      <c r="AY412" s="83" t="s">
        <v>3137</v>
      </c>
      <c r="AZ412" s="71" t="str">
        <f>IFERROR(IF(INDEX(입력!$C$2:$C$500, MATCH($BO412, 입력!$Z$2:$Z$500, 0))="", "", TEXT(INDEX(입력!$C$2:$C$500, MATCH($BO412, 입력!$Z$2:$Z$500, 0)), "yyyy-mm-dd")), "")</f>
        <v/>
      </c>
      <c r="BA412" s="44" t="str">
        <f>IFERROR(INDEX(입력!$B$2:$B$500, MATCH($BO412, 입력!$Z$2:$Z$500, 0)) &amp; "", "")</f>
        <v/>
      </c>
      <c r="BB412" s="83" t="str">
        <f>IFERROR(INDEX(입력!$Y$2:$Y$500, MATCH($BO412, 입력!$Z$2:$Z$500, 0)) &amp; "", "")</f>
        <v/>
      </c>
      <c r="BC412" s="83" t="s">
        <v>3112</v>
      </c>
      <c r="BD412" s="83"/>
      <c r="BE412" s="101"/>
      <c r="BF412" s="101"/>
      <c r="BG412" s="101"/>
      <c r="BH412" s="101"/>
      <c r="BI412" s="101"/>
      <c r="BJ412" s="101"/>
      <c r="BK412" s="110"/>
      <c r="BL412" s="21"/>
      <c r="BM412" s="22">
        <v>90</v>
      </c>
      <c r="BN412" s="23"/>
      <c r="BO412" s="47" t="s">
        <v>922</v>
      </c>
    </row>
    <row r="413" spans="1:67" x14ac:dyDescent="0.45">
      <c r="A413" s="19">
        <v>412</v>
      </c>
      <c r="B413" s="1" t="s">
        <v>1647</v>
      </c>
      <c r="C413" s="17" t="str">
        <f t="shared" si="51"/>
        <v>이행완료</v>
      </c>
      <c r="D413" s="17" t="str">
        <f t="shared" si="54"/>
        <v/>
      </c>
      <c r="E413" s="2" t="s">
        <v>2202</v>
      </c>
      <c r="F413" s="1" t="s">
        <v>923</v>
      </c>
      <c r="G413" s="1" t="s">
        <v>2203</v>
      </c>
      <c r="H413" s="18" t="s">
        <v>1097</v>
      </c>
      <c r="I413" s="19">
        <v>200</v>
      </c>
      <c r="J413" s="2"/>
      <c r="K413" s="20" t="s">
        <v>2561</v>
      </c>
      <c r="L413" s="20"/>
      <c r="M413" s="17" t="str">
        <f t="shared" si="52"/>
        <v>기축</v>
      </c>
      <c r="N413" s="21"/>
      <c r="O413" s="21"/>
      <c r="P413" s="1">
        <f t="shared" si="48"/>
        <v>4</v>
      </c>
      <c r="Q413" s="1">
        <v>4</v>
      </c>
      <c r="R413" s="64" t="str">
        <f>IFERROR(INDEX(입력!$J$2:$J$500, MATCH($BO413, 입력!$Z$2:$Z$500, 0)) &amp; "", "")</f>
        <v/>
      </c>
      <c r="S413" s="64" t="str">
        <f>IFERROR(INDEX(입력!$K$2:$K$500, MATCH($BO413, 입력!$Z$2:$Z$500, 0)) &amp; "", "")</f>
        <v/>
      </c>
      <c r="T413" s="64">
        <f>MAX(0, 표1[[#This Row],[의무_면수]]-표1[[#This Row],[면수합]])</f>
        <v>0</v>
      </c>
      <c r="U413" s="44" t="str">
        <f t="shared" si="49"/>
        <v>이행완료</v>
      </c>
      <c r="V413" s="1">
        <f t="shared" si="53"/>
        <v>4</v>
      </c>
      <c r="W413" s="1" t="str">
        <f t="shared" si="50"/>
        <v/>
      </c>
      <c r="X413" s="1">
        <v>4</v>
      </c>
      <c r="Y413" s="64" t="str">
        <f>IFERROR(INDEX(입력!$M$2:$M$500, MATCH($BO413, 입력!$Z$2:$Z$500, 0)) &amp; "", "")</f>
        <v/>
      </c>
      <c r="Z413" s="64" t="str">
        <f>IFERROR(INDEX(입력!$N$2:$N$500, MATCH($BO413, 입력!$Z$2:$Z$500, 0)) &amp; "", "")</f>
        <v/>
      </c>
      <c r="AA413" s="64">
        <f>MAX(0, 표1[[#This Row],[의무_시설]]-표1[[#This Row],[시설합]])</f>
        <v>0</v>
      </c>
      <c r="AB413" s="17" t="str">
        <f t="shared" si="55"/>
        <v>이행완료</v>
      </c>
      <c r="AC413" s="64" t="str">
        <f>IFERROR(INDEX(입력!$P$2:$P$500, MATCH($BO413, 입력!$Z$2:$Z$500, 0)) &amp; "", "")</f>
        <v/>
      </c>
      <c r="AD413" s="64" t="str">
        <f>IFERROR(INDEX(입력!$Q$2:$Q$500, MATCH($BO413, 입력!$Z$2:$Z$500, 0)) &amp; "", "")</f>
        <v/>
      </c>
      <c r="AE413" s="64" t="str">
        <f>IFERROR(INDEX(입력!$R$2:$R$500, MATCH($BO413, 입력!$Z$2:$Z$500, 0)) &amp; "", "")</f>
        <v/>
      </c>
      <c r="AF413" s="64" t="str">
        <f>IFERROR(INDEX(입력!$S$2:$S$500, MATCH($BO413, 입력!$Z$2:$Z$500, 0)) &amp; "", "")</f>
        <v/>
      </c>
      <c r="AG413" s="64" t="str">
        <f>IFERROR(INDEX(입력!$T$2:$T$500, MATCH($BO413, 입력!$Z$2:$Z$500, 0)) &amp; "", "")</f>
        <v/>
      </c>
      <c r="AH413" s="64" t="str">
        <f>IFERROR(INDEX(입력!$U$2:$U$500, MATCH($BO413, 입력!$Z$2:$Z$500, 0)) &amp; "", "")</f>
        <v/>
      </c>
      <c r="AI413" s="64" t="str">
        <f>IFERROR(INDEX(입력!$V$2:$V$500, MATCH($BO413, 입력!$Z$2:$Z$500, 0)) &amp; "", "")</f>
        <v/>
      </c>
      <c r="AJ413" s="44" t="str">
        <f>IFERROR(INDEX(입력!$W$2:$W$500, MATCH($BO413, 입력!$Z$2:$Z$500, 0)) &amp; "", "")</f>
        <v/>
      </c>
      <c r="AK413" s="44" t="str">
        <f>IFERROR(INDEX(입력!$X$2:$X$500, MATCH($BO413, 입력!$Z$2:$Z$500, 0)) &amp; "", "")</f>
        <v/>
      </c>
      <c r="AL413" s="2"/>
      <c r="AM413" s="17" t="s">
        <v>1650</v>
      </c>
      <c r="AN413" s="101">
        <v>2025</v>
      </c>
      <c r="AO413" s="17" t="s">
        <v>3275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3137</v>
      </c>
      <c r="AZ413" s="71" t="str">
        <f>IFERROR(IF(INDEX(입력!$C$2:$C$500, MATCH($BO413, 입력!$Z$2:$Z$500, 0))="", "", TEXT(INDEX(입력!$C$2:$C$500, MATCH($BO413, 입력!$Z$2:$Z$500, 0)), "yyyy-mm-dd")), "")</f>
        <v/>
      </c>
      <c r="BA413" s="44" t="str">
        <f>IFERROR(INDEX(입력!$B$2:$B$500, MATCH($BO413, 입력!$Z$2:$Z$500, 0)) &amp; "", "")</f>
        <v/>
      </c>
      <c r="BB413" s="83" t="str">
        <f>IFERROR(INDEX(입력!$Y$2:$Y$500, MATCH($BO413, 입력!$Z$2:$Z$500, 0)) &amp; "", "")</f>
        <v/>
      </c>
      <c r="BC413" s="83" t="s">
        <v>3112</v>
      </c>
      <c r="BD413" s="83"/>
      <c r="BE413" s="101"/>
      <c r="BF413" s="101"/>
      <c r="BG413" s="101"/>
      <c r="BH413" s="101"/>
      <c r="BI413" s="101"/>
      <c r="BJ413" s="101"/>
      <c r="BK413" s="110"/>
      <c r="BL413" s="21"/>
      <c r="BM413" s="22">
        <v>200</v>
      </c>
      <c r="BN413" s="23"/>
      <c r="BO413" s="47" t="s">
        <v>924</v>
      </c>
    </row>
    <row r="414" spans="1:67" x14ac:dyDescent="0.45">
      <c r="A414" s="46">
        <v>413</v>
      </c>
      <c r="B414" s="1" t="s">
        <v>1647</v>
      </c>
      <c r="C414" s="17" t="str">
        <f t="shared" si="51"/>
        <v>이행완료</v>
      </c>
      <c r="D414" s="17" t="str">
        <f t="shared" si="54"/>
        <v/>
      </c>
      <c r="E414" s="2" t="s">
        <v>2204</v>
      </c>
      <c r="F414" s="1" t="s">
        <v>925</v>
      </c>
      <c r="G414" s="1" t="s">
        <v>2205</v>
      </c>
      <c r="H414" s="18" t="s">
        <v>1097</v>
      </c>
      <c r="I414" s="19">
        <v>201</v>
      </c>
      <c r="J414" s="2"/>
      <c r="K414" s="20" t="s">
        <v>2562</v>
      </c>
      <c r="L414" s="20"/>
      <c r="M414" s="17" t="str">
        <f t="shared" si="52"/>
        <v>기축</v>
      </c>
      <c r="N414" s="21"/>
      <c r="O414" s="21"/>
      <c r="P414" s="1">
        <f t="shared" si="48"/>
        <v>4</v>
      </c>
      <c r="Q414" s="1">
        <v>10</v>
      </c>
      <c r="R414" s="64" t="str">
        <f>IFERROR(INDEX(입력!$J$2:$J$500, MATCH($BO414, 입력!$Z$2:$Z$500, 0)) &amp; "", "")</f>
        <v/>
      </c>
      <c r="S414" s="64" t="str">
        <f>IFERROR(INDEX(입력!$K$2:$K$500, MATCH($BO414, 입력!$Z$2:$Z$500, 0)) &amp; "", "")</f>
        <v/>
      </c>
      <c r="T414" s="64">
        <f>MAX(0, 표1[[#This Row],[의무_면수]]-표1[[#This Row],[면수합]])</f>
        <v>0</v>
      </c>
      <c r="U414" s="44" t="str">
        <f t="shared" si="49"/>
        <v>이행완료</v>
      </c>
      <c r="V414" s="1">
        <f t="shared" si="53"/>
        <v>4</v>
      </c>
      <c r="W414" s="1" t="str">
        <f t="shared" si="50"/>
        <v/>
      </c>
      <c r="X414" s="1">
        <v>10</v>
      </c>
      <c r="Y414" s="64" t="str">
        <f>IFERROR(INDEX(입력!$M$2:$M$500, MATCH($BO414, 입력!$Z$2:$Z$500, 0)) &amp; "", "")</f>
        <v/>
      </c>
      <c r="Z414" s="64" t="str">
        <f>IFERROR(INDEX(입력!$N$2:$N$500, MATCH($BO414, 입력!$Z$2:$Z$500, 0)) &amp; "", "")</f>
        <v/>
      </c>
      <c r="AA414" s="64">
        <f>MAX(0, 표1[[#This Row],[의무_시설]]-표1[[#This Row],[시설합]])</f>
        <v>0</v>
      </c>
      <c r="AB414" s="17" t="str">
        <f t="shared" si="55"/>
        <v>이행완료</v>
      </c>
      <c r="AC414" s="64" t="str">
        <f>IFERROR(INDEX(입력!$P$2:$P$500, MATCH($BO414, 입력!$Z$2:$Z$500, 0)) &amp; "", "")</f>
        <v/>
      </c>
      <c r="AD414" s="64" t="str">
        <f>IFERROR(INDEX(입력!$Q$2:$Q$500, MATCH($BO414, 입력!$Z$2:$Z$500, 0)) &amp; "", "")</f>
        <v/>
      </c>
      <c r="AE414" s="64" t="str">
        <f>IFERROR(INDEX(입력!$R$2:$R$500, MATCH($BO414, 입력!$Z$2:$Z$500, 0)) &amp; "", "")</f>
        <v/>
      </c>
      <c r="AF414" s="64" t="str">
        <f>IFERROR(INDEX(입력!$S$2:$S$500, MATCH($BO414, 입력!$Z$2:$Z$500, 0)) &amp; "", "")</f>
        <v/>
      </c>
      <c r="AG414" s="64" t="str">
        <f>IFERROR(INDEX(입력!$T$2:$T$500, MATCH($BO414, 입력!$Z$2:$Z$500, 0)) &amp; "", "")</f>
        <v/>
      </c>
      <c r="AH414" s="64" t="str">
        <f>IFERROR(INDEX(입력!$U$2:$U$500, MATCH($BO414, 입력!$Z$2:$Z$500, 0)) &amp; "", "")</f>
        <v/>
      </c>
      <c r="AI414" s="64" t="str">
        <f>IFERROR(INDEX(입력!$V$2:$V$500, MATCH($BO414, 입력!$Z$2:$Z$500, 0)) &amp; "", "")</f>
        <v/>
      </c>
      <c r="AJ414" s="44" t="str">
        <f>IFERROR(INDEX(입력!$W$2:$W$500, MATCH($BO414, 입력!$Z$2:$Z$500, 0)) &amp; "", "")</f>
        <v/>
      </c>
      <c r="AK414" s="44" t="str">
        <f>IFERROR(INDEX(입력!$X$2:$X$500, MATCH($BO414, 입력!$Z$2:$Z$500, 0)) &amp; "", "")</f>
        <v/>
      </c>
      <c r="AL414" s="2"/>
      <c r="AM414" s="17" t="s">
        <v>1650</v>
      </c>
      <c r="AN414" s="101">
        <v>2025</v>
      </c>
      <c r="AO414" s="17" t="s">
        <v>3277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3131</v>
      </c>
      <c r="AZ414" s="71" t="str">
        <f>IFERROR(IF(INDEX(입력!$C$2:$C$500, MATCH($BO414, 입력!$Z$2:$Z$500, 0))="", "", TEXT(INDEX(입력!$C$2:$C$500, MATCH($BO414, 입력!$Z$2:$Z$500, 0)), "yyyy-mm-dd")), "")</f>
        <v/>
      </c>
      <c r="BA414" s="44" t="str">
        <f>IFERROR(INDEX(입력!$B$2:$B$500, MATCH($BO414, 입력!$Z$2:$Z$500, 0)) &amp; "", "")</f>
        <v/>
      </c>
      <c r="BB414" s="83" t="str">
        <f>IFERROR(INDEX(입력!$Y$2:$Y$500, MATCH($BO414, 입력!$Z$2:$Z$500, 0)) &amp; "", "")</f>
        <v/>
      </c>
      <c r="BC414" s="83" t="s">
        <v>3112</v>
      </c>
      <c r="BD414" s="83"/>
      <c r="BE414" s="101"/>
      <c r="BF414" s="101"/>
      <c r="BG414" s="101"/>
      <c r="BH414" s="101"/>
      <c r="BI414" s="101"/>
      <c r="BJ414" s="101"/>
      <c r="BK414" s="110"/>
      <c r="BL414" s="21"/>
      <c r="BM414" s="22">
        <v>201</v>
      </c>
      <c r="BN414" s="23"/>
      <c r="BO414" s="47" t="s">
        <v>926</v>
      </c>
    </row>
    <row r="415" spans="1:67" x14ac:dyDescent="0.45">
      <c r="A415" s="19">
        <v>414</v>
      </c>
      <c r="B415" s="1" t="s">
        <v>1647</v>
      </c>
      <c r="C415" s="17" t="str">
        <f t="shared" si="51"/>
        <v>이행완료</v>
      </c>
      <c r="D415" s="17" t="str">
        <f t="shared" si="54"/>
        <v>조사완료</v>
      </c>
      <c r="E415" s="2" t="s">
        <v>2206</v>
      </c>
      <c r="F415" s="1" t="s">
        <v>927</v>
      </c>
      <c r="G415" s="1" t="s">
        <v>2207</v>
      </c>
      <c r="H415" s="18" t="s">
        <v>1566</v>
      </c>
      <c r="I415" s="19">
        <v>175</v>
      </c>
      <c r="J415" s="2"/>
      <c r="K415" s="20">
        <v>36082</v>
      </c>
      <c r="L415" s="20"/>
      <c r="M415" s="17" t="str">
        <f t="shared" si="52"/>
        <v>기축</v>
      </c>
      <c r="N415" s="21"/>
      <c r="O415" s="21" t="s">
        <v>3101</v>
      </c>
      <c r="P415" s="1">
        <f t="shared" si="48"/>
        <v>4</v>
      </c>
      <c r="Q415" s="1">
        <v>9</v>
      </c>
      <c r="R415" s="64" t="str">
        <f>IFERROR(INDEX(입력!$J$2:$J$500, MATCH($BO415, 입력!$Z$2:$Z$500, 0)) &amp; "", "")</f>
        <v>9</v>
      </c>
      <c r="S415" s="64" t="str">
        <f>IFERROR(INDEX(입력!$K$2:$K$500, MATCH($BO415, 입력!$Z$2:$Z$500, 0)) &amp; "", "")</f>
        <v/>
      </c>
      <c r="T415" s="64">
        <f>MAX(0, 표1[[#This Row],[의무_면수]]-표1[[#This Row],[면수합]])</f>
        <v>0</v>
      </c>
      <c r="U415" s="44" t="str">
        <f t="shared" si="49"/>
        <v>이행완료</v>
      </c>
      <c r="V415" s="1">
        <f t="shared" si="53"/>
        <v>4</v>
      </c>
      <c r="W415" s="1" t="str">
        <f t="shared" si="50"/>
        <v/>
      </c>
      <c r="X415" s="1">
        <v>4</v>
      </c>
      <c r="Y415" s="64" t="str">
        <f>IFERROR(INDEX(입력!$M$2:$M$500, MATCH($BO415, 입력!$Z$2:$Z$500, 0)) &amp; "", "")</f>
        <v/>
      </c>
      <c r="Z415" s="64" t="str">
        <f>IFERROR(INDEX(입력!$N$2:$N$500, MATCH($BO415, 입력!$Z$2:$Z$500, 0)) &amp; "", "")</f>
        <v>4</v>
      </c>
      <c r="AA415" s="64">
        <f>MAX(0, 표1[[#This Row],[의무_시설]]-표1[[#This Row],[시설합]])</f>
        <v>0</v>
      </c>
      <c r="AB415" s="17" t="str">
        <f t="shared" si="55"/>
        <v>이행완료</v>
      </c>
      <c r="AC415" s="64" t="str">
        <f>IFERROR(INDEX(입력!$P$2:$P$500, MATCH($BO415, 입력!$Z$2:$Z$500, 0)) &amp; "", "")</f>
        <v>250</v>
      </c>
      <c r="AD415" s="64" t="str">
        <f>IFERROR(INDEX(입력!$Q$2:$Q$500, MATCH($BO415, 입력!$Z$2:$Z$500, 0)) &amp; "", "")</f>
        <v>1</v>
      </c>
      <c r="AE415" s="64" t="str">
        <f>IFERROR(INDEX(입력!$R$2:$R$500, MATCH($BO415, 입력!$Z$2:$Z$500, 0)) &amp; "", "")</f>
        <v>여</v>
      </c>
      <c r="AF415" s="64" t="str">
        <f>IFERROR(INDEX(입력!$S$2:$S$500, MATCH($BO415, 입력!$Z$2:$Z$500, 0)) &amp; "", "")</f>
        <v>부</v>
      </c>
      <c r="AG415" s="64" t="str">
        <f>IFERROR(INDEX(입력!$T$2:$T$500, MATCH($BO415, 입력!$Z$2:$Z$500, 0)) &amp; "", "")</f>
        <v>부</v>
      </c>
      <c r="AH415" s="64" t="str">
        <f>IFERROR(INDEX(입력!$U$2:$U$500, MATCH($BO415, 입력!$Z$2:$Z$500, 0)) &amp; "", "")</f>
        <v/>
      </c>
      <c r="AI415" s="64" t="str">
        <f>IFERROR(INDEX(입력!$V$2:$V$500, MATCH($BO415, 입력!$Z$2:$Z$500, 0)) &amp; "", "")</f>
        <v>여</v>
      </c>
      <c r="AJ415" s="44" t="str">
        <f>IFERROR(INDEX(입력!$W$2:$W$500, MATCH($BO415, 입력!$Z$2:$Z$500, 0)) &amp; "", "")</f>
        <v>김화용</v>
      </c>
      <c r="AK415" s="44" t="str">
        <f>IFERROR(INDEX(입력!$X$2:$X$500, MATCH($BO415, 입력!$Z$2:$Z$500, 0)) &amp; "", "")</f>
        <v>010-5243-2571</v>
      </c>
      <c r="AL415" s="2" t="s">
        <v>2425</v>
      </c>
      <c r="AM415" s="17" t="s">
        <v>1650</v>
      </c>
      <c r="AN415" s="101">
        <v>2025</v>
      </c>
      <c r="AO415" s="17" t="s">
        <v>3275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2209</v>
      </c>
      <c r="AW415" s="101"/>
      <c r="AX415" s="119" t="s">
        <v>2210</v>
      </c>
      <c r="AY415" s="83" t="s">
        <v>3131</v>
      </c>
      <c r="AZ415" s="71" t="str">
        <f>IFERROR(IF(INDEX(입력!$C$2:$C$500, MATCH($BO415, 입력!$Z$2:$Z$500, 0))="", "", TEXT(INDEX(입력!$C$2:$C$500, MATCH($BO415, 입력!$Z$2:$Z$500, 0)), "yyyy-mm-dd")), "")</f>
        <v>2026-04-10</v>
      </c>
      <c r="BA415" s="44" t="str">
        <f>IFERROR(INDEX(입력!$B$2:$B$500, MATCH($BO415, 입력!$Z$2:$Z$500, 0)) &amp; "", "")</f>
        <v>최하영</v>
      </c>
      <c r="BB415" s="83" t="str">
        <f>IFERROR(INDEX(입력!$Y$2:$Y$500, MATCH($BO415, 입력!$Z$2:$Z$500, 0)) &amp; "", "")</f>
        <v/>
      </c>
      <c r="BC415" s="83" t="s">
        <v>3112</v>
      </c>
      <c r="BD415" s="83"/>
      <c r="BE415" s="101"/>
      <c r="BF415" s="101"/>
      <c r="BG415" s="101"/>
      <c r="BH415" s="101"/>
      <c r="BI415" s="101"/>
      <c r="BJ415" s="101"/>
      <c r="BK415" s="110"/>
      <c r="BL415" s="21" t="s">
        <v>2410</v>
      </c>
      <c r="BM415" s="22">
        <v>175</v>
      </c>
      <c r="BN415" s="23"/>
      <c r="BO415" s="47" t="s">
        <v>928</v>
      </c>
    </row>
    <row r="416" spans="1:67" x14ac:dyDescent="0.45">
      <c r="A416" s="46">
        <v>415</v>
      </c>
      <c r="B416" s="1" t="s">
        <v>1647</v>
      </c>
      <c r="C416" s="17" t="str">
        <f t="shared" si="51"/>
        <v>이행완료</v>
      </c>
      <c r="D416" s="17" t="str">
        <f t="shared" si="54"/>
        <v/>
      </c>
      <c r="E416" s="2" t="s">
        <v>2211</v>
      </c>
      <c r="F416" s="1" t="s">
        <v>929</v>
      </c>
      <c r="G416" s="1" t="s">
        <v>2212</v>
      </c>
      <c r="H416" s="18" t="s">
        <v>1566</v>
      </c>
      <c r="I416" s="19">
        <v>134</v>
      </c>
      <c r="J416" s="2"/>
      <c r="K416" s="20" t="s">
        <v>2563</v>
      </c>
      <c r="L416" s="20"/>
      <c r="M416" s="17" t="str">
        <f t="shared" si="52"/>
        <v>기축</v>
      </c>
      <c r="N416" s="21"/>
      <c r="O416" s="21"/>
      <c r="P416" s="1">
        <f t="shared" si="48"/>
        <v>3</v>
      </c>
      <c r="Q416" s="1">
        <v>5</v>
      </c>
      <c r="R416" s="64" t="str">
        <f>IFERROR(INDEX(입력!$J$2:$J$500, MATCH($BO416, 입력!$Z$2:$Z$500, 0)) &amp; "", "")</f>
        <v/>
      </c>
      <c r="S416" s="64" t="str">
        <f>IFERROR(INDEX(입력!$K$2:$K$500, MATCH($BO416, 입력!$Z$2:$Z$500, 0)) &amp; "", "")</f>
        <v/>
      </c>
      <c r="T416" s="64">
        <f>MAX(0, 표1[[#This Row],[의무_면수]]-표1[[#This Row],[면수합]])</f>
        <v>0</v>
      </c>
      <c r="U416" s="44" t="str">
        <f t="shared" si="49"/>
        <v>이행완료</v>
      </c>
      <c r="V416" s="1">
        <f t="shared" si="53"/>
        <v>3</v>
      </c>
      <c r="W416" s="1" t="str">
        <f t="shared" si="50"/>
        <v/>
      </c>
      <c r="X416" s="1">
        <v>5</v>
      </c>
      <c r="Y416" s="64" t="str">
        <f>IFERROR(INDEX(입력!$M$2:$M$500, MATCH($BO416, 입력!$Z$2:$Z$500, 0)) &amp; "", "")</f>
        <v/>
      </c>
      <c r="Z416" s="64" t="str">
        <f>IFERROR(INDEX(입력!$N$2:$N$500, MATCH($BO416, 입력!$Z$2:$Z$500, 0)) &amp; "", "")</f>
        <v/>
      </c>
      <c r="AA416" s="64">
        <f>MAX(0, 표1[[#This Row],[의무_시설]]-표1[[#This Row],[시설합]])</f>
        <v>0</v>
      </c>
      <c r="AB416" s="17" t="str">
        <f t="shared" si="55"/>
        <v>이행완료</v>
      </c>
      <c r="AC416" s="64" t="str">
        <f>IFERROR(INDEX(입력!$P$2:$P$500, MATCH($BO416, 입력!$Z$2:$Z$500, 0)) &amp; "", "")</f>
        <v/>
      </c>
      <c r="AD416" s="64" t="str">
        <f>IFERROR(INDEX(입력!$Q$2:$Q$500, MATCH($BO416, 입력!$Z$2:$Z$500, 0)) &amp; "", "")</f>
        <v/>
      </c>
      <c r="AE416" s="64" t="str">
        <f>IFERROR(INDEX(입력!$R$2:$R$500, MATCH($BO416, 입력!$Z$2:$Z$500, 0)) &amp; "", "")</f>
        <v/>
      </c>
      <c r="AF416" s="64" t="str">
        <f>IFERROR(INDEX(입력!$S$2:$S$500, MATCH($BO416, 입력!$Z$2:$Z$500, 0)) &amp; "", "")</f>
        <v/>
      </c>
      <c r="AG416" s="64" t="str">
        <f>IFERROR(INDEX(입력!$T$2:$T$500, MATCH($BO416, 입력!$Z$2:$Z$500, 0)) &amp; "", "")</f>
        <v/>
      </c>
      <c r="AH416" s="64" t="str">
        <f>IFERROR(INDEX(입력!$U$2:$U$500, MATCH($BO416, 입력!$Z$2:$Z$500, 0)) &amp; "", "")</f>
        <v/>
      </c>
      <c r="AI416" s="64" t="str">
        <f>IFERROR(INDEX(입력!$V$2:$V$500, MATCH($BO416, 입력!$Z$2:$Z$500, 0)) &amp; "", "")</f>
        <v/>
      </c>
      <c r="AJ416" s="44" t="str">
        <f>IFERROR(INDEX(입력!$W$2:$W$500, MATCH($BO416, 입력!$Z$2:$Z$500, 0)) &amp; "", "")</f>
        <v/>
      </c>
      <c r="AK416" s="44" t="str">
        <f>IFERROR(INDEX(입력!$X$2:$X$500, MATCH($BO416, 입력!$Z$2:$Z$500, 0)) &amp; "", "")</f>
        <v/>
      </c>
      <c r="AL416" s="2"/>
      <c r="AM416" s="17" t="s">
        <v>1650</v>
      </c>
      <c r="AN416" s="101">
        <v>2025</v>
      </c>
      <c r="AO416" s="17" t="s">
        <v>3274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3131</v>
      </c>
      <c r="AZ416" s="71" t="str">
        <f>IFERROR(IF(INDEX(입력!$C$2:$C$500, MATCH($BO416, 입력!$Z$2:$Z$500, 0))="", "", TEXT(INDEX(입력!$C$2:$C$500, MATCH($BO416, 입력!$Z$2:$Z$500, 0)), "yyyy-mm-dd")), "")</f>
        <v/>
      </c>
      <c r="BA416" s="44" t="str">
        <f>IFERROR(INDEX(입력!$B$2:$B$500, MATCH($BO416, 입력!$Z$2:$Z$500, 0)) &amp; "", "")</f>
        <v/>
      </c>
      <c r="BB416" s="83" t="str">
        <f>IFERROR(INDEX(입력!$Y$2:$Y$500, MATCH($BO416, 입력!$Z$2:$Z$500, 0)) &amp; "", "")</f>
        <v/>
      </c>
      <c r="BC416" s="83" t="s">
        <v>3112</v>
      </c>
      <c r="BD416" s="83"/>
      <c r="BE416" s="101"/>
      <c r="BF416" s="101"/>
      <c r="BG416" s="101"/>
      <c r="BH416" s="101"/>
      <c r="BI416" s="101"/>
      <c r="BJ416" s="101"/>
      <c r="BK416" s="110"/>
      <c r="BL416" s="21"/>
      <c r="BM416" s="22">
        <v>134</v>
      </c>
      <c r="BN416" s="23"/>
      <c r="BO416" s="47" t="s">
        <v>930</v>
      </c>
    </row>
    <row r="417" spans="1:67" x14ac:dyDescent="0.45">
      <c r="A417" s="19">
        <v>416</v>
      </c>
      <c r="B417" s="1" t="s">
        <v>1647</v>
      </c>
      <c r="C417" s="17" t="str">
        <f t="shared" si="51"/>
        <v>이행완료</v>
      </c>
      <c r="D417" s="17" t="str">
        <f t="shared" si="54"/>
        <v/>
      </c>
      <c r="E417" s="2" t="s">
        <v>2213</v>
      </c>
      <c r="F417" s="1" t="s">
        <v>931</v>
      </c>
      <c r="G417" s="1" t="s">
        <v>2214</v>
      </c>
      <c r="H417" s="18" t="s">
        <v>1566</v>
      </c>
      <c r="I417" s="46">
        <v>210</v>
      </c>
      <c r="J417" s="2"/>
      <c r="K417" s="20">
        <v>35819</v>
      </c>
      <c r="L417" s="20"/>
      <c r="M417" s="17" t="str">
        <f t="shared" si="52"/>
        <v>기축</v>
      </c>
      <c r="N417" s="21"/>
      <c r="O417" s="21"/>
      <c r="P417" s="1">
        <f t="shared" si="48"/>
        <v>4</v>
      </c>
      <c r="Q417" s="1">
        <v>4</v>
      </c>
      <c r="R417" s="64" t="str">
        <f>IFERROR(INDEX(입력!$J$2:$J$500, MATCH($BO417, 입력!$Z$2:$Z$500, 0)) &amp; "", "")</f>
        <v/>
      </c>
      <c r="S417" s="64" t="str">
        <f>IFERROR(INDEX(입력!$K$2:$K$500, MATCH($BO417, 입력!$Z$2:$Z$500, 0)) &amp; "", "")</f>
        <v/>
      </c>
      <c r="T417" s="64">
        <f>MAX(0, 표1[[#This Row],[의무_면수]]-표1[[#This Row],[면수합]])</f>
        <v>0</v>
      </c>
      <c r="U417" s="44" t="str">
        <f t="shared" si="49"/>
        <v>이행완료</v>
      </c>
      <c r="V417" s="1">
        <f t="shared" si="53"/>
        <v>4</v>
      </c>
      <c r="W417" s="1" t="str">
        <f t="shared" si="50"/>
        <v/>
      </c>
      <c r="X417" s="1">
        <v>4</v>
      </c>
      <c r="Y417" s="64" t="str">
        <f>IFERROR(INDEX(입력!$M$2:$M$500, MATCH($BO417, 입력!$Z$2:$Z$500, 0)) &amp; "", "")</f>
        <v/>
      </c>
      <c r="Z417" s="64" t="str">
        <f>IFERROR(INDEX(입력!$N$2:$N$500, MATCH($BO417, 입력!$Z$2:$Z$500, 0)) &amp; "", "")</f>
        <v/>
      </c>
      <c r="AA417" s="64">
        <f>MAX(0, 표1[[#This Row],[의무_시설]]-표1[[#This Row],[시설합]])</f>
        <v>0</v>
      </c>
      <c r="AB417" s="17" t="str">
        <f t="shared" si="55"/>
        <v>이행완료</v>
      </c>
      <c r="AC417" s="64" t="str">
        <f>IFERROR(INDEX(입력!$P$2:$P$500, MATCH($BO417, 입력!$Z$2:$Z$500, 0)) &amp; "", "")</f>
        <v/>
      </c>
      <c r="AD417" s="64" t="str">
        <f>IFERROR(INDEX(입력!$Q$2:$Q$500, MATCH($BO417, 입력!$Z$2:$Z$500, 0)) &amp; "", "")</f>
        <v/>
      </c>
      <c r="AE417" s="64" t="str">
        <f>IFERROR(INDEX(입력!$R$2:$R$500, MATCH($BO417, 입력!$Z$2:$Z$500, 0)) &amp; "", "")</f>
        <v/>
      </c>
      <c r="AF417" s="64" t="str">
        <f>IFERROR(INDEX(입력!$S$2:$S$500, MATCH($BO417, 입력!$Z$2:$Z$500, 0)) &amp; "", "")</f>
        <v/>
      </c>
      <c r="AG417" s="64" t="str">
        <f>IFERROR(INDEX(입력!$T$2:$T$500, MATCH($BO417, 입력!$Z$2:$Z$500, 0)) &amp; "", "")</f>
        <v/>
      </c>
      <c r="AH417" s="64" t="str">
        <f>IFERROR(INDEX(입력!$U$2:$U$500, MATCH($BO417, 입력!$Z$2:$Z$500, 0)) &amp; "", "")</f>
        <v/>
      </c>
      <c r="AI417" s="64" t="str">
        <f>IFERROR(INDEX(입력!$V$2:$V$500, MATCH($BO417, 입력!$Z$2:$Z$500, 0)) &amp; "", "")</f>
        <v/>
      </c>
      <c r="AJ417" s="44" t="str">
        <f>IFERROR(INDEX(입력!$W$2:$W$500, MATCH($BO417, 입력!$Z$2:$Z$500, 0)) &amp; "", "")</f>
        <v/>
      </c>
      <c r="AK417" s="44" t="str">
        <f>IFERROR(INDEX(입력!$X$2:$X$500, MATCH($BO417, 입력!$Z$2:$Z$500, 0)) &amp; "", "")</f>
        <v/>
      </c>
      <c r="AL417" s="2" t="s">
        <v>2215</v>
      </c>
      <c r="AM417" s="17" t="s">
        <v>1650</v>
      </c>
      <c r="AN417" s="101">
        <v>2025</v>
      </c>
      <c r="AO417" s="17" t="s">
        <v>3275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3137</v>
      </c>
      <c r="AZ417" s="71" t="str">
        <f>IFERROR(IF(INDEX(입력!$C$2:$C$500, MATCH($BO417, 입력!$Z$2:$Z$500, 0))="", "", TEXT(INDEX(입력!$C$2:$C$500, MATCH($BO417, 입력!$Z$2:$Z$500, 0)), "yyyy-mm-dd")), "")</f>
        <v/>
      </c>
      <c r="BA417" s="44" t="str">
        <f>IFERROR(INDEX(입력!$B$2:$B$500, MATCH($BO417, 입력!$Z$2:$Z$500, 0)) &amp; "", "")</f>
        <v/>
      </c>
      <c r="BB417" s="83" t="str">
        <f>IFERROR(INDEX(입력!$Y$2:$Y$500, MATCH($BO417, 입력!$Z$2:$Z$500, 0)) &amp; "", "")</f>
        <v/>
      </c>
      <c r="BC417" s="83" t="s">
        <v>3112</v>
      </c>
      <c r="BD417" s="83"/>
      <c r="BE417" s="101"/>
      <c r="BF417" s="101"/>
      <c r="BG417" s="101"/>
      <c r="BH417" s="101"/>
      <c r="BI417" s="101"/>
      <c r="BJ417" s="101"/>
      <c r="BK417" s="110"/>
      <c r="BL417" s="21"/>
      <c r="BM417" s="22">
        <v>193</v>
      </c>
      <c r="BN417" s="23"/>
      <c r="BO417" s="47" t="s">
        <v>932</v>
      </c>
    </row>
    <row r="418" spans="1:67" x14ac:dyDescent="0.45">
      <c r="A418" s="46">
        <v>417</v>
      </c>
      <c r="B418" s="1" t="s">
        <v>1647</v>
      </c>
      <c r="C418" s="17" t="str">
        <f t="shared" si="51"/>
        <v>이행완료</v>
      </c>
      <c r="D418" s="17" t="str">
        <f t="shared" si="54"/>
        <v>조사완료</v>
      </c>
      <c r="E418" s="2" t="s">
        <v>2216</v>
      </c>
      <c r="F418" s="1" t="s">
        <v>933</v>
      </c>
      <c r="G418" s="1" t="s">
        <v>2217</v>
      </c>
      <c r="H418" s="18" t="s">
        <v>1566</v>
      </c>
      <c r="I418" s="19">
        <v>131</v>
      </c>
      <c r="J418" s="2"/>
      <c r="K418" s="20" t="s">
        <v>2332</v>
      </c>
      <c r="L418" s="20"/>
      <c r="M418" s="17" t="str">
        <f t="shared" si="52"/>
        <v>기축</v>
      </c>
      <c r="N418" s="21"/>
      <c r="O418" s="21" t="s">
        <v>3101</v>
      </c>
      <c r="P418" s="1">
        <f t="shared" si="48"/>
        <v>3</v>
      </c>
      <c r="Q418" s="1">
        <v>7</v>
      </c>
      <c r="R418" s="64" t="str">
        <f>IFERROR(INDEX(입력!$J$2:$J$500, MATCH($BO418, 입력!$Z$2:$Z$500, 0)) &amp; "", "")</f>
        <v>7</v>
      </c>
      <c r="S418" s="64" t="str">
        <f>IFERROR(INDEX(입력!$K$2:$K$500, MATCH($BO418, 입력!$Z$2:$Z$500, 0)) &amp; "", "")</f>
        <v/>
      </c>
      <c r="T418" s="64">
        <f>MAX(0, 표1[[#This Row],[의무_면수]]-표1[[#This Row],[면수합]])</f>
        <v>0</v>
      </c>
      <c r="U418" s="44" t="str">
        <f t="shared" si="49"/>
        <v>이행완료</v>
      </c>
      <c r="V418" s="1">
        <f t="shared" si="53"/>
        <v>3</v>
      </c>
      <c r="W418" s="1" t="str">
        <f t="shared" si="50"/>
        <v/>
      </c>
      <c r="X418" s="1">
        <v>3</v>
      </c>
      <c r="Y418" s="64" t="str">
        <f>IFERROR(INDEX(입력!$M$2:$M$500, MATCH($BO418, 입력!$Z$2:$Z$500, 0)) &amp; "", "")</f>
        <v/>
      </c>
      <c r="Z418" s="64" t="str">
        <f>IFERROR(INDEX(입력!$N$2:$N$500, MATCH($BO418, 입력!$Z$2:$Z$500, 0)) &amp; "", "")</f>
        <v>3</v>
      </c>
      <c r="AA418" s="64">
        <f>MAX(0, 표1[[#This Row],[의무_시설]]-표1[[#This Row],[시설합]])</f>
        <v>0</v>
      </c>
      <c r="AB418" s="17" t="str">
        <f t="shared" si="55"/>
        <v>이행완료</v>
      </c>
      <c r="AC418" s="64" t="str">
        <f>IFERROR(INDEX(입력!$P$2:$P$500, MATCH($BO418, 입력!$Z$2:$Z$500, 0)) &amp; "", "")</f>
        <v>186</v>
      </c>
      <c r="AD418" s="64" t="str">
        <f>IFERROR(INDEX(입력!$Q$2:$Q$500, MATCH($BO418, 입력!$Z$2:$Z$500, 0)) &amp; "", "")</f>
        <v/>
      </c>
      <c r="AE418" s="64" t="str">
        <f>IFERROR(INDEX(입력!$R$2:$R$500, MATCH($BO418, 입력!$Z$2:$Z$500, 0)) &amp; "", "")</f>
        <v>여</v>
      </c>
      <c r="AF418" s="64" t="str">
        <f>IFERROR(INDEX(입력!$S$2:$S$500, MATCH($BO418, 입력!$Z$2:$Z$500, 0)) &amp; "", "")</f>
        <v>부</v>
      </c>
      <c r="AG418" s="64" t="str">
        <f>IFERROR(INDEX(입력!$T$2:$T$500, MATCH($BO418, 입력!$Z$2:$Z$500, 0)) &amp; "", "")</f>
        <v>부</v>
      </c>
      <c r="AH418" s="64" t="str">
        <f>IFERROR(INDEX(입력!$U$2:$U$500, MATCH($BO418, 입력!$Z$2:$Z$500, 0)) &amp; "", "")</f>
        <v/>
      </c>
      <c r="AI418" s="64" t="str">
        <f>IFERROR(INDEX(입력!$V$2:$V$500, MATCH($BO418, 입력!$Z$2:$Z$500, 0)) &amp; "", "")</f>
        <v>여</v>
      </c>
      <c r="AJ418" s="44" t="str">
        <f>IFERROR(INDEX(입력!$W$2:$W$500, MATCH($BO418, 입력!$Z$2:$Z$500, 0)) &amp; "", "")</f>
        <v>김화용</v>
      </c>
      <c r="AK418" s="44" t="str">
        <f>IFERROR(INDEX(입력!$X$2:$X$500, MATCH($BO418, 입력!$Z$2:$Z$500, 0)) &amp; "", "")</f>
        <v>010-5243-2571</v>
      </c>
      <c r="AL418" s="2" t="s">
        <v>2208</v>
      </c>
      <c r="AM418" s="17" t="s">
        <v>1650</v>
      </c>
      <c r="AN418" s="101">
        <v>2025</v>
      </c>
      <c r="AO418" s="17" t="s">
        <v>3275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2209</v>
      </c>
      <c r="AW418" s="101"/>
      <c r="AX418" s="119" t="s">
        <v>2210</v>
      </c>
      <c r="AY418" s="83" t="s">
        <v>3131</v>
      </c>
      <c r="AZ418" s="71" t="str">
        <f>IFERROR(IF(INDEX(입력!$C$2:$C$500, MATCH($BO418, 입력!$Z$2:$Z$500, 0))="", "", TEXT(INDEX(입력!$C$2:$C$500, MATCH($BO418, 입력!$Z$2:$Z$500, 0)), "yyyy-mm-dd")), "")</f>
        <v>2026-04-10</v>
      </c>
      <c r="BA418" s="44" t="str">
        <f>IFERROR(INDEX(입력!$B$2:$B$500, MATCH($BO418, 입력!$Z$2:$Z$500, 0)) &amp; "", "")</f>
        <v>최하영</v>
      </c>
      <c r="BB418" s="83" t="str">
        <f>IFERROR(INDEX(입력!$Y$2:$Y$500, MATCH($BO418, 입력!$Z$2:$Z$500, 0)) &amp; "", "")</f>
        <v/>
      </c>
      <c r="BC418" s="83" t="s">
        <v>3112</v>
      </c>
      <c r="BD418" s="83"/>
      <c r="BE418" s="101"/>
      <c r="BF418" s="101"/>
      <c r="BG418" s="101"/>
      <c r="BH418" s="101"/>
      <c r="BI418" s="101"/>
      <c r="BJ418" s="101"/>
      <c r="BK418" s="110"/>
      <c r="BL418" s="21" t="s">
        <v>2410</v>
      </c>
      <c r="BM418" s="22">
        <v>131</v>
      </c>
      <c r="BN418" s="23"/>
      <c r="BO418" s="47" t="s">
        <v>934</v>
      </c>
    </row>
    <row r="419" spans="1:67" x14ac:dyDescent="0.45">
      <c r="A419" s="19">
        <v>418</v>
      </c>
      <c r="B419" s="1" t="s">
        <v>1647</v>
      </c>
      <c r="C419" s="17" t="str">
        <f t="shared" si="51"/>
        <v>이행완료</v>
      </c>
      <c r="D419" s="17" t="str">
        <f t="shared" si="54"/>
        <v/>
      </c>
      <c r="E419" s="2" t="s">
        <v>2218</v>
      </c>
      <c r="F419" s="1" t="s">
        <v>935</v>
      </c>
      <c r="G419" s="1" t="s">
        <v>2219</v>
      </c>
      <c r="H419" s="18" t="s">
        <v>1566</v>
      </c>
      <c r="I419" s="19">
        <v>115</v>
      </c>
      <c r="J419" s="2"/>
      <c r="K419" s="20" t="s">
        <v>2564</v>
      </c>
      <c r="L419" s="20"/>
      <c r="M419" s="17" t="str">
        <f t="shared" si="52"/>
        <v>기축</v>
      </c>
      <c r="N419" s="21"/>
      <c r="O419" s="21"/>
      <c r="P419" s="1">
        <f t="shared" si="48"/>
        <v>2</v>
      </c>
      <c r="Q419" s="1">
        <v>2</v>
      </c>
      <c r="R419" s="64" t="str">
        <f>IFERROR(INDEX(입력!$J$2:$J$500, MATCH($BO419, 입력!$Z$2:$Z$500, 0)) &amp; "", "")</f>
        <v/>
      </c>
      <c r="S419" s="64" t="str">
        <f>IFERROR(INDEX(입력!$K$2:$K$500, MATCH($BO419, 입력!$Z$2:$Z$500, 0)) &amp; "", "")</f>
        <v/>
      </c>
      <c r="T419" s="64">
        <f>MAX(0, 표1[[#This Row],[의무_면수]]-표1[[#This Row],[면수합]])</f>
        <v>0</v>
      </c>
      <c r="U419" s="44" t="str">
        <f t="shared" si="49"/>
        <v>이행완료</v>
      </c>
      <c r="V419" s="1">
        <f t="shared" si="53"/>
        <v>2</v>
      </c>
      <c r="W419" s="1" t="str">
        <f t="shared" si="50"/>
        <v/>
      </c>
      <c r="X419" s="1">
        <v>2</v>
      </c>
      <c r="Y419" s="64" t="str">
        <f>IFERROR(INDEX(입력!$M$2:$M$500, MATCH($BO419, 입력!$Z$2:$Z$500, 0)) &amp; "", "")</f>
        <v/>
      </c>
      <c r="Z419" s="64" t="str">
        <f>IFERROR(INDEX(입력!$N$2:$N$500, MATCH($BO419, 입력!$Z$2:$Z$500, 0)) &amp; "", "")</f>
        <v/>
      </c>
      <c r="AA419" s="64">
        <f>MAX(0, 표1[[#This Row],[의무_시설]]-표1[[#This Row],[시설합]])</f>
        <v>0</v>
      </c>
      <c r="AB419" s="17" t="str">
        <f t="shared" si="55"/>
        <v>이행완료</v>
      </c>
      <c r="AC419" s="64" t="str">
        <f>IFERROR(INDEX(입력!$P$2:$P$500, MATCH($BO419, 입력!$Z$2:$Z$500, 0)) &amp; "", "")</f>
        <v/>
      </c>
      <c r="AD419" s="64" t="str">
        <f>IFERROR(INDEX(입력!$Q$2:$Q$500, MATCH($BO419, 입력!$Z$2:$Z$500, 0)) &amp; "", "")</f>
        <v/>
      </c>
      <c r="AE419" s="64" t="str">
        <f>IFERROR(INDEX(입력!$R$2:$R$500, MATCH($BO419, 입력!$Z$2:$Z$500, 0)) &amp; "", "")</f>
        <v/>
      </c>
      <c r="AF419" s="64" t="str">
        <f>IFERROR(INDEX(입력!$S$2:$S$500, MATCH($BO419, 입력!$Z$2:$Z$500, 0)) &amp; "", "")</f>
        <v/>
      </c>
      <c r="AG419" s="64" t="str">
        <f>IFERROR(INDEX(입력!$T$2:$T$500, MATCH($BO419, 입력!$Z$2:$Z$500, 0)) &amp; "", "")</f>
        <v/>
      </c>
      <c r="AH419" s="64" t="str">
        <f>IFERROR(INDEX(입력!$U$2:$U$500, MATCH($BO419, 입력!$Z$2:$Z$500, 0)) &amp; "", "")</f>
        <v/>
      </c>
      <c r="AI419" s="64" t="str">
        <f>IFERROR(INDEX(입력!$V$2:$V$500, MATCH($BO419, 입력!$Z$2:$Z$500, 0)) &amp; "", "")</f>
        <v/>
      </c>
      <c r="AJ419" s="44" t="str">
        <f>IFERROR(INDEX(입력!$W$2:$W$500, MATCH($BO419, 입력!$Z$2:$Z$500, 0)) &amp; "", "")</f>
        <v/>
      </c>
      <c r="AK419" s="44" t="str">
        <f>IFERROR(INDEX(입력!$X$2:$X$500, MATCH($BO419, 입력!$Z$2:$Z$500, 0)) &amp; "", "")</f>
        <v/>
      </c>
      <c r="AL419" s="2"/>
      <c r="AM419" s="17" t="s">
        <v>1650</v>
      </c>
      <c r="AN419" s="101">
        <v>2025</v>
      </c>
      <c r="AO419" s="17" t="s">
        <v>3275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3131</v>
      </c>
      <c r="AZ419" s="71" t="str">
        <f>IFERROR(IF(INDEX(입력!$C$2:$C$500, MATCH($BO419, 입력!$Z$2:$Z$500, 0))="", "", TEXT(INDEX(입력!$C$2:$C$500, MATCH($BO419, 입력!$Z$2:$Z$500, 0)), "yyyy-mm-dd")), "")</f>
        <v/>
      </c>
      <c r="BA419" s="44" t="str">
        <f>IFERROR(INDEX(입력!$B$2:$B$500, MATCH($BO419, 입력!$Z$2:$Z$500, 0)) &amp; "", "")</f>
        <v/>
      </c>
      <c r="BB419" s="83" t="str">
        <f>IFERROR(INDEX(입력!$Y$2:$Y$500, MATCH($BO419, 입력!$Z$2:$Z$500, 0)) &amp; "", "")</f>
        <v/>
      </c>
      <c r="BC419" s="83" t="s">
        <v>3112</v>
      </c>
      <c r="BD419" s="83"/>
      <c r="BE419" s="101"/>
      <c r="BF419" s="101"/>
      <c r="BG419" s="101"/>
      <c r="BH419" s="101"/>
      <c r="BI419" s="101"/>
      <c r="BJ419" s="101"/>
      <c r="BK419" s="110"/>
      <c r="BL419" s="21"/>
      <c r="BM419" s="22">
        <v>115</v>
      </c>
      <c r="BN419" s="23"/>
      <c r="BO419" s="47" t="s">
        <v>936</v>
      </c>
    </row>
    <row r="420" spans="1:67" x14ac:dyDescent="0.45">
      <c r="A420" s="46">
        <v>419</v>
      </c>
      <c r="B420" s="1" t="s">
        <v>1647</v>
      </c>
      <c r="C420" s="17" t="str">
        <f t="shared" si="51"/>
        <v>이행완료</v>
      </c>
      <c r="D420" s="17" t="str">
        <f t="shared" si="54"/>
        <v/>
      </c>
      <c r="E420" s="2" t="s">
        <v>2220</v>
      </c>
      <c r="F420" s="1" t="s">
        <v>937</v>
      </c>
      <c r="G420" s="1" t="s">
        <v>2221</v>
      </c>
      <c r="H420" s="18" t="s">
        <v>1066</v>
      </c>
      <c r="I420" s="19">
        <v>176</v>
      </c>
      <c r="J420" s="2"/>
      <c r="K420" s="20" t="s">
        <v>2565</v>
      </c>
      <c r="L420" s="20"/>
      <c r="M420" s="17" t="str">
        <f t="shared" si="52"/>
        <v>기축</v>
      </c>
      <c r="N420" s="21"/>
      <c r="O420" s="21"/>
      <c r="P420" s="1">
        <f t="shared" si="48"/>
        <v>4</v>
      </c>
      <c r="Q420" s="1">
        <v>4</v>
      </c>
      <c r="R420" s="64" t="str">
        <f>IFERROR(INDEX(입력!$J$2:$J$500, MATCH($BO420, 입력!$Z$2:$Z$500, 0)) &amp; "", "")</f>
        <v/>
      </c>
      <c r="S420" s="64" t="str">
        <f>IFERROR(INDEX(입력!$K$2:$K$500, MATCH($BO420, 입력!$Z$2:$Z$500, 0)) &amp; "", "")</f>
        <v/>
      </c>
      <c r="T420" s="64">
        <f>MAX(0, 표1[[#This Row],[의무_면수]]-표1[[#This Row],[면수합]])</f>
        <v>0</v>
      </c>
      <c r="U420" s="44" t="str">
        <f t="shared" si="49"/>
        <v>이행완료</v>
      </c>
      <c r="V420" s="1">
        <f t="shared" si="53"/>
        <v>4</v>
      </c>
      <c r="W420" s="1" t="str">
        <f t="shared" si="50"/>
        <v/>
      </c>
      <c r="X420" s="1">
        <v>4</v>
      </c>
      <c r="Y420" s="64" t="str">
        <f>IFERROR(INDEX(입력!$M$2:$M$500, MATCH($BO420, 입력!$Z$2:$Z$500, 0)) &amp; "", "")</f>
        <v/>
      </c>
      <c r="Z420" s="64" t="str">
        <f>IFERROR(INDEX(입력!$N$2:$N$500, MATCH($BO420, 입력!$Z$2:$Z$500, 0)) &amp; "", "")</f>
        <v/>
      </c>
      <c r="AA420" s="64">
        <f>MAX(0, 표1[[#This Row],[의무_시설]]-표1[[#This Row],[시설합]])</f>
        <v>0</v>
      </c>
      <c r="AB420" s="17" t="str">
        <f t="shared" si="55"/>
        <v>이행완료</v>
      </c>
      <c r="AC420" s="64" t="str">
        <f>IFERROR(INDEX(입력!$P$2:$P$500, MATCH($BO420, 입력!$Z$2:$Z$500, 0)) &amp; "", "")</f>
        <v/>
      </c>
      <c r="AD420" s="64" t="str">
        <f>IFERROR(INDEX(입력!$Q$2:$Q$500, MATCH($BO420, 입력!$Z$2:$Z$500, 0)) &amp; "", "")</f>
        <v/>
      </c>
      <c r="AE420" s="64" t="str">
        <f>IFERROR(INDEX(입력!$R$2:$R$500, MATCH($BO420, 입력!$Z$2:$Z$500, 0)) &amp; "", "")</f>
        <v/>
      </c>
      <c r="AF420" s="64" t="str">
        <f>IFERROR(INDEX(입력!$S$2:$S$500, MATCH($BO420, 입력!$Z$2:$Z$500, 0)) &amp; "", "")</f>
        <v/>
      </c>
      <c r="AG420" s="64" t="str">
        <f>IFERROR(INDEX(입력!$T$2:$T$500, MATCH($BO420, 입력!$Z$2:$Z$500, 0)) &amp; "", "")</f>
        <v/>
      </c>
      <c r="AH420" s="64" t="str">
        <f>IFERROR(INDEX(입력!$U$2:$U$500, MATCH($BO420, 입력!$Z$2:$Z$500, 0)) &amp; "", "")</f>
        <v/>
      </c>
      <c r="AI420" s="64" t="str">
        <f>IFERROR(INDEX(입력!$V$2:$V$500, MATCH($BO420, 입력!$Z$2:$Z$500, 0)) &amp; "", "")</f>
        <v/>
      </c>
      <c r="AJ420" s="44" t="str">
        <f>IFERROR(INDEX(입력!$W$2:$W$500, MATCH($BO420, 입력!$Z$2:$Z$500, 0)) &amp; "", "")</f>
        <v/>
      </c>
      <c r="AK420" s="44" t="str">
        <f>IFERROR(INDEX(입력!$X$2:$X$500, MATCH($BO420, 입력!$Z$2:$Z$500, 0)) &amp; "", "")</f>
        <v/>
      </c>
      <c r="AL420" s="2"/>
      <c r="AM420" s="17" t="s">
        <v>1650</v>
      </c>
      <c r="AN420" s="101">
        <v>2025</v>
      </c>
      <c r="AO420" s="17" t="s">
        <v>3277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3137</v>
      </c>
      <c r="AZ420" s="71" t="str">
        <f>IFERROR(IF(INDEX(입력!$C$2:$C$500, MATCH($BO420, 입력!$Z$2:$Z$500, 0))="", "", TEXT(INDEX(입력!$C$2:$C$500, MATCH($BO420, 입력!$Z$2:$Z$500, 0)), "yyyy-mm-dd")), "")</f>
        <v/>
      </c>
      <c r="BA420" s="44" t="str">
        <f>IFERROR(INDEX(입력!$B$2:$B$500, MATCH($BO420, 입력!$Z$2:$Z$500, 0)) &amp; "", "")</f>
        <v/>
      </c>
      <c r="BB420" s="83" t="str">
        <f>IFERROR(INDEX(입력!$Y$2:$Y$500, MATCH($BO420, 입력!$Z$2:$Z$500, 0)) &amp; "", "")</f>
        <v/>
      </c>
      <c r="BC420" s="83" t="s">
        <v>3112</v>
      </c>
      <c r="BD420" s="83"/>
      <c r="BE420" s="101"/>
      <c r="BF420" s="101"/>
      <c r="BG420" s="101"/>
      <c r="BH420" s="101"/>
      <c r="BI420" s="101"/>
      <c r="BJ420" s="101"/>
      <c r="BK420" s="110"/>
      <c r="BL420" s="21"/>
      <c r="BM420" s="22">
        <v>176</v>
      </c>
      <c r="BN420" s="23"/>
      <c r="BO420" s="47" t="s">
        <v>938</v>
      </c>
    </row>
    <row r="421" spans="1:67" x14ac:dyDescent="0.45">
      <c r="A421" s="19">
        <v>420</v>
      </c>
      <c r="B421" s="1" t="s">
        <v>1647</v>
      </c>
      <c r="C421" s="17" t="str">
        <f t="shared" si="51"/>
        <v>이행완료</v>
      </c>
      <c r="D421" s="17" t="str">
        <f t="shared" si="54"/>
        <v>조사완료</v>
      </c>
      <c r="E421" s="2" t="s">
        <v>42</v>
      </c>
      <c r="F421" s="1" t="s">
        <v>939</v>
      </c>
      <c r="G421" s="1" t="s">
        <v>2222</v>
      </c>
      <c r="H421" s="18" t="s">
        <v>1066</v>
      </c>
      <c r="I421" s="19">
        <v>182</v>
      </c>
      <c r="J421" s="2"/>
      <c r="K421" s="20" t="s">
        <v>2330</v>
      </c>
      <c r="L421" s="20"/>
      <c r="M421" s="17" t="str">
        <f t="shared" si="52"/>
        <v>기축</v>
      </c>
      <c r="N421" s="21"/>
      <c r="O421" s="21"/>
      <c r="P421" s="1">
        <f t="shared" si="48"/>
        <v>4</v>
      </c>
      <c r="Q421" s="1">
        <v>9</v>
      </c>
      <c r="R421" s="64" t="str">
        <f>IFERROR(INDEX(입력!$J$2:$J$500, MATCH($BO421, 입력!$Z$2:$Z$500, 0)) &amp; "", "")</f>
        <v>7</v>
      </c>
      <c r="S421" s="64" t="str">
        <f>IFERROR(INDEX(입력!$K$2:$K$500, MATCH($BO421, 입력!$Z$2:$Z$500, 0)) &amp; "", "")</f>
        <v>2</v>
      </c>
      <c r="T421" s="64">
        <f>MAX(0, 표1[[#This Row],[의무_면수]]-표1[[#This Row],[면수합]])</f>
        <v>0</v>
      </c>
      <c r="U421" s="44" t="str">
        <f t="shared" si="49"/>
        <v>이행완료</v>
      </c>
      <c r="V421" s="1">
        <f t="shared" si="53"/>
        <v>4</v>
      </c>
      <c r="W421" s="1" t="str">
        <f t="shared" si="50"/>
        <v/>
      </c>
      <c r="X421" s="1">
        <v>9</v>
      </c>
      <c r="Y421" s="64" t="str">
        <f>IFERROR(INDEX(입력!$M$2:$M$500, MATCH($BO421, 입력!$Z$2:$Z$500, 0)) &amp; "", "")</f>
        <v/>
      </c>
      <c r="Z421" s="64" t="str">
        <f>IFERROR(INDEX(입력!$N$2:$N$500, MATCH($BO421, 입력!$Z$2:$Z$500, 0)) &amp; "", "")</f>
        <v>9</v>
      </c>
      <c r="AA421" s="64">
        <f>MAX(0, 표1[[#This Row],[의무_시설]]-표1[[#This Row],[시설합]])</f>
        <v>0</v>
      </c>
      <c r="AB421" s="17" t="str">
        <f t="shared" si="55"/>
        <v>이행완료</v>
      </c>
      <c r="AC421" s="64" t="str">
        <f>IFERROR(INDEX(입력!$P$2:$P$500, MATCH($BO421, 입력!$Z$2:$Z$500, 0)) &amp; "", "")</f>
        <v>216</v>
      </c>
      <c r="AD421" s="64" t="str">
        <f>IFERROR(INDEX(입력!$Q$2:$Q$500, MATCH($BO421, 입력!$Z$2:$Z$500, 0)) &amp; "", "")</f>
        <v>1</v>
      </c>
      <c r="AE421" s="64" t="str">
        <f>IFERROR(INDEX(입력!$R$2:$R$500, MATCH($BO421, 입력!$Z$2:$Z$500, 0)) &amp; "", "")</f>
        <v/>
      </c>
      <c r="AF421" s="64" t="str">
        <f>IFERROR(INDEX(입력!$S$2:$S$500, MATCH($BO421, 입력!$Z$2:$Z$500, 0)) &amp; "", "")</f>
        <v/>
      </c>
      <c r="AG421" s="64" t="str">
        <f>IFERROR(INDEX(입력!$T$2:$T$500, MATCH($BO421, 입력!$Z$2:$Z$500, 0)) &amp; "", "")</f>
        <v>여</v>
      </c>
      <c r="AH421" s="64" t="str">
        <f>IFERROR(INDEX(입력!$U$2:$U$500, MATCH($BO421, 입력!$Z$2:$Z$500, 0)) &amp; "", "")</f>
        <v>5</v>
      </c>
      <c r="AI421" s="64" t="str">
        <f>IFERROR(INDEX(입력!$V$2:$V$500, MATCH($BO421, 입력!$Z$2:$Z$500, 0)) &amp; "", "")</f>
        <v>여</v>
      </c>
      <c r="AJ421" s="44" t="str">
        <f>IFERROR(INDEX(입력!$W$2:$W$500, MATCH($BO421, 입력!$Z$2:$Z$500, 0)) &amp; "", "")</f>
        <v>변명숙</v>
      </c>
      <c r="AK421" s="44" t="str">
        <f>IFERROR(INDEX(입력!$X$2:$X$500, MATCH($BO421, 입력!$Z$2:$Z$500, 0)) &amp; "", "")</f>
        <v>010-9165-2439</v>
      </c>
      <c r="AL421" s="2" t="s">
        <v>2223</v>
      </c>
      <c r="AM421" s="17" t="s">
        <v>1650</v>
      </c>
      <c r="AN421" s="101">
        <v>2025</v>
      </c>
      <c r="AO421" s="17" t="s">
        <v>3275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1760</v>
      </c>
      <c r="AW421" s="101"/>
      <c r="AX421" s="119" t="s">
        <v>1787</v>
      </c>
      <c r="AY421" s="83" t="s">
        <v>3137</v>
      </c>
      <c r="AZ421" s="71" t="str">
        <f>IFERROR(IF(INDEX(입력!$C$2:$C$500, MATCH($BO421, 입력!$Z$2:$Z$500, 0))="", "", TEXT(INDEX(입력!$C$2:$C$500, MATCH($BO421, 입력!$Z$2:$Z$500, 0)), "yyyy-mm-dd")), "")</f>
        <v>2026-04-10</v>
      </c>
      <c r="BA421" s="44" t="str">
        <f>IFERROR(INDEX(입력!$B$2:$B$500, MATCH($BO421, 입력!$Z$2:$Z$500, 0)) &amp; "", "")</f>
        <v>최하영</v>
      </c>
      <c r="BB421" s="83" t="str">
        <f>IFERROR(INDEX(입력!$Y$2:$Y$500, MATCH($BO421, 입력!$Z$2:$Z$500, 0)) &amp; "", "")</f>
        <v/>
      </c>
      <c r="BC421" s="83" t="s">
        <v>3112</v>
      </c>
      <c r="BD421" s="83"/>
      <c r="BE421" s="101"/>
      <c r="BF421" s="101"/>
      <c r="BG421" s="101"/>
      <c r="BH421" s="101"/>
      <c r="BI421" s="101"/>
      <c r="BJ421" s="101"/>
      <c r="BK421" s="110"/>
      <c r="BL421" s="21"/>
      <c r="BM421" s="22">
        <v>181</v>
      </c>
      <c r="BN421" s="23"/>
      <c r="BO421" s="47" t="s">
        <v>940</v>
      </c>
    </row>
    <row r="422" spans="1:67" x14ac:dyDescent="0.45">
      <c r="A422" s="46">
        <v>421</v>
      </c>
      <c r="B422" s="1" t="s">
        <v>1647</v>
      </c>
      <c r="C422" s="17" t="str">
        <f t="shared" si="51"/>
        <v>이행완료</v>
      </c>
      <c r="D422" s="17" t="str">
        <f t="shared" si="54"/>
        <v>조사완료</v>
      </c>
      <c r="E422" s="2" t="s">
        <v>2224</v>
      </c>
      <c r="F422" s="1" t="s">
        <v>941</v>
      </c>
      <c r="G422" s="1" t="s">
        <v>2225</v>
      </c>
      <c r="H422" s="18" t="s">
        <v>1462</v>
      </c>
      <c r="I422" s="19">
        <v>120</v>
      </c>
      <c r="J422" s="2"/>
      <c r="K422" s="20" t="s">
        <v>2614</v>
      </c>
      <c r="L422" s="20"/>
      <c r="M422" s="17" t="str">
        <f t="shared" si="52"/>
        <v>기축</v>
      </c>
      <c r="N422" s="21"/>
      <c r="O422" s="21"/>
      <c r="P422" s="1">
        <f t="shared" si="48"/>
        <v>2</v>
      </c>
      <c r="Q422" s="1">
        <v>2</v>
      </c>
      <c r="R422" s="64" t="str">
        <f>IFERROR(INDEX(입력!$J$2:$J$500, MATCH($BO422, 입력!$Z$2:$Z$500, 0)) &amp; "", "")</f>
        <v>2</v>
      </c>
      <c r="S422" s="64" t="str">
        <f>IFERROR(INDEX(입력!$K$2:$K$500, MATCH($BO422, 입력!$Z$2:$Z$500, 0)) &amp; "", "")</f>
        <v/>
      </c>
      <c r="T422" s="64">
        <f>MAX(0, 표1[[#This Row],[의무_면수]]-표1[[#This Row],[면수합]])</f>
        <v>0</v>
      </c>
      <c r="U422" s="44" t="str">
        <f t="shared" si="49"/>
        <v>이행완료</v>
      </c>
      <c r="V422" s="1">
        <f t="shared" si="53"/>
        <v>2</v>
      </c>
      <c r="W422" s="1" t="str">
        <f t="shared" si="50"/>
        <v/>
      </c>
      <c r="X422" s="1">
        <v>2</v>
      </c>
      <c r="Y422" s="64" t="str">
        <f>IFERROR(INDEX(입력!$M$2:$M$500, MATCH($BO422, 입력!$Z$2:$Z$500, 0)) &amp; "", "")</f>
        <v/>
      </c>
      <c r="Z422" s="64" t="str">
        <f>IFERROR(INDEX(입력!$N$2:$N$500, MATCH($BO422, 입력!$Z$2:$Z$500, 0)) &amp; "", "")</f>
        <v>2</v>
      </c>
      <c r="AA422" s="64">
        <f>MAX(0, 표1[[#This Row],[의무_시설]]-표1[[#This Row],[시설합]])</f>
        <v>0</v>
      </c>
      <c r="AB422" s="17" t="str">
        <f t="shared" si="55"/>
        <v>이행완료</v>
      </c>
      <c r="AC422" s="64" t="str">
        <f>IFERROR(INDEX(입력!$P$2:$P$500, MATCH($BO422, 입력!$Z$2:$Z$500, 0)) &amp; "", "")</f>
        <v>173</v>
      </c>
      <c r="AD422" s="64" t="str">
        <f>IFERROR(INDEX(입력!$Q$2:$Q$500, MATCH($BO422, 입력!$Z$2:$Z$500, 0)) &amp; "", "")</f>
        <v>3</v>
      </c>
      <c r="AE422" s="64" t="str">
        <f>IFERROR(INDEX(입력!$R$2:$R$500, MATCH($BO422, 입력!$Z$2:$Z$500, 0)) &amp; "", "")</f>
        <v/>
      </c>
      <c r="AF422" s="64" t="str">
        <f>IFERROR(INDEX(입력!$S$2:$S$500, MATCH($BO422, 입력!$Z$2:$Z$500, 0)) &amp; "", "")</f>
        <v/>
      </c>
      <c r="AG422" s="64" t="str">
        <f>IFERROR(INDEX(입력!$T$2:$T$500, MATCH($BO422, 입력!$Z$2:$Z$500, 0)) &amp; "", "")</f>
        <v>부</v>
      </c>
      <c r="AH422" s="64" t="str">
        <f>IFERROR(INDEX(입력!$U$2:$U$500, MATCH($BO422, 입력!$Z$2:$Z$500, 0)) &amp; "", "")</f>
        <v/>
      </c>
      <c r="AI422" s="64" t="str">
        <f>IFERROR(INDEX(입력!$V$2:$V$500, MATCH($BO422, 입력!$Z$2:$Z$500, 0)) &amp; "", "")</f>
        <v>여</v>
      </c>
      <c r="AJ422" s="44" t="str">
        <f>IFERROR(INDEX(입력!$W$2:$W$500, MATCH($BO422, 입력!$Z$2:$Z$500, 0)) &amp; "", "")</f>
        <v>강영민</v>
      </c>
      <c r="AK422" s="44" t="str">
        <f>IFERROR(INDEX(입력!$X$2:$X$500, MATCH($BO422, 입력!$Z$2:$Z$500, 0)) &amp; "", "")</f>
        <v>010-6690-5439</v>
      </c>
      <c r="AL422" s="2" t="s">
        <v>50</v>
      </c>
      <c r="AM422" s="17" t="s">
        <v>1650</v>
      </c>
      <c r="AN422" s="101">
        <v>2025</v>
      </c>
      <c r="AO422" s="17" t="s">
        <v>3275</v>
      </c>
      <c r="AP422" s="118"/>
      <c r="AQ422" s="21" t="s">
        <v>1715</v>
      </c>
      <c r="AR422" s="119" t="s">
        <v>2226</v>
      </c>
      <c r="AS422" s="101" t="s">
        <v>3163</v>
      </c>
      <c r="AT422" s="109">
        <v>46034</v>
      </c>
      <c r="AU422" s="101" t="s">
        <v>3126</v>
      </c>
      <c r="AV422" s="21" t="s">
        <v>1715</v>
      </c>
      <c r="AW422" s="101"/>
      <c r="AX422" s="119" t="s">
        <v>2226</v>
      </c>
      <c r="AY422" s="83" t="s">
        <v>3137</v>
      </c>
      <c r="AZ422" s="71" t="str">
        <f>IFERROR(IF(INDEX(입력!$C$2:$C$500, MATCH($BO422, 입력!$Z$2:$Z$500, 0))="", "", TEXT(INDEX(입력!$C$2:$C$500, MATCH($BO422, 입력!$Z$2:$Z$500, 0)), "yyyy-mm-dd")), "")</f>
        <v>2026-04-10</v>
      </c>
      <c r="BA422" s="44" t="str">
        <f>IFERROR(INDEX(입력!$B$2:$B$500, MATCH($BO422, 입력!$Z$2:$Z$500, 0)) &amp; "", "")</f>
        <v>최하영</v>
      </c>
      <c r="BB422" s="83" t="str">
        <f>IFERROR(INDEX(입력!$Y$2:$Y$500, MATCH($BO422, 입력!$Z$2:$Z$500, 0)) &amp; "", "")</f>
        <v/>
      </c>
      <c r="BC422" s="83" t="s">
        <v>3112</v>
      </c>
      <c r="BD422" s="83"/>
      <c r="BE422" s="101"/>
      <c r="BF422" s="101"/>
      <c r="BG422" s="101"/>
      <c r="BH422" s="101"/>
      <c r="BI422" s="101"/>
      <c r="BJ422" s="101"/>
      <c r="BK422" s="110"/>
      <c r="BL422" s="21"/>
      <c r="BM422" s="22">
        <v>152</v>
      </c>
      <c r="BN422" s="23"/>
      <c r="BO422" s="47" t="s">
        <v>942</v>
      </c>
    </row>
    <row r="423" spans="1:67" x14ac:dyDescent="0.45">
      <c r="A423" s="19">
        <v>422</v>
      </c>
      <c r="B423" s="1" t="s">
        <v>1647</v>
      </c>
      <c r="C423" s="17" t="str">
        <f t="shared" si="51"/>
        <v>이행완료</v>
      </c>
      <c r="D423" s="17" t="str">
        <f t="shared" si="54"/>
        <v/>
      </c>
      <c r="E423" s="2" t="s">
        <v>2227</v>
      </c>
      <c r="F423" s="1" t="s">
        <v>943</v>
      </c>
      <c r="G423" s="1" t="s">
        <v>2228</v>
      </c>
      <c r="H423" s="18" t="s">
        <v>1133</v>
      </c>
      <c r="I423" s="19">
        <v>215</v>
      </c>
      <c r="J423" s="2"/>
      <c r="K423" s="20" t="s">
        <v>2430</v>
      </c>
      <c r="L423" s="20"/>
      <c r="M423" s="17" t="str">
        <f t="shared" si="52"/>
        <v>기축</v>
      </c>
      <c r="N423" s="21"/>
      <c r="O423" s="21"/>
      <c r="P423" s="1">
        <f t="shared" si="48"/>
        <v>4</v>
      </c>
      <c r="Q423" s="1">
        <v>5</v>
      </c>
      <c r="R423" s="64" t="str">
        <f>IFERROR(INDEX(입력!$J$2:$J$500, MATCH($BO423, 입력!$Z$2:$Z$500, 0)) &amp; "", "")</f>
        <v/>
      </c>
      <c r="S423" s="64" t="str">
        <f>IFERROR(INDEX(입력!$K$2:$K$500, MATCH($BO423, 입력!$Z$2:$Z$500, 0)) &amp; "", "")</f>
        <v/>
      </c>
      <c r="T423" s="64">
        <f>MAX(0, 표1[[#This Row],[의무_면수]]-표1[[#This Row],[면수합]])</f>
        <v>0</v>
      </c>
      <c r="U423" s="44" t="str">
        <f t="shared" si="49"/>
        <v>이행완료</v>
      </c>
      <c r="V423" s="1">
        <f t="shared" si="53"/>
        <v>4</v>
      </c>
      <c r="W423" s="1" t="str">
        <f t="shared" si="50"/>
        <v/>
      </c>
      <c r="X423" s="1">
        <v>5</v>
      </c>
      <c r="Y423" s="64" t="str">
        <f>IFERROR(INDEX(입력!$M$2:$M$500, MATCH($BO423, 입력!$Z$2:$Z$500, 0)) &amp; "", "")</f>
        <v/>
      </c>
      <c r="Z423" s="64" t="str">
        <f>IFERROR(INDEX(입력!$N$2:$N$500, MATCH($BO423, 입력!$Z$2:$Z$500, 0)) &amp; "", "")</f>
        <v/>
      </c>
      <c r="AA423" s="64">
        <f>MAX(0, 표1[[#This Row],[의무_시설]]-표1[[#This Row],[시설합]])</f>
        <v>0</v>
      </c>
      <c r="AB423" s="17" t="str">
        <f t="shared" si="55"/>
        <v>이행완료</v>
      </c>
      <c r="AC423" s="64" t="str">
        <f>IFERROR(INDEX(입력!$P$2:$P$500, MATCH($BO423, 입력!$Z$2:$Z$500, 0)) &amp; "", "")</f>
        <v/>
      </c>
      <c r="AD423" s="64" t="str">
        <f>IFERROR(INDEX(입력!$Q$2:$Q$500, MATCH($BO423, 입력!$Z$2:$Z$500, 0)) &amp; "", "")</f>
        <v/>
      </c>
      <c r="AE423" s="64" t="str">
        <f>IFERROR(INDEX(입력!$R$2:$R$500, MATCH($BO423, 입력!$Z$2:$Z$500, 0)) &amp; "", "")</f>
        <v/>
      </c>
      <c r="AF423" s="64" t="str">
        <f>IFERROR(INDEX(입력!$S$2:$S$500, MATCH($BO423, 입력!$Z$2:$Z$500, 0)) &amp; "", "")</f>
        <v/>
      </c>
      <c r="AG423" s="64" t="str">
        <f>IFERROR(INDEX(입력!$T$2:$T$500, MATCH($BO423, 입력!$Z$2:$Z$500, 0)) &amp; "", "")</f>
        <v/>
      </c>
      <c r="AH423" s="64" t="str">
        <f>IFERROR(INDEX(입력!$U$2:$U$500, MATCH($BO423, 입력!$Z$2:$Z$500, 0)) &amp; "", "")</f>
        <v/>
      </c>
      <c r="AI423" s="64" t="str">
        <f>IFERROR(INDEX(입력!$V$2:$V$500, MATCH($BO423, 입력!$Z$2:$Z$500, 0)) &amp; "", "")</f>
        <v/>
      </c>
      <c r="AJ423" s="44" t="str">
        <f>IFERROR(INDEX(입력!$W$2:$W$500, MATCH($BO423, 입력!$Z$2:$Z$500, 0)) &amp; "", "")</f>
        <v/>
      </c>
      <c r="AK423" s="44" t="str">
        <f>IFERROR(INDEX(입력!$X$2:$X$500, MATCH($BO423, 입력!$Z$2:$Z$500, 0)) &amp; "", "")</f>
        <v/>
      </c>
      <c r="AL423" s="2" t="s">
        <v>2229</v>
      </c>
      <c r="AM423" s="17" t="s">
        <v>1650</v>
      </c>
      <c r="AN423" s="101">
        <v>2025</v>
      </c>
      <c r="AO423" s="17" t="s">
        <v>3275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3137</v>
      </c>
      <c r="AZ423" s="71" t="str">
        <f>IFERROR(IF(INDEX(입력!$C$2:$C$500, MATCH($BO423, 입력!$Z$2:$Z$500, 0))="", "", TEXT(INDEX(입력!$C$2:$C$500, MATCH($BO423, 입력!$Z$2:$Z$500, 0)), "yyyy-mm-dd")), "")</f>
        <v/>
      </c>
      <c r="BA423" s="44" t="str">
        <f>IFERROR(INDEX(입력!$B$2:$B$500, MATCH($BO423, 입력!$Z$2:$Z$500, 0)) &amp; "", "")</f>
        <v/>
      </c>
      <c r="BB423" s="83" t="str">
        <f>IFERROR(INDEX(입력!$Y$2:$Y$500, MATCH($BO423, 입력!$Z$2:$Z$500, 0)) &amp; "", "")</f>
        <v/>
      </c>
      <c r="BC423" s="83" t="s">
        <v>3112</v>
      </c>
      <c r="BD423" s="83"/>
      <c r="BE423" s="101"/>
      <c r="BF423" s="101"/>
      <c r="BG423" s="101"/>
      <c r="BH423" s="101"/>
      <c r="BI423" s="101"/>
      <c r="BJ423" s="101"/>
      <c r="BK423" s="110"/>
      <c r="BL423" s="21"/>
      <c r="BM423" s="22">
        <v>215</v>
      </c>
      <c r="BN423" s="23"/>
      <c r="BO423" s="47" t="s">
        <v>944</v>
      </c>
    </row>
    <row r="424" spans="1:67" x14ac:dyDescent="0.45">
      <c r="A424" s="46">
        <v>423</v>
      </c>
      <c r="B424" s="1" t="s">
        <v>1647</v>
      </c>
      <c r="C424" s="17" t="str">
        <f t="shared" si="51"/>
        <v>미이행</v>
      </c>
      <c r="D424" s="17" t="str">
        <f t="shared" si="54"/>
        <v>조사완료</v>
      </c>
      <c r="E424" s="2" t="s">
        <v>2230</v>
      </c>
      <c r="F424" s="1" t="s">
        <v>945</v>
      </c>
      <c r="G424" s="1" t="s">
        <v>2231</v>
      </c>
      <c r="H424" s="18" t="s">
        <v>1566</v>
      </c>
      <c r="I424" s="19">
        <v>88</v>
      </c>
      <c r="J424" s="2"/>
      <c r="K424" s="20" t="s">
        <v>2331</v>
      </c>
      <c r="L424" s="20"/>
      <c r="M424" s="17" t="str">
        <f t="shared" si="52"/>
        <v>기축</v>
      </c>
      <c r="N424" s="21"/>
      <c r="O424" s="21"/>
      <c r="P424" s="1">
        <f t="shared" si="48"/>
        <v>2</v>
      </c>
      <c r="Q424" s="1">
        <v>0</v>
      </c>
      <c r="R424" s="64" t="str">
        <f>IFERROR(INDEX(입력!$J$2:$J$500, MATCH($BO424, 입력!$Z$2:$Z$500, 0)) &amp; "", "")</f>
        <v/>
      </c>
      <c r="S424" s="64" t="str">
        <f>IFERROR(INDEX(입력!$K$2:$K$500, MATCH($BO424, 입력!$Z$2:$Z$500, 0)) &amp; "", "")</f>
        <v/>
      </c>
      <c r="T424" s="64">
        <f>MAX(0, 표1[[#This Row],[의무_면수]]-표1[[#This Row],[면수합]])</f>
        <v>2</v>
      </c>
      <c r="U424" s="44" t="str">
        <f t="shared" si="49"/>
        <v>미이행</v>
      </c>
      <c r="V424" s="1">
        <f t="shared" si="53"/>
        <v>2</v>
      </c>
      <c r="W424" s="1" t="str">
        <f t="shared" si="50"/>
        <v/>
      </c>
      <c r="X424" s="1">
        <v>0</v>
      </c>
      <c r="Y424" s="64" t="str">
        <f>IFERROR(INDEX(입력!$M$2:$M$500, MATCH($BO424, 입력!$Z$2:$Z$500, 0)) &amp; "", "")</f>
        <v/>
      </c>
      <c r="Z424" s="64" t="str">
        <f>IFERROR(INDEX(입력!$N$2:$N$500, MATCH($BO424, 입력!$Z$2:$Z$500, 0)) &amp; "", "")</f>
        <v/>
      </c>
      <c r="AA424" s="64">
        <f>MAX(0, 표1[[#This Row],[의무_시설]]-표1[[#This Row],[시설합]])</f>
        <v>2</v>
      </c>
      <c r="AB424" s="17" t="str">
        <f t="shared" si="55"/>
        <v>미이행</v>
      </c>
      <c r="AC424" s="64" t="str">
        <f>IFERROR(INDEX(입력!$P$2:$P$500, MATCH($BO424, 입력!$Z$2:$Z$500, 0)) &amp; "", "")</f>
        <v>125</v>
      </c>
      <c r="AD424" s="64" t="str">
        <f>IFERROR(INDEX(입력!$Q$2:$Q$500, MATCH($BO424, 입력!$Z$2:$Z$500, 0)) &amp; "", "")</f>
        <v/>
      </c>
      <c r="AE424" s="64" t="str">
        <f>IFERROR(INDEX(입력!$R$2:$R$500, MATCH($BO424, 입력!$Z$2:$Z$500, 0)) &amp; "", "")</f>
        <v>부</v>
      </c>
      <c r="AF424" s="64" t="str">
        <f>IFERROR(INDEX(입력!$S$2:$S$500, MATCH($BO424, 입력!$Z$2:$Z$500, 0)) &amp; "", "")</f>
        <v>부</v>
      </c>
      <c r="AG424" s="64" t="str">
        <f>IFERROR(INDEX(입력!$T$2:$T$500, MATCH($BO424, 입력!$Z$2:$Z$500, 0)) &amp; "", "")</f>
        <v>부</v>
      </c>
      <c r="AH424" s="64" t="str">
        <f>IFERROR(INDEX(입력!$U$2:$U$500, MATCH($BO424, 입력!$Z$2:$Z$500, 0)) &amp; "", "")</f>
        <v/>
      </c>
      <c r="AI424" s="64" t="str">
        <f>IFERROR(INDEX(입력!$V$2:$V$500, MATCH($BO424, 입력!$Z$2:$Z$500, 0)) &amp; "", "")</f>
        <v>여</v>
      </c>
      <c r="AJ424" s="44" t="str">
        <f>IFERROR(INDEX(입력!$W$2:$W$500, MATCH($BO424, 입력!$Z$2:$Z$500, 0)) &amp; "", "")</f>
        <v>관리사무소</v>
      </c>
      <c r="AK424" s="44" t="str">
        <f>IFERROR(INDEX(입력!$X$2:$X$500, MATCH($BO424, 입력!$Z$2:$Z$500, 0)) &amp; "", "")</f>
        <v>942-3412</v>
      </c>
      <c r="AL424" s="2" t="s">
        <v>2232</v>
      </c>
      <c r="AM424" s="17" t="s">
        <v>1650</v>
      </c>
      <c r="AN424" s="101">
        <v>2025</v>
      </c>
      <c r="AO424" s="17" t="s">
        <v>3275</v>
      </c>
      <c r="AP424" s="101"/>
      <c r="AQ424" s="108"/>
      <c r="AR424" s="119"/>
      <c r="AS424" s="101" t="s">
        <v>1094</v>
      </c>
      <c r="AT424" s="109">
        <v>46062</v>
      </c>
      <c r="AU424" s="101" t="s">
        <v>3126</v>
      </c>
      <c r="AV424" s="101" t="s">
        <v>3319</v>
      </c>
      <c r="AW424" s="101" t="s">
        <v>3149</v>
      </c>
      <c r="AX424" s="101" t="s">
        <v>3320</v>
      </c>
      <c r="AY424" s="83" t="s">
        <v>3137</v>
      </c>
      <c r="AZ424" s="71" t="str">
        <f>IFERROR(IF(INDEX(입력!$C$2:$C$500, MATCH($BO424, 입력!$Z$2:$Z$500, 0))="", "", TEXT(INDEX(입력!$C$2:$C$500, MATCH($BO424, 입력!$Z$2:$Z$500, 0)), "yyyy-mm-dd")), "")</f>
        <v>2026-04-03</v>
      </c>
      <c r="BA424" s="44" t="str">
        <f>IFERROR(INDEX(입력!$B$2:$B$500, MATCH($BO424, 입력!$Z$2:$Z$500, 0)) &amp; "", "")</f>
        <v>최하영</v>
      </c>
      <c r="BB424" s="83" t="str">
        <f>IFERROR(INDEX(입력!$Y$2:$Y$500, MATCH($BO424, 입력!$Z$2:$Z$500, 0)) &amp; "", "")</f>
        <v>공간부족, 주차규격미달</v>
      </c>
      <c r="BC424" s="83" t="s">
        <v>3149</v>
      </c>
      <c r="BD424" s="83"/>
      <c r="BE424" s="101" t="s">
        <v>3808</v>
      </c>
      <c r="BF424" s="109">
        <v>46156</v>
      </c>
      <c r="BG424" s="101" t="s">
        <v>1089</v>
      </c>
      <c r="BH424" s="101" t="s">
        <v>3809</v>
      </c>
      <c r="BI424" s="101" t="s">
        <v>3810</v>
      </c>
      <c r="BJ424" s="101"/>
      <c r="BK424" s="110"/>
      <c r="BL424" s="21"/>
      <c r="BM424" s="22">
        <v>68</v>
      </c>
      <c r="BN424" s="23"/>
      <c r="BO424" s="47" t="s">
        <v>946</v>
      </c>
    </row>
    <row r="425" spans="1:67" x14ac:dyDescent="0.45">
      <c r="A425" s="19">
        <v>424</v>
      </c>
      <c r="B425" s="1" t="s">
        <v>1647</v>
      </c>
      <c r="C425" s="17" t="str">
        <f t="shared" si="51"/>
        <v>이행완료</v>
      </c>
      <c r="D425" s="17" t="str">
        <f t="shared" si="54"/>
        <v/>
      </c>
      <c r="E425" s="2" t="s">
        <v>2233</v>
      </c>
      <c r="F425" s="1" t="s">
        <v>947</v>
      </c>
      <c r="G425" s="1" t="s">
        <v>2234</v>
      </c>
      <c r="H425" s="18" t="s">
        <v>1566</v>
      </c>
      <c r="I425" s="19">
        <v>197</v>
      </c>
      <c r="J425" s="2"/>
      <c r="K425" s="20" t="s">
        <v>2491</v>
      </c>
      <c r="L425" s="20"/>
      <c r="M425" s="17" t="str">
        <f t="shared" si="52"/>
        <v>기축</v>
      </c>
      <c r="N425" s="21"/>
      <c r="O425" s="21"/>
      <c r="P425" s="1">
        <f t="shared" si="48"/>
        <v>4</v>
      </c>
      <c r="Q425" s="1">
        <v>5</v>
      </c>
      <c r="R425" s="64" t="str">
        <f>IFERROR(INDEX(입력!$J$2:$J$500, MATCH($BO425, 입력!$Z$2:$Z$500, 0)) &amp; "", "")</f>
        <v/>
      </c>
      <c r="S425" s="64" t="str">
        <f>IFERROR(INDEX(입력!$K$2:$K$500, MATCH($BO425, 입력!$Z$2:$Z$500, 0)) &amp; "", "")</f>
        <v/>
      </c>
      <c r="T425" s="64">
        <f>MAX(0, 표1[[#This Row],[의무_면수]]-표1[[#This Row],[면수합]])</f>
        <v>0</v>
      </c>
      <c r="U425" s="44" t="str">
        <f t="shared" si="49"/>
        <v>이행완료</v>
      </c>
      <c r="V425" s="1">
        <f t="shared" si="53"/>
        <v>4</v>
      </c>
      <c r="W425" s="1" t="str">
        <f t="shared" si="50"/>
        <v/>
      </c>
      <c r="X425" s="1">
        <v>5</v>
      </c>
      <c r="Y425" s="64" t="str">
        <f>IFERROR(INDEX(입력!$M$2:$M$500, MATCH($BO425, 입력!$Z$2:$Z$500, 0)) &amp; "", "")</f>
        <v/>
      </c>
      <c r="Z425" s="64" t="str">
        <f>IFERROR(INDEX(입력!$N$2:$N$500, MATCH($BO425, 입력!$Z$2:$Z$500, 0)) &amp; "", "")</f>
        <v/>
      </c>
      <c r="AA425" s="64">
        <f>MAX(0, 표1[[#This Row],[의무_시설]]-표1[[#This Row],[시설합]])</f>
        <v>0</v>
      </c>
      <c r="AB425" s="17" t="str">
        <f t="shared" si="55"/>
        <v>이행완료</v>
      </c>
      <c r="AC425" s="64" t="str">
        <f>IFERROR(INDEX(입력!$P$2:$P$500, MATCH($BO425, 입력!$Z$2:$Z$500, 0)) &amp; "", "")</f>
        <v/>
      </c>
      <c r="AD425" s="64" t="str">
        <f>IFERROR(INDEX(입력!$Q$2:$Q$500, MATCH($BO425, 입력!$Z$2:$Z$500, 0)) &amp; "", "")</f>
        <v/>
      </c>
      <c r="AE425" s="64" t="str">
        <f>IFERROR(INDEX(입력!$R$2:$R$500, MATCH($BO425, 입력!$Z$2:$Z$500, 0)) &amp; "", "")</f>
        <v/>
      </c>
      <c r="AF425" s="64" t="str">
        <f>IFERROR(INDEX(입력!$S$2:$S$500, MATCH($BO425, 입력!$Z$2:$Z$500, 0)) &amp; "", "")</f>
        <v/>
      </c>
      <c r="AG425" s="64" t="str">
        <f>IFERROR(INDEX(입력!$T$2:$T$500, MATCH($BO425, 입력!$Z$2:$Z$500, 0)) &amp; "", "")</f>
        <v/>
      </c>
      <c r="AH425" s="64" t="str">
        <f>IFERROR(INDEX(입력!$U$2:$U$500, MATCH($BO425, 입력!$Z$2:$Z$500, 0)) &amp; "", "")</f>
        <v/>
      </c>
      <c r="AI425" s="64" t="str">
        <f>IFERROR(INDEX(입력!$V$2:$V$500, MATCH($BO425, 입력!$Z$2:$Z$500, 0)) &amp; "", "")</f>
        <v/>
      </c>
      <c r="AJ425" s="44" t="str">
        <f>IFERROR(INDEX(입력!$W$2:$W$500, MATCH($BO425, 입력!$Z$2:$Z$500, 0)) &amp; "", "")</f>
        <v/>
      </c>
      <c r="AK425" s="44" t="str">
        <f>IFERROR(INDEX(입력!$X$2:$X$500, MATCH($BO425, 입력!$Z$2:$Z$500, 0)) &amp; "", "")</f>
        <v/>
      </c>
      <c r="AL425" s="2"/>
      <c r="AM425" s="17" t="s">
        <v>1650</v>
      </c>
      <c r="AN425" s="101">
        <v>2025</v>
      </c>
      <c r="AO425" s="17" t="s">
        <v>3275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3131</v>
      </c>
      <c r="AZ425" s="71" t="str">
        <f>IFERROR(IF(INDEX(입력!$C$2:$C$500, MATCH($BO425, 입력!$Z$2:$Z$500, 0))="", "", TEXT(INDEX(입력!$C$2:$C$500, MATCH($BO425, 입력!$Z$2:$Z$500, 0)), "yyyy-mm-dd")), "")</f>
        <v/>
      </c>
      <c r="BA425" s="44" t="str">
        <f>IFERROR(INDEX(입력!$B$2:$B$500, MATCH($BO425, 입력!$Z$2:$Z$500, 0)) &amp; "", "")</f>
        <v/>
      </c>
      <c r="BB425" s="83" t="str">
        <f>IFERROR(INDEX(입력!$Y$2:$Y$500, MATCH($BO425, 입력!$Z$2:$Z$500, 0)) &amp; "", "")</f>
        <v/>
      </c>
      <c r="BC425" s="83" t="s">
        <v>3112</v>
      </c>
      <c r="BD425" s="83"/>
      <c r="BE425" s="101"/>
      <c r="BF425" s="101"/>
      <c r="BG425" s="101"/>
      <c r="BH425" s="101"/>
      <c r="BI425" s="101"/>
      <c r="BJ425" s="101"/>
      <c r="BK425" s="110"/>
      <c r="BL425" s="21"/>
      <c r="BM425" s="22">
        <v>197</v>
      </c>
      <c r="BN425" s="23"/>
      <c r="BO425" s="47" t="s">
        <v>948</v>
      </c>
    </row>
    <row r="426" spans="1:67" x14ac:dyDescent="0.45">
      <c r="A426" s="46">
        <v>425</v>
      </c>
      <c r="B426" s="1" t="s">
        <v>1647</v>
      </c>
      <c r="C426" s="17" t="str">
        <f t="shared" si="51"/>
        <v>이행완료</v>
      </c>
      <c r="D426" s="17" t="str">
        <f t="shared" si="54"/>
        <v/>
      </c>
      <c r="E426" s="2" t="s">
        <v>2235</v>
      </c>
      <c r="F426" s="1" t="s">
        <v>949</v>
      </c>
      <c r="G426" s="1" t="s">
        <v>2236</v>
      </c>
      <c r="H426" s="18" t="s">
        <v>1056</v>
      </c>
      <c r="I426" s="19">
        <v>208</v>
      </c>
      <c r="J426" s="2"/>
      <c r="K426" s="20" t="s">
        <v>2566</v>
      </c>
      <c r="L426" s="20"/>
      <c r="M426" s="17" t="str">
        <f t="shared" si="52"/>
        <v>기축</v>
      </c>
      <c r="N426" s="21"/>
      <c r="O426" s="21"/>
      <c r="P426" s="1">
        <f t="shared" si="48"/>
        <v>4</v>
      </c>
      <c r="Q426" s="1">
        <v>10</v>
      </c>
      <c r="R426" s="64" t="str">
        <f>IFERROR(INDEX(입력!$J$2:$J$500, MATCH($BO426, 입력!$Z$2:$Z$500, 0)) &amp; "", "")</f>
        <v/>
      </c>
      <c r="S426" s="64" t="str">
        <f>IFERROR(INDEX(입력!$K$2:$K$500, MATCH($BO426, 입력!$Z$2:$Z$500, 0)) &amp; "", "")</f>
        <v/>
      </c>
      <c r="T426" s="64">
        <f>MAX(0, 표1[[#This Row],[의무_면수]]-표1[[#This Row],[면수합]])</f>
        <v>0</v>
      </c>
      <c r="U426" s="44" t="str">
        <f t="shared" si="49"/>
        <v>이행완료</v>
      </c>
      <c r="V426" s="1">
        <f t="shared" si="53"/>
        <v>4</v>
      </c>
      <c r="W426" s="1" t="str">
        <f t="shared" si="50"/>
        <v/>
      </c>
      <c r="X426" s="1">
        <v>10</v>
      </c>
      <c r="Y426" s="64" t="str">
        <f>IFERROR(INDEX(입력!$M$2:$M$500, MATCH($BO426, 입력!$Z$2:$Z$500, 0)) &amp; "", "")</f>
        <v/>
      </c>
      <c r="Z426" s="64" t="str">
        <f>IFERROR(INDEX(입력!$N$2:$N$500, MATCH($BO426, 입력!$Z$2:$Z$500, 0)) &amp; "", "")</f>
        <v/>
      </c>
      <c r="AA426" s="64">
        <f>MAX(0, 표1[[#This Row],[의무_시설]]-표1[[#This Row],[시설합]])</f>
        <v>0</v>
      </c>
      <c r="AB426" s="17" t="str">
        <f t="shared" si="55"/>
        <v>이행완료</v>
      </c>
      <c r="AC426" s="64" t="str">
        <f>IFERROR(INDEX(입력!$P$2:$P$500, MATCH($BO426, 입력!$Z$2:$Z$500, 0)) &amp; "", "")</f>
        <v/>
      </c>
      <c r="AD426" s="64" t="str">
        <f>IFERROR(INDEX(입력!$Q$2:$Q$500, MATCH($BO426, 입력!$Z$2:$Z$500, 0)) &amp; "", "")</f>
        <v/>
      </c>
      <c r="AE426" s="64" t="str">
        <f>IFERROR(INDEX(입력!$R$2:$R$500, MATCH($BO426, 입력!$Z$2:$Z$500, 0)) &amp; "", "")</f>
        <v/>
      </c>
      <c r="AF426" s="64" t="str">
        <f>IFERROR(INDEX(입력!$S$2:$S$500, MATCH($BO426, 입력!$Z$2:$Z$500, 0)) &amp; "", "")</f>
        <v/>
      </c>
      <c r="AG426" s="64" t="str">
        <f>IFERROR(INDEX(입력!$T$2:$T$500, MATCH($BO426, 입력!$Z$2:$Z$500, 0)) &amp; "", "")</f>
        <v/>
      </c>
      <c r="AH426" s="64" t="str">
        <f>IFERROR(INDEX(입력!$U$2:$U$500, MATCH($BO426, 입력!$Z$2:$Z$500, 0)) &amp; "", "")</f>
        <v/>
      </c>
      <c r="AI426" s="64" t="str">
        <f>IFERROR(INDEX(입력!$V$2:$V$500, MATCH($BO426, 입력!$Z$2:$Z$500, 0)) &amp; "", "")</f>
        <v/>
      </c>
      <c r="AJ426" s="44" t="str">
        <f>IFERROR(INDEX(입력!$W$2:$W$500, MATCH($BO426, 입력!$Z$2:$Z$500, 0)) &amp; "", "")</f>
        <v/>
      </c>
      <c r="AK426" s="44" t="str">
        <f>IFERROR(INDEX(입력!$X$2:$X$500, MATCH($BO426, 입력!$Z$2:$Z$500, 0)) &amp; "", "")</f>
        <v/>
      </c>
      <c r="AL426" s="2"/>
      <c r="AM426" s="17" t="s">
        <v>1650</v>
      </c>
      <c r="AN426" s="101">
        <v>2025</v>
      </c>
      <c r="AO426" s="17" t="s">
        <v>3275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3137</v>
      </c>
      <c r="AZ426" s="71" t="str">
        <f>IFERROR(IF(INDEX(입력!$C$2:$C$500, MATCH($BO426, 입력!$Z$2:$Z$500, 0))="", "", TEXT(INDEX(입력!$C$2:$C$500, MATCH($BO426, 입력!$Z$2:$Z$500, 0)), "yyyy-mm-dd")), "")</f>
        <v/>
      </c>
      <c r="BA426" s="44" t="str">
        <f>IFERROR(INDEX(입력!$B$2:$B$500, MATCH($BO426, 입력!$Z$2:$Z$500, 0)) &amp; "", "")</f>
        <v/>
      </c>
      <c r="BB426" s="83" t="str">
        <f>IFERROR(INDEX(입력!$Y$2:$Y$500, MATCH($BO426, 입력!$Z$2:$Z$500, 0)) &amp; "", "")</f>
        <v/>
      </c>
      <c r="BC426" s="83" t="s">
        <v>3112</v>
      </c>
      <c r="BD426" s="83"/>
      <c r="BE426" s="101"/>
      <c r="BF426" s="101"/>
      <c r="BG426" s="101"/>
      <c r="BH426" s="101"/>
      <c r="BI426" s="101"/>
      <c r="BJ426" s="101"/>
      <c r="BK426" s="110"/>
      <c r="BL426" s="21"/>
      <c r="BM426" s="22">
        <v>208</v>
      </c>
      <c r="BN426" s="23"/>
      <c r="BO426" s="47" t="s">
        <v>950</v>
      </c>
    </row>
    <row r="427" spans="1:67" x14ac:dyDescent="0.45">
      <c r="A427" s="19">
        <v>426</v>
      </c>
      <c r="B427" s="1" t="s">
        <v>1647</v>
      </c>
      <c r="C427" s="17" t="str">
        <f t="shared" si="51"/>
        <v>이행완료</v>
      </c>
      <c r="D427" s="17" t="str">
        <f t="shared" si="54"/>
        <v/>
      </c>
      <c r="E427" s="2" t="s">
        <v>2237</v>
      </c>
      <c r="F427" s="1" t="s">
        <v>951</v>
      </c>
      <c r="G427" s="1" t="s">
        <v>2238</v>
      </c>
      <c r="H427" s="18" t="s">
        <v>1152</v>
      </c>
      <c r="I427" s="19">
        <v>103</v>
      </c>
      <c r="J427" s="2"/>
      <c r="K427" s="20" t="s">
        <v>2567</v>
      </c>
      <c r="L427" s="20"/>
      <c r="M427" s="17" t="str">
        <f t="shared" si="52"/>
        <v>기축</v>
      </c>
      <c r="N427" s="21"/>
      <c r="O427" s="21"/>
      <c r="P427" s="1">
        <f t="shared" si="48"/>
        <v>2</v>
      </c>
      <c r="Q427" s="1">
        <v>3</v>
      </c>
      <c r="R427" s="64" t="str">
        <f>IFERROR(INDEX(입력!$J$2:$J$500, MATCH($BO427, 입력!$Z$2:$Z$500, 0)) &amp; "", "")</f>
        <v/>
      </c>
      <c r="S427" s="64" t="str">
        <f>IFERROR(INDEX(입력!$K$2:$K$500, MATCH($BO427, 입력!$Z$2:$Z$500, 0)) &amp; "", "")</f>
        <v/>
      </c>
      <c r="T427" s="64">
        <f>MAX(0, 표1[[#This Row],[의무_면수]]-표1[[#This Row],[면수합]])</f>
        <v>0</v>
      </c>
      <c r="U427" s="44" t="str">
        <f t="shared" si="49"/>
        <v>이행완료</v>
      </c>
      <c r="V427" s="1">
        <f t="shared" si="53"/>
        <v>2</v>
      </c>
      <c r="W427" s="1" t="str">
        <f t="shared" si="50"/>
        <v/>
      </c>
      <c r="X427" s="1">
        <v>3</v>
      </c>
      <c r="Y427" s="64" t="str">
        <f>IFERROR(INDEX(입력!$M$2:$M$500, MATCH($BO427, 입력!$Z$2:$Z$500, 0)) &amp; "", "")</f>
        <v/>
      </c>
      <c r="Z427" s="64" t="str">
        <f>IFERROR(INDEX(입력!$N$2:$N$500, MATCH($BO427, 입력!$Z$2:$Z$500, 0)) &amp; "", "")</f>
        <v/>
      </c>
      <c r="AA427" s="64">
        <f>MAX(0, 표1[[#This Row],[의무_시설]]-표1[[#This Row],[시설합]])</f>
        <v>0</v>
      </c>
      <c r="AB427" s="17" t="str">
        <f t="shared" si="55"/>
        <v>이행완료</v>
      </c>
      <c r="AC427" s="64" t="str">
        <f>IFERROR(INDEX(입력!$P$2:$P$500, MATCH($BO427, 입력!$Z$2:$Z$500, 0)) &amp; "", "")</f>
        <v/>
      </c>
      <c r="AD427" s="64" t="str">
        <f>IFERROR(INDEX(입력!$Q$2:$Q$500, MATCH($BO427, 입력!$Z$2:$Z$500, 0)) &amp; "", "")</f>
        <v/>
      </c>
      <c r="AE427" s="64" t="str">
        <f>IFERROR(INDEX(입력!$R$2:$R$500, MATCH($BO427, 입력!$Z$2:$Z$500, 0)) &amp; "", "")</f>
        <v/>
      </c>
      <c r="AF427" s="64" t="str">
        <f>IFERROR(INDEX(입력!$S$2:$S$500, MATCH($BO427, 입력!$Z$2:$Z$500, 0)) &amp; "", "")</f>
        <v/>
      </c>
      <c r="AG427" s="64" t="str">
        <f>IFERROR(INDEX(입력!$T$2:$T$500, MATCH($BO427, 입력!$Z$2:$Z$500, 0)) &amp; "", "")</f>
        <v/>
      </c>
      <c r="AH427" s="64" t="str">
        <f>IFERROR(INDEX(입력!$U$2:$U$500, MATCH($BO427, 입력!$Z$2:$Z$500, 0)) &amp; "", "")</f>
        <v/>
      </c>
      <c r="AI427" s="64" t="str">
        <f>IFERROR(INDEX(입력!$V$2:$V$500, MATCH($BO427, 입력!$Z$2:$Z$500, 0)) &amp; "", "")</f>
        <v/>
      </c>
      <c r="AJ427" s="44" t="str">
        <f>IFERROR(INDEX(입력!$W$2:$W$500, MATCH($BO427, 입력!$Z$2:$Z$500, 0)) &amp; "", "")</f>
        <v/>
      </c>
      <c r="AK427" s="44" t="str">
        <f>IFERROR(INDEX(입력!$X$2:$X$500, MATCH($BO427, 입력!$Z$2:$Z$500, 0)) &amp; "", "")</f>
        <v/>
      </c>
      <c r="AL427" s="2"/>
      <c r="AM427" s="17" t="s">
        <v>1650</v>
      </c>
      <c r="AN427" s="101">
        <v>2025</v>
      </c>
      <c r="AO427" s="17" t="s">
        <v>3274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3132</v>
      </c>
      <c r="AZ427" s="71" t="str">
        <f>IFERROR(IF(INDEX(입력!$C$2:$C$500, MATCH($BO427, 입력!$Z$2:$Z$500, 0))="", "", TEXT(INDEX(입력!$C$2:$C$500, MATCH($BO427, 입력!$Z$2:$Z$500, 0)), "yyyy-mm-dd")), "")</f>
        <v/>
      </c>
      <c r="BA427" s="44" t="str">
        <f>IFERROR(INDEX(입력!$B$2:$B$500, MATCH($BO427, 입력!$Z$2:$Z$500, 0)) &amp; "", "")</f>
        <v/>
      </c>
      <c r="BB427" s="83" t="str">
        <f>IFERROR(INDEX(입력!$Y$2:$Y$500, MATCH($BO427, 입력!$Z$2:$Z$500, 0)) &amp; "", "")</f>
        <v/>
      </c>
      <c r="BC427" s="83" t="s">
        <v>3112</v>
      </c>
      <c r="BD427" s="83"/>
      <c r="BE427" s="101"/>
      <c r="BF427" s="101"/>
      <c r="BG427" s="101"/>
      <c r="BH427" s="101"/>
      <c r="BI427" s="101"/>
      <c r="BJ427" s="101"/>
      <c r="BK427" s="110"/>
      <c r="BL427" s="21"/>
      <c r="BM427" s="22">
        <v>103</v>
      </c>
      <c r="BN427" s="23"/>
      <c r="BO427" s="47" t="s">
        <v>952</v>
      </c>
    </row>
    <row r="428" spans="1:67" x14ac:dyDescent="0.45">
      <c r="A428" s="46">
        <v>427</v>
      </c>
      <c r="B428" s="1" t="s">
        <v>1647</v>
      </c>
      <c r="C428" s="17" t="str">
        <f t="shared" si="51"/>
        <v>이행완료</v>
      </c>
      <c r="D428" s="17" t="str">
        <f t="shared" si="54"/>
        <v/>
      </c>
      <c r="E428" s="2" t="s">
        <v>2239</v>
      </c>
      <c r="F428" s="1" t="s">
        <v>953</v>
      </c>
      <c r="G428" s="1" t="s">
        <v>2240</v>
      </c>
      <c r="H428" s="18" t="s">
        <v>1172</v>
      </c>
      <c r="I428" s="19">
        <v>115</v>
      </c>
      <c r="J428" s="2"/>
      <c r="K428" s="20" t="s">
        <v>2568</v>
      </c>
      <c r="L428" s="20"/>
      <c r="M428" s="17" t="str">
        <f t="shared" si="52"/>
        <v>기축</v>
      </c>
      <c r="N428" s="21"/>
      <c r="O428" s="21"/>
      <c r="P428" s="1">
        <f t="shared" si="48"/>
        <v>2</v>
      </c>
      <c r="Q428" s="1">
        <v>3</v>
      </c>
      <c r="R428" s="64" t="str">
        <f>IFERROR(INDEX(입력!$J$2:$J$500, MATCH($BO428, 입력!$Z$2:$Z$500, 0)) &amp; "", "")</f>
        <v/>
      </c>
      <c r="S428" s="64" t="str">
        <f>IFERROR(INDEX(입력!$K$2:$K$500, MATCH($BO428, 입력!$Z$2:$Z$500, 0)) &amp; "", "")</f>
        <v/>
      </c>
      <c r="T428" s="64">
        <f>MAX(0, 표1[[#This Row],[의무_면수]]-표1[[#This Row],[면수합]])</f>
        <v>0</v>
      </c>
      <c r="U428" s="44" t="str">
        <f t="shared" si="49"/>
        <v>이행완료</v>
      </c>
      <c r="V428" s="1">
        <f t="shared" si="53"/>
        <v>2</v>
      </c>
      <c r="W428" s="1" t="str">
        <f t="shared" si="50"/>
        <v/>
      </c>
      <c r="X428" s="1">
        <v>3</v>
      </c>
      <c r="Y428" s="64" t="str">
        <f>IFERROR(INDEX(입력!$M$2:$M$500, MATCH($BO428, 입력!$Z$2:$Z$500, 0)) &amp; "", "")</f>
        <v/>
      </c>
      <c r="Z428" s="64" t="str">
        <f>IFERROR(INDEX(입력!$N$2:$N$500, MATCH($BO428, 입력!$Z$2:$Z$500, 0)) &amp; "", "")</f>
        <v/>
      </c>
      <c r="AA428" s="64">
        <f>MAX(0, 표1[[#This Row],[의무_시설]]-표1[[#This Row],[시설합]])</f>
        <v>0</v>
      </c>
      <c r="AB428" s="17" t="str">
        <f t="shared" si="55"/>
        <v>이행완료</v>
      </c>
      <c r="AC428" s="64" t="str">
        <f>IFERROR(INDEX(입력!$P$2:$P$500, MATCH($BO428, 입력!$Z$2:$Z$500, 0)) &amp; "", "")</f>
        <v/>
      </c>
      <c r="AD428" s="64" t="str">
        <f>IFERROR(INDEX(입력!$Q$2:$Q$500, MATCH($BO428, 입력!$Z$2:$Z$500, 0)) &amp; "", "")</f>
        <v/>
      </c>
      <c r="AE428" s="64" t="str">
        <f>IFERROR(INDEX(입력!$R$2:$R$500, MATCH($BO428, 입력!$Z$2:$Z$500, 0)) &amp; "", "")</f>
        <v/>
      </c>
      <c r="AF428" s="64" t="str">
        <f>IFERROR(INDEX(입력!$S$2:$S$500, MATCH($BO428, 입력!$Z$2:$Z$500, 0)) &amp; "", "")</f>
        <v/>
      </c>
      <c r="AG428" s="64" t="str">
        <f>IFERROR(INDEX(입력!$T$2:$T$500, MATCH($BO428, 입력!$Z$2:$Z$500, 0)) &amp; "", "")</f>
        <v/>
      </c>
      <c r="AH428" s="64" t="str">
        <f>IFERROR(INDEX(입력!$U$2:$U$500, MATCH($BO428, 입력!$Z$2:$Z$500, 0)) &amp; "", "")</f>
        <v/>
      </c>
      <c r="AI428" s="64" t="str">
        <f>IFERROR(INDEX(입력!$V$2:$V$500, MATCH($BO428, 입력!$Z$2:$Z$500, 0)) &amp; "", "")</f>
        <v/>
      </c>
      <c r="AJ428" s="44" t="str">
        <f>IFERROR(INDEX(입력!$W$2:$W$500, MATCH($BO428, 입력!$Z$2:$Z$500, 0)) &amp; "", "")</f>
        <v/>
      </c>
      <c r="AK428" s="44" t="str">
        <f>IFERROR(INDEX(입력!$X$2:$X$500, MATCH($BO428, 입력!$Z$2:$Z$500, 0)) &amp; "", "")</f>
        <v/>
      </c>
      <c r="AL428" s="2"/>
      <c r="AM428" s="17" t="s">
        <v>1650</v>
      </c>
      <c r="AN428" s="101">
        <v>2025</v>
      </c>
      <c r="AO428" s="17" t="s">
        <v>3275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3137</v>
      </c>
      <c r="AZ428" s="71" t="str">
        <f>IFERROR(IF(INDEX(입력!$C$2:$C$500, MATCH($BO428, 입력!$Z$2:$Z$500, 0))="", "", TEXT(INDEX(입력!$C$2:$C$500, MATCH($BO428, 입력!$Z$2:$Z$500, 0)), "yyyy-mm-dd")), "")</f>
        <v/>
      </c>
      <c r="BA428" s="44" t="str">
        <f>IFERROR(INDEX(입력!$B$2:$B$500, MATCH($BO428, 입력!$Z$2:$Z$500, 0)) &amp; "", "")</f>
        <v/>
      </c>
      <c r="BB428" s="83" t="str">
        <f>IFERROR(INDEX(입력!$Y$2:$Y$500, MATCH($BO428, 입력!$Z$2:$Z$500, 0)) &amp; "", "")</f>
        <v/>
      </c>
      <c r="BC428" s="83" t="s">
        <v>3112</v>
      </c>
      <c r="BD428" s="83"/>
      <c r="BE428" s="101"/>
      <c r="BF428" s="101"/>
      <c r="BG428" s="101"/>
      <c r="BH428" s="101"/>
      <c r="BI428" s="101"/>
      <c r="BJ428" s="101"/>
      <c r="BK428" s="110"/>
      <c r="BL428" s="21"/>
      <c r="BM428" s="22">
        <v>115</v>
      </c>
      <c r="BN428" s="23"/>
      <c r="BO428" s="47" t="s">
        <v>954</v>
      </c>
    </row>
    <row r="429" spans="1:67" x14ac:dyDescent="0.45">
      <c r="A429" s="19">
        <v>428</v>
      </c>
      <c r="B429" s="1" t="s">
        <v>1647</v>
      </c>
      <c r="C429" s="17" t="str">
        <f t="shared" si="51"/>
        <v>미이행</v>
      </c>
      <c r="D429" s="17" t="str">
        <f t="shared" si="54"/>
        <v>조사완료</v>
      </c>
      <c r="E429" s="2" t="s">
        <v>2241</v>
      </c>
      <c r="F429" s="1" t="s">
        <v>955</v>
      </c>
      <c r="G429" s="1" t="s">
        <v>2242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52"/>
        <v>기축</v>
      </c>
      <c r="N429" s="21" t="s">
        <v>1057</v>
      </c>
      <c r="O429" s="21"/>
      <c r="P429" s="1">
        <f t="shared" si="48"/>
        <v>8</v>
      </c>
      <c r="Q429" s="1">
        <v>3</v>
      </c>
      <c r="R429" s="64" t="str">
        <f>IFERROR(INDEX(입력!$J$2:$J$500, MATCH($BO429, 입력!$Z$2:$Z$500, 0)) &amp; "", "")</f>
        <v/>
      </c>
      <c r="S429" s="64" t="str">
        <f>IFERROR(INDEX(입력!$K$2:$K$500, MATCH($BO429, 입력!$Z$2:$Z$500, 0)) &amp; "", "")</f>
        <v>3</v>
      </c>
      <c r="T429" s="64">
        <f>MAX(0, 표1[[#This Row],[의무_면수]]-표1[[#This Row],[면수합]])</f>
        <v>5</v>
      </c>
      <c r="U429" s="44" t="str">
        <f t="shared" si="49"/>
        <v>미이행</v>
      </c>
      <c r="V429" s="1">
        <f t="shared" si="53"/>
        <v>3</v>
      </c>
      <c r="W429" s="1" t="str">
        <f t="shared" si="50"/>
        <v/>
      </c>
      <c r="X429" s="1">
        <v>3</v>
      </c>
      <c r="Y429" s="64" t="str">
        <f>IFERROR(INDEX(입력!$M$2:$M$500, MATCH($BO429, 입력!$Z$2:$Z$500, 0)) &amp; "", "")</f>
        <v/>
      </c>
      <c r="Z429" s="64" t="str">
        <f>IFERROR(INDEX(입력!$N$2:$N$500, MATCH($BO429, 입력!$Z$2:$Z$500, 0)) &amp; "", "")</f>
        <v>3</v>
      </c>
      <c r="AA429" s="64">
        <f>MAX(0, 표1[[#This Row],[의무_시설]]-표1[[#This Row],[시설합]])</f>
        <v>0</v>
      </c>
      <c r="AB429" s="17" t="str">
        <f t="shared" si="55"/>
        <v>이행완료</v>
      </c>
      <c r="AC429" s="64" t="str">
        <f>IFERROR(INDEX(입력!$P$2:$P$500, MATCH($BO429, 입력!$Z$2:$Z$500, 0)) &amp; "", "")</f>
        <v>414</v>
      </c>
      <c r="AD429" s="64" t="str">
        <f>IFERROR(INDEX(입력!$Q$2:$Q$500, MATCH($BO429, 입력!$Z$2:$Z$500, 0)) &amp; "", "")</f>
        <v/>
      </c>
      <c r="AE429" s="64" t="str">
        <f>IFERROR(INDEX(입력!$R$2:$R$500, MATCH($BO429, 입력!$Z$2:$Z$500, 0)) &amp; "", "")</f>
        <v>여</v>
      </c>
      <c r="AF429" s="64" t="str">
        <f>IFERROR(INDEX(입력!$S$2:$S$500, MATCH($BO429, 입력!$Z$2:$Z$500, 0)) &amp; "", "")</f>
        <v>여</v>
      </c>
      <c r="AG429" s="64" t="str">
        <f>IFERROR(INDEX(입력!$T$2:$T$500, MATCH($BO429, 입력!$Z$2:$Z$500, 0)) &amp; "", "")</f>
        <v/>
      </c>
      <c r="AH429" s="64" t="str">
        <f>IFERROR(INDEX(입력!$U$2:$U$500, MATCH($BO429, 입력!$Z$2:$Z$500, 0)) &amp; "", "")</f>
        <v/>
      </c>
      <c r="AI429" s="64" t="str">
        <f>IFERROR(INDEX(입력!$V$2:$V$500, MATCH($BO429, 입력!$Z$2:$Z$500, 0)) &amp; "", "")</f>
        <v>여</v>
      </c>
      <c r="AJ429" s="44" t="str">
        <f>IFERROR(INDEX(입력!$W$2:$W$500, MATCH($BO429, 입력!$Z$2:$Z$500, 0)) &amp; "", "")</f>
        <v>김여기</v>
      </c>
      <c r="AK429" s="44" t="str">
        <f>IFERROR(INDEX(입력!$X$2:$X$500, MATCH($BO429, 입력!$Z$2:$Z$500, 0)) &amp; "", "")</f>
        <v>954-3633</v>
      </c>
      <c r="AL429" s="2" t="s">
        <v>2243</v>
      </c>
      <c r="AM429" s="17" t="s">
        <v>1650</v>
      </c>
      <c r="AN429" s="101">
        <v>2025</v>
      </c>
      <c r="AO429" s="17" t="s">
        <v>3275</v>
      </c>
      <c r="AP429" s="101"/>
      <c r="AQ429" s="108"/>
      <c r="AR429" s="119" t="s">
        <v>3321</v>
      </c>
      <c r="AS429" s="101" t="s">
        <v>3163</v>
      </c>
      <c r="AT429" s="109">
        <v>46034</v>
      </c>
      <c r="AU429" s="101" t="s">
        <v>3126</v>
      </c>
      <c r="AV429" s="101" t="s">
        <v>1993</v>
      </c>
      <c r="AW429" s="101" t="s">
        <v>3145</v>
      </c>
      <c r="AX429" s="101" t="s">
        <v>3322</v>
      </c>
      <c r="AY429" s="83" t="s">
        <v>3137</v>
      </c>
      <c r="AZ429" s="71" t="str">
        <f>IFERROR(IF(INDEX(입력!$C$2:$C$500, MATCH($BO429, 입력!$Z$2:$Z$500, 0))="", "", TEXT(INDEX(입력!$C$2:$C$500, MATCH($BO429, 입력!$Z$2:$Z$500, 0)), "yyyy-mm-dd")), "")</f>
        <v>2026-04-15</v>
      </c>
      <c r="BA429" s="44" t="str">
        <f>IFERROR(INDEX(입력!$B$2:$B$500, MATCH($BO429, 입력!$Z$2:$Z$500, 0)) &amp; "", "")</f>
        <v>노기섭</v>
      </c>
      <c r="BB429" s="83" t="str">
        <f>IFERROR(INDEX(입력!$Y$2:$Y$500, MATCH($BO429, 입력!$Z$2:$Z$500, 0)) &amp; "", "")</f>
        <v>도시개발공사에서 미시행. 구청에서 도시개발공사에 공문발송 요청.</v>
      </c>
      <c r="BC429" s="83" t="s">
        <v>3149</v>
      </c>
      <c r="BD429" s="83"/>
      <c r="BE429" s="101"/>
      <c r="BF429" s="109">
        <v>46162</v>
      </c>
      <c r="BG429" s="101" t="s">
        <v>1089</v>
      </c>
      <c r="BH429" s="101" t="s">
        <v>4004</v>
      </c>
      <c r="BI429" s="101" t="s">
        <v>3975</v>
      </c>
      <c r="BJ429" s="101"/>
      <c r="BK429" s="110"/>
      <c r="BL429" s="21" t="s">
        <v>3098</v>
      </c>
      <c r="BM429" s="22">
        <v>154</v>
      </c>
      <c r="BN429" s="23"/>
      <c r="BO429" s="47" t="s">
        <v>956</v>
      </c>
    </row>
    <row r="430" spans="1:67" x14ac:dyDescent="0.45">
      <c r="A430" s="46">
        <v>429</v>
      </c>
      <c r="B430" s="1" t="s">
        <v>1647</v>
      </c>
      <c r="C430" s="17" t="str">
        <f t="shared" si="51"/>
        <v>이행완료</v>
      </c>
      <c r="D430" s="17" t="str">
        <f t="shared" si="54"/>
        <v>조사완료</v>
      </c>
      <c r="E430" s="2" t="s">
        <v>2244</v>
      </c>
      <c r="F430" s="1" t="s">
        <v>957</v>
      </c>
      <c r="G430" s="1" t="s">
        <v>2245</v>
      </c>
      <c r="H430" s="18" t="s">
        <v>1202</v>
      </c>
      <c r="I430" s="19">
        <v>212</v>
      </c>
      <c r="J430" s="2"/>
      <c r="K430" s="20" t="s">
        <v>2415</v>
      </c>
      <c r="L430" s="20"/>
      <c r="M430" s="17" t="str">
        <f t="shared" si="52"/>
        <v>기축</v>
      </c>
      <c r="N430" s="21"/>
      <c r="O430" s="21"/>
      <c r="P430" s="1">
        <f t="shared" si="48"/>
        <v>4</v>
      </c>
      <c r="Q430" s="1">
        <v>9</v>
      </c>
      <c r="R430" s="64" t="str">
        <f>IFERROR(INDEX(입력!$J$2:$J$500, MATCH($BO430,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9"/>
        <v>이행완료</v>
      </c>
      <c r="V430" s="1">
        <f t="shared" si="53"/>
        <v>4</v>
      </c>
      <c r="W430" s="1" t="str">
        <f t="shared" si="50"/>
        <v/>
      </c>
      <c r="X430" s="1">
        <v>9</v>
      </c>
      <c r="Y430" s="64" t="str">
        <f>IFERROR(INDEX(입력!$M$2:$M$500, MATCH($BO430, 입력!$Z$2:$Z$500, 0)) &amp; "", "")</f>
        <v/>
      </c>
      <c r="Z430" s="64">
        <v>9</v>
      </c>
      <c r="AA430" s="64">
        <f>MAX(0, 표1[[#This Row],[의무_시설]]-표1[[#This Row],[시설합]])</f>
        <v>0</v>
      </c>
      <c r="AB430" s="17" t="str">
        <f t="shared" si="55"/>
        <v>이행완료</v>
      </c>
      <c r="AC430" s="64" t="str">
        <f>IFERROR(INDEX(입력!$P$2:$P$500, MATCH($BO430, 입력!$Z$2:$Z$500, 0)) &amp; "", "")</f>
        <v>179</v>
      </c>
      <c r="AD430" s="64" t="str">
        <f>IFERROR(INDEX(입력!$Q$2:$Q$500, MATCH($BO430, 입력!$Z$2:$Z$500, 0)) &amp; "", "")</f>
        <v>7</v>
      </c>
      <c r="AE430" s="64" t="str">
        <f>IFERROR(INDEX(입력!$R$2:$R$500, MATCH($BO430, 입력!$Z$2:$Z$500, 0)) &amp; "", "")</f>
        <v>여</v>
      </c>
      <c r="AF430" s="64" t="str">
        <f>IFERROR(INDEX(입력!$S$2:$S$500, MATCH($BO430, 입력!$Z$2:$Z$500, 0)) &amp; "", "")</f>
        <v>여</v>
      </c>
      <c r="AG430" s="64" t="str">
        <f>IFERROR(INDEX(입력!$T$2:$T$500, MATCH($BO430, 입력!$Z$2:$Z$500, 0)) &amp; "", "")</f>
        <v>부</v>
      </c>
      <c r="AH430" s="64" t="str">
        <f>IFERROR(INDEX(입력!$U$2:$U$500, MATCH($BO430, 입력!$Z$2:$Z$500, 0)) &amp; "", "")</f>
        <v/>
      </c>
      <c r="AI430" s="64" t="str">
        <f>IFERROR(INDEX(입력!$V$2:$V$500, MATCH($BO430, 입력!$Z$2:$Z$500, 0)) &amp; "", "")</f>
        <v>여</v>
      </c>
      <c r="AJ430" s="44" t="str">
        <f>IFERROR(INDEX(입력!$W$2:$W$500, MATCH($BO430, 입력!$Z$2:$Z$500, 0)) &amp; "", "")</f>
        <v>임남아</v>
      </c>
      <c r="AK430" s="44" t="str">
        <f>IFERROR(INDEX(입력!$X$2:$X$500, MATCH($BO430, 입력!$Z$2:$Z$500, 0)) &amp; "", "")</f>
        <v>010-6800-0434</v>
      </c>
      <c r="AL430" s="2" t="s">
        <v>2246</v>
      </c>
      <c r="AM430" s="17" t="s">
        <v>1650</v>
      </c>
      <c r="AN430" s="101">
        <v>2025</v>
      </c>
      <c r="AO430" s="17" t="s">
        <v>3274</v>
      </c>
      <c r="AP430" s="118"/>
      <c r="AQ430" s="21"/>
      <c r="AR430" s="119"/>
      <c r="AS430" s="101" t="s">
        <v>3163</v>
      </c>
      <c r="AT430" s="109">
        <v>46034</v>
      </c>
      <c r="AU430" s="101" t="s">
        <v>3141</v>
      </c>
      <c r="AV430" s="21" t="s">
        <v>1715</v>
      </c>
      <c r="AW430" s="101"/>
      <c r="AX430" s="119" t="s">
        <v>2247</v>
      </c>
      <c r="AY430" s="83" t="s">
        <v>3131</v>
      </c>
      <c r="AZ430" s="71" t="str">
        <f>IFERROR(IF(INDEX(입력!$C$2:$C$500, MATCH($BO430, 입력!$Z$2:$Z$500, 0))="", "", TEXT(INDEX(입력!$C$2:$C$500, MATCH($BO430, 입력!$Z$2:$Z$500, 0)), "yyyy-mm-dd")), "")</f>
        <v>2026-04-09</v>
      </c>
      <c r="BA430" s="44" t="str">
        <f>IFERROR(INDEX(입력!$B$2:$B$500, MATCH($BO430, 입력!$Z$2:$Z$500, 0)) &amp; "", "")</f>
        <v>노기섭</v>
      </c>
      <c r="BB430" s="83" t="str">
        <f>IFERROR(INDEX(입력!$Y$2:$Y$500, MATCH($BO430, 입력!$Z$2:$Z$500, 0)) &amp; "", "")</f>
        <v/>
      </c>
      <c r="BC430" s="83" t="s">
        <v>3112</v>
      </c>
      <c r="BD430" s="83" t="s">
        <v>3379</v>
      </c>
      <c r="BE430" s="101" t="s">
        <v>1060</v>
      </c>
      <c r="BF430" s="109">
        <v>46154</v>
      </c>
      <c r="BG430" s="101" t="s">
        <v>1089</v>
      </c>
      <c r="BH430" s="101" t="s">
        <v>3380</v>
      </c>
      <c r="BI430" s="101"/>
      <c r="BJ430" s="101"/>
      <c r="BK430" s="110"/>
      <c r="BL430" s="21"/>
      <c r="BM430" s="22">
        <v>273</v>
      </c>
      <c r="BN430" s="23"/>
      <c r="BO430" s="47" t="s">
        <v>958</v>
      </c>
    </row>
    <row r="431" spans="1:67" x14ac:dyDescent="0.45">
      <c r="A431" s="19">
        <v>430</v>
      </c>
      <c r="B431" s="1" t="s">
        <v>1647</v>
      </c>
      <c r="C431" s="17" t="str">
        <f t="shared" si="51"/>
        <v>이행완료</v>
      </c>
      <c r="D431" s="17" t="str">
        <f t="shared" si="54"/>
        <v/>
      </c>
      <c r="E431" s="2" t="s">
        <v>2248</v>
      </c>
      <c r="F431" s="1" t="s">
        <v>959</v>
      </c>
      <c r="G431" s="1" t="s">
        <v>2249</v>
      </c>
      <c r="H431" s="18" t="s">
        <v>1152</v>
      </c>
      <c r="I431" s="19">
        <v>181</v>
      </c>
      <c r="J431" s="2"/>
      <c r="K431" s="20" t="s">
        <v>2569</v>
      </c>
      <c r="L431" s="20"/>
      <c r="M431" s="17" t="str">
        <f t="shared" si="52"/>
        <v>기축</v>
      </c>
      <c r="N431" s="21"/>
      <c r="O431" s="21"/>
      <c r="P431" s="1">
        <f t="shared" si="48"/>
        <v>4</v>
      </c>
      <c r="Q431" s="1">
        <v>4</v>
      </c>
      <c r="R431" s="64" t="str">
        <f>IFERROR(INDEX(입력!$J$2:$J$500, MATCH($BO431, 입력!$Z$2:$Z$500, 0)) &amp; "", "")</f>
        <v/>
      </c>
      <c r="S431" s="64" t="str">
        <f>IFERROR(INDEX(입력!$K$2:$K$500, MATCH($BO431, 입력!$Z$2:$Z$500, 0)) &amp; "", "")</f>
        <v/>
      </c>
      <c r="T431" s="64">
        <f>MAX(0, 표1[[#This Row],[의무_면수]]-표1[[#This Row],[면수합]])</f>
        <v>0</v>
      </c>
      <c r="U431" s="44" t="str">
        <f t="shared" si="49"/>
        <v>이행완료</v>
      </c>
      <c r="V431" s="1">
        <f t="shared" si="53"/>
        <v>4</v>
      </c>
      <c r="W431" s="1" t="str">
        <f t="shared" si="50"/>
        <v/>
      </c>
      <c r="X431" s="1">
        <v>4</v>
      </c>
      <c r="Y431" s="64" t="str">
        <f>IFERROR(INDEX(입력!$M$2:$M$500, MATCH($BO431, 입력!$Z$2:$Z$500, 0)) &amp; "", "")</f>
        <v/>
      </c>
      <c r="Z431" s="64" t="str">
        <f>IFERROR(INDEX(입력!$N$2:$N$500, MATCH($BO431, 입력!$Z$2:$Z$500, 0)) &amp; "", "")</f>
        <v/>
      </c>
      <c r="AA431" s="64">
        <f>MAX(0, 표1[[#This Row],[의무_시설]]-표1[[#This Row],[시설합]])</f>
        <v>0</v>
      </c>
      <c r="AB431" s="17" t="str">
        <f t="shared" si="55"/>
        <v>이행완료</v>
      </c>
      <c r="AC431" s="64" t="str">
        <f>IFERROR(INDEX(입력!$P$2:$P$500, MATCH($BO431, 입력!$Z$2:$Z$500, 0)) &amp; "", "")</f>
        <v/>
      </c>
      <c r="AD431" s="64" t="str">
        <f>IFERROR(INDEX(입력!$Q$2:$Q$500, MATCH($BO431, 입력!$Z$2:$Z$500, 0)) &amp; "", "")</f>
        <v/>
      </c>
      <c r="AE431" s="64" t="str">
        <f>IFERROR(INDEX(입력!$R$2:$R$500, MATCH($BO431, 입력!$Z$2:$Z$500, 0)) &amp; "", "")</f>
        <v/>
      </c>
      <c r="AF431" s="64" t="str">
        <f>IFERROR(INDEX(입력!$S$2:$S$500, MATCH($BO431, 입력!$Z$2:$Z$500, 0)) &amp; "", "")</f>
        <v/>
      </c>
      <c r="AG431" s="64" t="str">
        <f>IFERROR(INDEX(입력!$T$2:$T$500, MATCH($BO431, 입력!$Z$2:$Z$500, 0)) &amp; "", "")</f>
        <v/>
      </c>
      <c r="AH431" s="64" t="str">
        <f>IFERROR(INDEX(입력!$U$2:$U$500, MATCH($BO431, 입력!$Z$2:$Z$500, 0)) &amp; "", "")</f>
        <v/>
      </c>
      <c r="AI431" s="64" t="str">
        <f>IFERROR(INDEX(입력!$V$2:$V$500, MATCH($BO431, 입력!$Z$2:$Z$500, 0)) &amp; "", "")</f>
        <v/>
      </c>
      <c r="AJ431" s="44" t="str">
        <f>IFERROR(INDEX(입력!$W$2:$W$500, MATCH($BO431, 입력!$Z$2:$Z$500, 0)) &amp; "", "")</f>
        <v/>
      </c>
      <c r="AK431" s="44" t="str">
        <f>IFERROR(INDEX(입력!$X$2:$X$500, MATCH($BO431, 입력!$Z$2:$Z$500, 0)) &amp; "", "")</f>
        <v/>
      </c>
      <c r="AL431" s="2"/>
      <c r="AM431" s="17" t="s">
        <v>1650</v>
      </c>
      <c r="AN431" s="101">
        <v>2025</v>
      </c>
      <c r="AO431" s="17" t="s">
        <v>3274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3137</v>
      </c>
      <c r="AZ431" s="71" t="str">
        <f>IFERROR(IF(INDEX(입력!$C$2:$C$500, MATCH($BO431, 입력!$Z$2:$Z$500, 0))="", "", TEXT(INDEX(입력!$C$2:$C$500, MATCH($BO431, 입력!$Z$2:$Z$500, 0)), "yyyy-mm-dd")), "")</f>
        <v/>
      </c>
      <c r="BA431" s="44" t="str">
        <f>IFERROR(INDEX(입력!$B$2:$B$500, MATCH($BO431, 입력!$Z$2:$Z$500, 0)) &amp; "", "")</f>
        <v/>
      </c>
      <c r="BB431" s="83" t="str">
        <f>IFERROR(INDEX(입력!$Y$2:$Y$500, MATCH($BO431, 입력!$Z$2:$Z$500, 0)) &amp; "", "")</f>
        <v/>
      </c>
      <c r="BC431" s="83" t="s">
        <v>3112</v>
      </c>
      <c r="BD431" s="83"/>
      <c r="BE431" s="101"/>
      <c r="BF431" s="101"/>
      <c r="BG431" s="101"/>
      <c r="BH431" s="101"/>
      <c r="BI431" s="101"/>
      <c r="BJ431" s="101"/>
      <c r="BK431" s="110"/>
      <c r="BL431" s="21"/>
      <c r="BM431" s="22">
        <v>181</v>
      </c>
      <c r="BN431" s="23"/>
      <c r="BO431" s="47" t="s">
        <v>960</v>
      </c>
    </row>
    <row r="432" spans="1:67" x14ac:dyDescent="0.45">
      <c r="A432" s="46">
        <v>431</v>
      </c>
      <c r="B432" s="1" t="s">
        <v>1647</v>
      </c>
      <c r="C432" s="17" t="str">
        <f t="shared" si="51"/>
        <v>이행완료</v>
      </c>
      <c r="D432" s="17" t="str">
        <f t="shared" si="54"/>
        <v/>
      </c>
      <c r="E432" s="2" t="s">
        <v>2250</v>
      </c>
      <c r="F432" s="1" t="s">
        <v>961</v>
      </c>
      <c r="G432" s="1" t="s">
        <v>2251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52"/>
        <v>기축</v>
      </c>
      <c r="N432" s="21"/>
      <c r="O432" s="21"/>
      <c r="P432" s="1">
        <f t="shared" si="48"/>
        <v>8</v>
      </c>
      <c r="Q432" s="1">
        <v>8</v>
      </c>
      <c r="R432" s="64" t="str">
        <f>IFERROR(INDEX(입력!$J$2:$J$500, MATCH($BO432, 입력!$Z$2:$Z$500, 0)) &amp; "", "")</f>
        <v/>
      </c>
      <c r="S432" s="64" t="str">
        <f>IFERROR(INDEX(입력!$K$2:$K$500, MATCH($BO432, 입력!$Z$2:$Z$500, 0)) &amp; "", "")</f>
        <v/>
      </c>
      <c r="T432" s="64">
        <f>MAX(0, 표1[[#This Row],[의무_면수]]-표1[[#This Row],[면수합]])</f>
        <v>0</v>
      </c>
      <c r="U432" s="44" t="str">
        <f t="shared" si="49"/>
        <v>이행완료</v>
      </c>
      <c r="V432" s="1">
        <f t="shared" si="53"/>
        <v>8</v>
      </c>
      <c r="W432" s="1" t="str">
        <f t="shared" si="50"/>
        <v/>
      </c>
      <c r="X432" s="1">
        <v>8</v>
      </c>
      <c r="Y432" s="64" t="str">
        <f>IFERROR(INDEX(입력!$M$2:$M$500, MATCH($BO432, 입력!$Z$2:$Z$500, 0)) &amp; "", "")</f>
        <v/>
      </c>
      <c r="Z432" s="64" t="str">
        <f>IFERROR(INDEX(입력!$N$2:$N$500, MATCH($BO432, 입력!$Z$2:$Z$500, 0)) &amp; "", "")</f>
        <v/>
      </c>
      <c r="AA432" s="64">
        <f>MAX(0, 표1[[#This Row],[의무_시설]]-표1[[#This Row],[시설합]])</f>
        <v>0</v>
      </c>
      <c r="AB432" s="17" t="str">
        <f t="shared" si="55"/>
        <v>이행완료</v>
      </c>
      <c r="AC432" s="64" t="str">
        <f>IFERROR(INDEX(입력!$P$2:$P$500, MATCH($BO432, 입력!$Z$2:$Z$500, 0)) &amp; "", "")</f>
        <v/>
      </c>
      <c r="AD432" s="64" t="str">
        <f>IFERROR(INDEX(입력!$Q$2:$Q$500, MATCH($BO432, 입력!$Z$2:$Z$500, 0)) &amp; "", "")</f>
        <v/>
      </c>
      <c r="AE432" s="64" t="str">
        <f>IFERROR(INDEX(입력!$R$2:$R$500, MATCH($BO432, 입력!$Z$2:$Z$500, 0)) &amp; "", "")</f>
        <v/>
      </c>
      <c r="AF432" s="64" t="str">
        <f>IFERROR(INDEX(입력!$S$2:$S$500, MATCH($BO432, 입력!$Z$2:$Z$500, 0)) &amp; "", "")</f>
        <v/>
      </c>
      <c r="AG432" s="64" t="str">
        <f>IFERROR(INDEX(입력!$T$2:$T$500, MATCH($BO432, 입력!$Z$2:$Z$500, 0)) &amp; "", "")</f>
        <v/>
      </c>
      <c r="AH432" s="64" t="str">
        <f>IFERROR(INDEX(입력!$U$2:$U$500, MATCH($BO432, 입력!$Z$2:$Z$500, 0)) &amp; "", "")</f>
        <v/>
      </c>
      <c r="AI432" s="64" t="str">
        <f>IFERROR(INDEX(입력!$V$2:$V$500, MATCH($BO432, 입력!$Z$2:$Z$500, 0)) &amp; "", "")</f>
        <v/>
      </c>
      <c r="AJ432" s="44" t="str">
        <f>IFERROR(INDEX(입력!$W$2:$W$500, MATCH($BO432, 입력!$Z$2:$Z$500, 0)) &amp; "", "")</f>
        <v/>
      </c>
      <c r="AK432" s="44" t="str">
        <f>IFERROR(INDEX(입력!$X$2:$X$500, MATCH($BO432, 입력!$Z$2:$Z$500, 0)) &amp; "", "")</f>
        <v/>
      </c>
      <c r="AL432" s="2"/>
      <c r="AM432" s="17" t="s">
        <v>1650</v>
      </c>
      <c r="AN432" s="101">
        <v>2025</v>
      </c>
      <c r="AO432" s="17" t="s">
        <v>3275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3137</v>
      </c>
      <c r="AZ432" s="71" t="str">
        <f>IFERROR(IF(INDEX(입력!$C$2:$C$500, MATCH($BO432, 입력!$Z$2:$Z$500, 0))="", "", TEXT(INDEX(입력!$C$2:$C$500, MATCH($BO432, 입력!$Z$2:$Z$500, 0)), "yyyy-mm-dd")), "")</f>
        <v/>
      </c>
      <c r="BA432" s="44" t="str">
        <f>IFERROR(INDEX(입력!$B$2:$B$500, MATCH($BO432, 입력!$Z$2:$Z$500, 0)) &amp; "", "")</f>
        <v/>
      </c>
      <c r="BB432" s="83" t="str">
        <f>IFERROR(INDEX(입력!$Y$2:$Y$500, MATCH($BO432, 입력!$Z$2:$Z$500, 0)) &amp; "", "")</f>
        <v/>
      </c>
      <c r="BC432" s="83" t="s">
        <v>3112</v>
      </c>
      <c r="BD432" s="83"/>
      <c r="BE432" s="101"/>
      <c r="BF432" s="101"/>
      <c r="BG432" s="101"/>
      <c r="BH432" s="101"/>
      <c r="BI432" s="101"/>
      <c r="BJ432" s="101"/>
      <c r="BK432" s="110"/>
      <c r="BL432" s="21"/>
      <c r="BM432" s="22">
        <v>282</v>
      </c>
      <c r="BN432" s="23"/>
      <c r="BO432" s="47" t="s">
        <v>962</v>
      </c>
    </row>
    <row r="433" spans="1:67" x14ac:dyDescent="0.45">
      <c r="A433" s="19">
        <v>432</v>
      </c>
      <c r="B433" s="1" t="s">
        <v>1647</v>
      </c>
      <c r="C433" s="17" t="str">
        <f t="shared" si="51"/>
        <v>이행완료</v>
      </c>
      <c r="D433" s="17" t="str">
        <f t="shared" si="54"/>
        <v>조사완료</v>
      </c>
      <c r="E433" s="2" t="s">
        <v>2252</v>
      </c>
      <c r="F433" s="1" t="s">
        <v>963</v>
      </c>
      <c r="G433" s="1" t="s">
        <v>2253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52"/>
        <v>기축</v>
      </c>
      <c r="N433" s="21" t="s">
        <v>1057</v>
      </c>
      <c r="O433" s="21"/>
      <c r="P433" s="1">
        <f t="shared" si="48"/>
        <v>11</v>
      </c>
      <c r="Q433" s="1">
        <v>11</v>
      </c>
      <c r="R433" s="64" t="str">
        <f>IFERROR(INDEX(입력!$J$2:$J$500, MATCH($BO433, 입력!$Z$2:$Z$500, 0)) &amp; "", "")</f>
        <v>11</v>
      </c>
      <c r="S433" s="64" t="str">
        <f>IFERROR(INDEX(입력!$K$2:$K$500, MATCH($BO433, 입력!$Z$2:$Z$500, 0)) &amp; "", "")</f>
        <v/>
      </c>
      <c r="T433" s="64">
        <f>MAX(0, 표1[[#This Row],[의무_면수]]-표1[[#This Row],[면수합]])</f>
        <v>0</v>
      </c>
      <c r="U433" s="44" t="str">
        <f t="shared" si="49"/>
        <v>이행완료</v>
      </c>
      <c r="V433" s="1">
        <f t="shared" si="53"/>
        <v>4</v>
      </c>
      <c r="W433" s="1" t="str">
        <f t="shared" si="50"/>
        <v/>
      </c>
      <c r="X433" s="1">
        <v>4</v>
      </c>
      <c r="Y433" s="64" t="str">
        <f>IFERROR(INDEX(입력!$M$2:$M$500, MATCH($BO433, 입력!$Z$2:$Z$500, 0)) &amp; "", "")</f>
        <v/>
      </c>
      <c r="Z433" s="64" t="str">
        <f>IFERROR(INDEX(입력!$N$2:$N$500, MATCH($BO433, 입력!$Z$2:$Z$500, 0)) &amp; "", "")</f>
        <v>4</v>
      </c>
      <c r="AA433" s="64">
        <f>MAX(0, 표1[[#This Row],[의무_시설]]-표1[[#This Row],[시설합]])</f>
        <v>0</v>
      </c>
      <c r="AB433" s="17" t="str">
        <f t="shared" si="55"/>
        <v>이행완료</v>
      </c>
      <c r="AC433" s="64" t="str">
        <f>IFERROR(INDEX(입력!$P$2:$P$500, MATCH($BO433, 입력!$Z$2:$Z$500, 0)) &amp; "", "")</f>
        <v>300</v>
      </c>
      <c r="AD433" s="64" t="str">
        <f>IFERROR(INDEX(입력!$Q$2:$Q$500, MATCH($BO433, 입력!$Z$2:$Z$500, 0)) &amp; "", "")</f>
        <v>2</v>
      </c>
      <c r="AE433" s="64" t="str">
        <f>IFERROR(INDEX(입력!$R$2:$R$500, MATCH($BO433, 입력!$Z$2:$Z$500, 0)) &amp; "", "")</f>
        <v/>
      </c>
      <c r="AF433" s="64" t="str">
        <f>IFERROR(INDEX(입력!$S$2:$S$500, MATCH($BO433, 입력!$Z$2:$Z$500, 0)) &amp; "", "")</f>
        <v/>
      </c>
      <c r="AG433" s="64" t="str">
        <f>IFERROR(INDEX(입력!$T$2:$T$500, MATCH($BO433, 입력!$Z$2:$Z$500, 0)) &amp; "", "")</f>
        <v>부</v>
      </c>
      <c r="AH433" s="64" t="str">
        <f>IFERROR(INDEX(입력!$U$2:$U$500, MATCH($BO433, 입력!$Z$2:$Z$500, 0)) &amp; "", "")</f>
        <v/>
      </c>
      <c r="AI433" s="64" t="str">
        <f>IFERROR(INDEX(입력!$V$2:$V$500, MATCH($BO433, 입력!$Z$2:$Z$500, 0)) &amp; "", "")</f>
        <v>여</v>
      </c>
      <c r="AJ433" s="44" t="str">
        <f>IFERROR(INDEX(입력!$W$2:$W$500, MATCH($BO433, 입력!$Z$2:$Z$500, 0)) &amp; "", "")</f>
        <v>지경아</v>
      </c>
      <c r="AK433" s="44" t="str">
        <f>IFERROR(INDEX(입력!$X$2:$X$500, MATCH($BO433, 입력!$Z$2:$Z$500, 0)) &amp; "", "")</f>
        <v>943-1133</v>
      </c>
      <c r="AL433" s="2" t="s">
        <v>2254</v>
      </c>
      <c r="AM433" s="17" t="s">
        <v>1650</v>
      </c>
      <c r="AN433" s="101">
        <v>2025</v>
      </c>
      <c r="AO433" s="17" t="s">
        <v>3275</v>
      </c>
      <c r="AP433" s="118"/>
      <c r="AQ433" s="21"/>
      <c r="AR433" s="119"/>
      <c r="AS433" s="101" t="s">
        <v>3163</v>
      </c>
      <c r="AT433" s="109">
        <v>46034</v>
      </c>
      <c r="AU433" s="101" t="s">
        <v>3126</v>
      </c>
      <c r="AV433" s="21" t="s">
        <v>1907</v>
      </c>
      <c r="AW433" s="101"/>
      <c r="AX433" s="101"/>
      <c r="AY433" s="83" t="s">
        <v>3137</v>
      </c>
      <c r="AZ433" s="71" t="str">
        <f>IFERROR(IF(INDEX(입력!$C$2:$C$500, MATCH($BO433, 입력!$Z$2:$Z$500, 0))="", "", TEXT(INDEX(입력!$C$2:$C$500, MATCH($BO433, 입력!$Z$2:$Z$500, 0)), "yyyy-mm-dd")), "")</f>
        <v>2026-04-06</v>
      </c>
      <c r="BA433" s="44" t="str">
        <f>IFERROR(INDEX(입력!$B$2:$B$500, MATCH($BO433, 입력!$Z$2:$Z$500, 0)) &amp; "", "")</f>
        <v>최하영</v>
      </c>
      <c r="BB433" s="83" t="str">
        <f>IFERROR(INDEX(입력!$Y$2:$Y$500, MATCH($BO433, 입력!$Z$2:$Z$500, 0)) &amp; "", "")</f>
        <v/>
      </c>
      <c r="BC433" s="83" t="s">
        <v>3112</v>
      </c>
      <c r="BD433" s="83"/>
      <c r="BE433" s="101"/>
      <c r="BF433" s="101"/>
      <c r="BG433" s="101"/>
      <c r="BH433" s="101"/>
      <c r="BI433" s="101"/>
      <c r="BJ433" s="101"/>
      <c r="BK433" s="110"/>
      <c r="BL433" s="21" t="s">
        <v>2410</v>
      </c>
      <c r="BM433" s="22">
        <v>211</v>
      </c>
      <c r="BN433" s="23"/>
      <c r="BO433" s="47" t="s">
        <v>964</v>
      </c>
    </row>
    <row r="434" spans="1:67" x14ac:dyDescent="0.45">
      <c r="A434" s="46">
        <v>433</v>
      </c>
      <c r="B434" s="1" t="s">
        <v>1647</v>
      </c>
      <c r="C434" s="17" t="str">
        <f t="shared" si="51"/>
        <v>이행완료</v>
      </c>
      <c r="D434" s="17" t="str">
        <f t="shared" si="54"/>
        <v>조사완료</v>
      </c>
      <c r="E434" s="2" t="s">
        <v>2255</v>
      </c>
      <c r="F434" s="1" t="s">
        <v>965</v>
      </c>
      <c r="G434" s="1" t="s">
        <v>2256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52"/>
        <v>기축</v>
      </c>
      <c r="N434" s="21" t="s">
        <v>1057</v>
      </c>
      <c r="O434" s="21"/>
      <c r="P434" s="1">
        <f t="shared" si="48"/>
        <v>14</v>
      </c>
      <c r="Q434" s="1">
        <v>14</v>
      </c>
      <c r="R434" s="64" t="str">
        <f>IFERROR(INDEX(입력!$J$2:$J$500, MATCH($BO434, 입력!$Z$2:$Z$500, 0)) &amp; "", "")</f>
        <v>11</v>
      </c>
      <c r="S434" s="64" t="str">
        <f>IFERROR(INDEX(입력!$K$2:$K$500, MATCH($BO434, 입력!$Z$2:$Z$500, 0)) &amp; "", "")</f>
        <v>3</v>
      </c>
      <c r="T434" s="64">
        <f>MAX(0, 표1[[#This Row],[의무_면수]]-표1[[#This Row],[면수합]])</f>
        <v>0</v>
      </c>
      <c r="U434" s="44" t="str">
        <f t="shared" si="49"/>
        <v>이행완료</v>
      </c>
      <c r="V434" s="1">
        <f t="shared" si="53"/>
        <v>5</v>
      </c>
      <c r="W434" s="1" t="str">
        <f t="shared" si="50"/>
        <v/>
      </c>
      <c r="X434" s="1">
        <v>5</v>
      </c>
      <c r="Y434" s="64" t="str">
        <f>IFERROR(INDEX(입력!$M$2:$M$500, MATCH($BO434, 입력!$Z$2:$Z$500, 0)) &amp; "", "")</f>
        <v/>
      </c>
      <c r="Z434" s="64" t="str">
        <f>IFERROR(INDEX(입력!$N$2:$N$500, MATCH($BO434, 입력!$Z$2:$Z$500, 0)) &amp; "", "")</f>
        <v>5</v>
      </c>
      <c r="AA434" s="64">
        <f>MAX(0, 표1[[#This Row],[의무_시설]]-표1[[#This Row],[시설합]])</f>
        <v>0</v>
      </c>
      <c r="AB434" s="17" t="str">
        <f t="shared" si="55"/>
        <v>이행완료</v>
      </c>
      <c r="AC434" s="64" t="str">
        <f>IFERROR(INDEX(입력!$P$2:$P$500, MATCH($BO434, 입력!$Z$2:$Z$500, 0)) &amp; "", "")</f>
        <v>361</v>
      </c>
      <c r="AD434" s="64" t="str">
        <f>IFERROR(INDEX(입력!$Q$2:$Q$500, MATCH($BO434, 입력!$Z$2:$Z$500, 0)) &amp; "", "")</f>
        <v>14</v>
      </c>
      <c r="AE434" s="64" t="str">
        <f>IFERROR(INDEX(입력!$R$2:$R$500, MATCH($BO434, 입력!$Z$2:$Z$500, 0)) &amp; "", "")</f>
        <v>여</v>
      </c>
      <c r="AF434" s="64" t="str">
        <f>IFERROR(INDEX(입력!$S$2:$S$500, MATCH($BO434, 입력!$Z$2:$Z$500, 0)) &amp; "", "")</f>
        <v>여</v>
      </c>
      <c r="AG434" s="64" t="str">
        <f>IFERROR(INDEX(입력!$T$2:$T$500, MATCH($BO434, 입력!$Z$2:$Z$500, 0)) &amp; "", "")</f>
        <v>부</v>
      </c>
      <c r="AH434" s="64" t="str">
        <f>IFERROR(INDEX(입력!$U$2:$U$500, MATCH($BO434, 입력!$Z$2:$Z$500, 0)) &amp; "", "")</f>
        <v/>
      </c>
      <c r="AI434" s="64" t="str">
        <f>IFERROR(INDEX(입력!$V$2:$V$500, MATCH($BO434, 입력!$Z$2:$Z$500, 0)) &amp; "", "")</f>
        <v>여</v>
      </c>
      <c r="AJ434" s="44" t="str">
        <f>IFERROR(INDEX(입력!$W$2:$W$500, MATCH($BO434, 입력!$Z$2:$Z$500, 0)) &amp; "", "")</f>
        <v>이혜련</v>
      </c>
      <c r="AK434" s="44" t="str">
        <f>IFERROR(INDEX(입력!$X$2:$X$500, MATCH($BO434, 입력!$Z$2:$Z$500, 0)) &amp; "", "")</f>
        <v>944-9884</v>
      </c>
      <c r="AL434" s="2" t="s">
        <v>34</v>
      </c>
      <c r="AM434" s="17" t="s">
        <v>1650</v>
      </c>
      <c r="AN434" s="101">
        <v>2025</v>
      </c>
      <c r="AO434" s="17" t="s">
        <v>3274</v>
      </c>
      <c r="AP434" s="118"/>
      <c r="AQ434" s="21"/>
      <c r="AR434" s="119"/>
      <c r="AS434" s="101" t="s">
        <v>3323</v>
      </c>
      <c r="AT434" s="109">
        <v>46097</v>
      </c>
      <c r="AU434" s="101"/>
      <c r="AV434" s="21" t="s">
        <v>2257</v>
      </c>
      <c r="AW434" s="101"/>
      <c r="AX434" s="119" t="s">
        <v>2258</v>
      </c>
      <c r="AY434" s="83" t="s">
        <v>3131</v>
      </c>
      <c r="AZ434" s="71" t="str">
        <f>IFERROR(IF(INDEX(입력!$C$2:$C$500, MATCH($BO434, 입력!$Z$2:$Z$500, 0))="", "", TEXT(INDEX(입력!$C$2:$C$500, MATCH($BO434, 입력!$Z$2:$Z$500, 0)), "yyyy-mm-dd")), "")</f>
        <v>2026-04-06</v>
      </c>
      <c r="BA434" s="44" t="str">
        <f>IFERROR(INDEX(입력!$B$2:$B$500, MATCH($BO434, 입력!$Z$2:$Z$500, 0)) &amp; "", "")</f>
        <v>최하영</v>
      </c>
      <c r="BB434" s="83" t="str">
        <f>IFERROR(INDEX(입력!$Y$2:$Y$500, MATCH($BO434, 입력!$Z$2:$Z$500, 0)) &amp; "", "")</f>
        <v/>
      </c>
      <c r="BC434" s="83" t="s">
        <v>3112</v>
      </c>
      <c r="BD434" s="83"/>
      <c r="BE434" s="101"/>
      <c r="BF434" s="101"/>
      <c r="BG434" s="101"/>
      <c r="BH434" s="101"/>
      <c r="BI434" s="101"/>
      <c r="BJ434" s="101"/>
      <c r="BK434" s="110"/>
      <c r="BL434" s="21" t="s">
        <v>2410</v>
      </c>
      <c r="BM434" s="22">
        <v>273</v>
      </c>
      <c r="BN434" s="23"/>
      <c r="BO434" s="47" t="s">
        <v>966</v>
      </c>
    </row>
    <row r="435" spans="1:67" x14ac:dyDescent="0.45">
      <c r="A435" s="19">
        <v>434</v>
      </c>
      <c r="B435" s="1" t="s">
        <v>1647</v>
      </c>
      <c r="C435" s="17" t="str">
        <f t="shared" si="51"/>
        <v>이행완료</v>
      </c>
      <c r="D435" s="17" t="str">
        <f t="shared" si="54"/>
        <v/>
      </c>
      <c r="E435" s="2" t="s">
        <v>2259</v>
      </c>
      <c r="F435" s="1" t="s">
        <v>967</v>
      </c>
      <c r="G435" s="1" t="s">
        <v>2260</v>
      </c>
      <c r="H435" s="18" t="s">
        <v>1133</v>
      </c>
      <c r="I435" s="19">
        <v>217</v>
      </c>
      <c r="J435" s="2"/>
      <c r="K435" s="20" t="s">
        <v>2570</v>
      </c>
      <c r="L435" s="20"/>
      <c r="M435" s="17" t="str">
        <f t="shared" si="52"/>
        <v>기축</v>
      </c>
      <c r="N435" s="21" t="s">
        <v>2401</v>
      </c>
      <c r="O435" s="21"/>
      <c r="P435" s="1">
        <f t="shared" si="48"/>
        <v>4</v>
      </c>
      <c r="Q435" s="1">
        <v>12</v>
      </c>
      <c r="R435" s="64" t="str">
        <f>IFERROR(INDEX(입력!$J$2:$J$500, MATCH($BO435, 입력!$Z$2:$Z$500, 0)) &amp; "", "")</f>
        <v/>
      </c>
      <c r="S435" s="64" t="str">
        <f>IFERROR(INDEX(입력!$K$2:$K$500, MATCH($BO435, 입력!$Z$2:$Z$500, 0)) &amp; "", "")</f>
        <v/>
      </c>
      <c r="T435" s="64">
        <f>MAX(0, 표1[[#This Row],[의무_면수]]-표1[[#This Row],[면수합]])</f>
        <v>0</v>
      </c>
      <c r="U435" s="44" t="str">
        <f t="shared" si="49"/>
        <v>이행완료</v>
      </c>
      <c r="V435" s="1">
        <f t="shared" si="53"/>
        <v>4</v>
      </c>
      <c r="W435" s="1" t="str">
        <f t="shared" si="50"/>
        <v/>
      </c>
      <c r="X435" s="1">
        <v>12</v>
      </c>
      <c r="Y435" s="64" t="str">
        <f>IFERROR(INDEX(입력!$M$2:$M$500, MATCH($BO435, 입력!$Z$2:$Z$500, 0)) &amp; "", "")</f>
        <v/>
      </c>
      <c r="Z435" s="64" t="str">
        <f>IFERROR(INDEX(입력!$N$2:$N$500, MATCH($BO435, 입력!$Z$2:$Z$500, 0)) &amp; "", "")</f>
        <v/>
      </c>
      <c r="AA435" s="64">
        <f>MAX(0, 표1[[#This Row],[의무_시설]]-표1[[#This Row],[시설합]])</f>
        <v>0</v>
      </c>
      <c r="AB435" s="17" t="str">
        <f t="shared" si="55"/>
        <v>이행완료</v>
      </c>
      <c r="AC435" s="64" t="str">
        <f>IFERROR(INDEX(입력!$P$2:$P$500, MATCH($BO435, 입력!$Z$2:$Z$500, 0)) &amp; "", "")</f>
        <v/>
      </c>
      <c r="AD435" s="64" t="str">
        <f>IFERROR(INDEX(입력!$Q$2:$Q$500, MATCH($BO435, 입력!$Z$2:$Z$500, 0)) &amp; "", "")</f>
        <v/>
      </c>
      <c r="AE435" s="64" t="str">
        <f>IFERROR(INDEX(입력!$R$2:$R$500, MATCH($BO435, 입력!$Z$2:$Z$500, 0)) &amp; "", "")</f>
        <v/>
      </c>
      <c r="AF435" s="64" t="str">
        <f>IFERROR(INDEX(입력!$S$2:$S$500, MATCH($BO435, 입력!$Z$2:$Z$500, 0)) &amp; "", "")</f>
        <v/>
      </c>
      <c r="AG435" s="64" t="str">
        <f>IFERROR(INDEX(입력!$T$2:$T$500, MATCH($BO435, 입력!$Z$2:$Z$500, 0)) &amp; "", "")</f>
        <v/>
      </c>
      <c r="AH435" s="64" t="str">
        <f>IFERROR(INDEX(입력!$U$2:$U$500, MATCH($BO435, 입력!$Z$2:$Z$500, 0)) &amp; "", "")</f>
        <v/>
      </c>
      <c r="AI435" s="64" t="str">
        <f>IFERROR(INDEX(입력!$V$2:$V$500, MATCH($BO435, 입력!$Z$2:$Z$500, 0)) &amp; "", "")</f>
        <v/>
      </c>
      <c r="AJ435" s="44" t="str">
        <f>IFERROR(INDEX(입력!$W$2:$W$500, MATCH($BO435, 입력!$Z$2:$Z$500, 0)) &amp; "", "")</f>
        <v/>
      </c>
      <c r="AK435" s="44" t="str">
        <f>IFERROR(INDEX(입력!$X$2:$X$500, MATCH($BO435, 입력!$Z$2:$Z$500, 0)) &amp; "", "")</f>
        <v/>
      </c>
      <c r="AL435" s="2"/>
      <c r="AM435" s="17" t="s">
        <v>1650</v>
      </c>
      <c r="AN435" s="101">
        <v>2025</v>
      </c>
      <c r="AO435" s="17" t="s">
        <v>3275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3131</v>
      </c>
      <c r="AZ435" s="71" t="str">
        <f>IFERROR(IF(INDEX(입력!$C$2:$C$500, MATCH($BO435, 입력!$Z$2:$Z$500, 0))="", "", TEXT(INDEX(입력!$C$2:$C$500, MATCH($BO435, 입력!$Z$2:$Z$500, 0)), "yyyy-mm-dd")), "")</f>
        <v/>
      </c>
      <c r="BA435" s="44" t="str">
        <f>IFERROR(INDEX(입력!$B$2:$B$500, MATCH($BO435, 입력!$Z$2:$Z$500, 0)) &amp; "", "")</f>
        <v/>
      </c>
      <c r="BB435" s="83" t="str">
        <f>IFERROR(INDEX(입력!$Y$2:$Y$500, MATCH($BO435, 입력!$Z$2:$Z$500, 0)) &amp; "", "")</f>
        <v/>
      </c>
      <c r="BC435" s="83" t="s">
        <v>3112</v>
      </c>
      <c r="BD435" s="83"/>
      <c r="BE435" s="101"/>
      <c r="BF435" s="101"/>
      <c r="BG435" s="101"/>
      <c r="BH435" s="101"/>
      <c r="BI435" s="101"/>
      <c r="BJ435" s="101"/>
      <c r="BK435" s="110"/>
      <c r="BL435" s="21"/>
      <c r="BM435" s="22">
        <v>217</v>
      </c>
      <c r="BN435" s="23"/>
      <c r="BO435" s="47" t="s">
        <v>968</v>
      </c>
    </row>
    <row r="436" spans="1:67" x14ac:dyDescent="0.45">
      <c r="A436" s="46">
        <v>435</v>
      </c>
      <c r="B436" s="1" t="s">
        <v>1647</v>
      </c>
      <c r="C436" s="17" t="str">
        <f t="shared" si="51"/>
        <v>이행완료</v>
      </c>
      <c r="D436" s="17" t="str">
        <f t="shared" si="54"/>
        <v>조사완료</v>
      </c>
      <c r="E436" s="2" t="s">
        <v>2261</v>
      </c>
      <c r="F436" s="1" t="s">
        <v>969</v>
      </c>
      <c r="G436" s="1" t="s">
        <v>2262</v>
      </c>
      <c r="H436" s="18" t="s">
        <v>1172</v>
      </c>
      <c r="I436" s="19">
        <v>122</v>
      </c>
      <c r="J436" s="2"/>
      <c r="K436" s="20">
        <v>42360</v>
      </c>
      <c r="L436" s="20"/>
      <c r="M436" s="17" t="str">
        <f t="shared" si="52"/>
        <v>기축</v>
      </c>
      <c r="N436" s="21" t="s">
        <v>1057</v>
      </c>
      <c r="O436" s="21"/>
      <c r="P436" s="1">
        <f t="shared" si="48"/>
        <v>6</v>
      </c>
      <c r="Q436" s="1">
        <v>6</v>
      </c>
      <c r="R436" s="64" t="str">
        <f>IFERROR(INDEX(입력!$J$2:$J$500, MATCH($BO436, 입력!$Z$2:$Z$500, 0)) &amp; "", "")</f>
        <v>6</v>
      </c>
      <c r="S436" s="64" t="str">
        <f>IFERROR(INDEX(입력!$K$2:$K$500, MATCH($BO436, 입력!$Z$2:$Z$500, 0)) &amp; "", "")</f>
        <v/>
      </c>
      <c r="T436" s="64">
        <f>MAX(0, 표1[[#This Row],[의무_면수]]-표1[[#This Row],[면수합]])</f>
        <v>0</v>
      </c>
      <c r="U436" s="44" t="str">
        <f t="shared" si="49"/>
        <v>이행완료</v>
      </c>
      <c r="V436" s="1">
        <f t="shared" si="53"/>
        <v>2</v>
      </c>
      <c r="W436" s="1" t="str">
        <f t="shared" si="50"/>
        <v/>
      </c>
      <c r="X436" s="1">
        <v>2</v>
      </c>
      <c r="Y436" s="64" t="str">
        <f>IFERROR(INDEX(입력!$M$2:$M$500, MATCH($BO436, 입력!$Z$2:$Z$500, 0)) &amp; "", "")</f>
        <v>1</v>
      </c>
      <c r="Z436" s="64" t="str">
        <f>IFERROR(INDEX(입력!$N$2:$N$500, MATCH($BO436, 입력!$Z$2:$Z$500, 0)) &amp; "", "")</f>
        <v>1</v>
      </c>
      <c r="AA436" s="64">
        <f>MAX(0, 표1[[#This Row],[의무_시설]]-표1[[#This Row],[시설합]])</f>
        <v>0</v>
      </c>
      <c r="AB436" s="17" t="str">
        <f t="shared" si="55"/>
        <v>이행완료</v>
      </c>
      <c r="AC436" s="64" t="str">
        <f>IFERROR(INDEX(입력!$P$2:$P$500, MATCH($BO436, 입력!$Z$2:$Z$500, 0)) &amp; "", "")</f>
        <v>200</v>
      </c>
      <c r="AD436" s="64" t="str">
        <f>IFERROR(INDEX(입력!$Q$2:$Q$500, MATCH($BO436, 입력!$Z$2:$Z$500, 0)) &amp; "", "")</f>
        <v>4</v>
      </c>
      <c r="AE436" s="64" t="str">
        <f>IFERROR(INDEX(입력!$R$2:$R$500, MATCH($BO436, 입력!$Z$2:$Z$500, 0)) &amp; "", "")</f>
        <v>여</v>
      </c>
      <c r="AF436" s="64" t="str">
        <f>IFERROR(INDEX(입력!$S$2:$S$500, MATCH($BO436, 입력!$Z$2:$Z$500, 0)) &amp; "", "")</f>
        <v>여</v>
      </c>
      <c r="AG436" s="64" t="str">
        <f>IFERROR(INDEX(입력!$T$2:$T$500, MATCH($BO436, 입력!$Z$2:$Z$500, 0)) &amp; "", "")</f>
        <v>부</v>
      </c>
      <c r="AH436" s="64" t="str">
        <f>IFERROR(INDEX(입력!$U$2:$U$500, MATCH($BO436, 입력!$Z$2:$Z$500, 0)) &amp; "", "")</f>
        <v/>
      </c>
      <c r="AI436" s="64" t="str">
        <f>IFERROR(INDEX(입력!$V$2:$V$500, MATCH($BO436, 입력!$Z$2:$Z$500, 0)) &amp; "", "")</f>
        <v>여</v>
      </c>
      <c r="AJ436" s="44" t="str">
        <f>IFERROR(INDEX(입력!$W$2:$W$500, MATCH($BO436, 입력!$Z$2:$Z$500, 0)) &amp; "", "")</f>
        <v>김기태</v>
      </c>
      <c r="AK436" s="44" t="str">
        <f>IFERROR(INDEX(입력!$X$2:$X$500, MATCH($BO436, 입력!$Z$2:$Z$500, 0)) &amp; "", "")</f>
        <v>010-3335-7955</v>
      </c>
      <c r="AL436" s="2" t="s">
        <v>2263</v>
      </c>
      <c r="AM436" s="17" t="s">
        <v>1650</v>
      </c>
      <c r="AN436" s="101">
        <v>2025</v>
      </c>
      <c r="AO436" s="17" t="s">
        <v>3277</v>
      </c>
      <c r="AP436" s="118"/>
      <c r="AQ436" s="21"/>
      <c r="AR436" s="119"/>
      <c r="AS436" s="101" t="s">
        <v>3124</v>
      </c>
      <c r="AT436" s="109">
        <v>46034</v>
      </c>
      <c r="AU436" s="101" t="s">
        <v>3141</v>
      </c>
      <c r="AV436" s="21" t="s">
        <v>1927</v>
      </c>
      <c r="AW436" s="101"/>
      <c r="AX436" s="119" t="s">
        <v>2264</v>
      </c>
      <c r="AY436" s="83" t="s">
        <v>3137</v>
      </c>
      <c r="AZ436" s="71" t="str">
        <f>IFERROR(IF(INDEX(입력!$C$2:$C$500, MATCH($BO436, 입력!$Z$2:$Z$500, 0))="", "", TEXT(INDEX(입력!$C$2:$C$500, MATCH($BO436, 입력!$Z$2:$Z$500, 0)), "yyyy-mm-dd")), "")</f>
        <v>2026-04-15</v>
      </c>
      <c r="BA436" s="44" t="str">
        <f>IFERROR(INDEX(입력!$B$2:$B$500, MATCH($BO436, 입력!$Z$2:$Z$500, 0)) &amp; "", "")</f>
        <v>정은진</v>
      </c>
      <c r="BB436" s="83" t="str">
        <f>IFERROR(INDEX(입력!$Y$2:$Y$500, MATCH($BO436, 입력!$Z$2:$Z$500, 0)) &amp; "", "")</f>
        <v/>
      </c>
      <c r="BC436" s="83" t="s">
        <v>3112</v>
      </c>
      <c r="BD436" s="83"/>
      <c r="BE436" s="101"/>
      <c r="BF436" s="101"/>
      <c r="BG436" s="101"/>
      <c r="BH436" s="101"/>
      <c r="BI436" s="101"/>
      <c r="BJ436" s="101"/>
      <c r="BK436" s="110"/>
      <c r="BL436" s="21" t="s">
        <v>2410</v>
      </c>
      <c r="BM436" s="22">
        <v>108</v>
      </c>
      <c r="BN436" s="23"/>
      <c r="BO436" s="47" t="s">
        <v>970</v>
      </c>
    </row>
    <row r="437" spans="1:67" x14ac:dyDescent="0.45">
      <c r="A437" s="19">
        <v>436</v>
      </c>
      <c r="B437" s="1" t="s">
        <v>1647</v>
      </c>
      <c r="C437" s="17" t="str">
        <f t="shared" si="51"/>
        <v>미이행</v>
      </c>
      <c r="D437" s="17" t="str">
        <f t="shared" si="54"/>
        <v>조사완료</v>
      </c>
      <c r="E437" s="2" t="s">
        <v>2265</v>
      </c>
      <c r="F437" s="1" t="s">
        <v>971</v>
      </c>
      <c r="G437" s="1" t="s">
        <v>2266</v>
      </c>
      <c r="H437" s="18" t="s">
        <v>1133</v>
      </c>
      <c r="I437" s="19">
        <v>58</v>
      </c>
      <c r="J437" s="2"/>
      <c r="K437" s="20">
        <v>42360</v>
      </c>
      <c r="L437" s="20"/>
      <c r="M437" s="17" t="str">
        <f t="shared" si="52"/>
        <v>기축</v>
      </c>
      <c r="N437" s="21" t="s">
        <v>2396</v>
      </c>
      <c r="O437" s="21"/>
      <c r="P437" s="1">
        <f t="shared" si="48"/>
        <v>3</v>
      </c>
      <c r="Q437" s="1">
        <v>1</v>
      </c>
      <c r="R437" s="64" t="str">
        <f>IFERROR(INDEX(입력!$J$2:$J$500, MATCH($BO437, 입력!$Z$2:$Z$500, 0)) &amp; "", "")</f>
        <v>1</v>
      </c>
      <c r="S437" s="64" t="str">
        <f>IFERROR(INDEX(입력!$K$2:$K$500, MATCH($BO437, 입력!$Z$2:$Z$500, 0)) &amp; "", "")</f>
        <v/>
      </c>
      <c r="T437" s="64">
        <f>MAX(0, 표1[[#This Row],[의무_면수]]-표1[[#This Row],[면수합]])</f>
        <v>2</v>
      </c>
      <c r="U437" s="44" t="str">
        <f t="shared" si="49"/>
        <v>미이행</v>
      </c>
      <c r="V437" s="1">
        <f t="shared" si="53"/>
        <v>1</v>
      </c>
      <c r="W437" s="1" t="str">
        <f t="shared" si="50"/>
        <v/>
      </c>
      <c r="X437" s="1">
        <v>1</v>
      </c>
      <c r="Y437" s="64" t="str">
        <f>IFERROR(INDEX(입력!$M$2:$M$500, MATCH($BO437, 입력!$Z$2:$Z$500, 0)) &amp; "", "")</f>
        <v/>
      </c>
      <c r="Z437" s="64" t="str">
        <f>IFERROR(INDEX(입력!$N$2:$N$500, MATCH($BO437, 입력!$Z$2:$Z$500, 0)) &amp; "", "")</f>
        <v>1</v>
      </c>
      <c r="AA437" s="64">
        <f>MAX(0, 표1[[#This Row],[의무_시설]]-표1[[#This Row],[시설합]])</f>
        <v>0</v>
      </c>
      <c r="AB437" s="17" t="str">
        <f t="shared" si="55"/>
        <v>이행완료</v>
      </c>
      <c r="AC437" s="64" t="str">
        <f>IFERROR(INDEX(입력!$P$2:$P$500, MATCH($BO437, 입력!$Z$2:$Z$500, 0)) &amp; "", "")</f>
        <v>100</v>
      </c>
      <c r="AD437" s="64" t="str">
        <f>IFERROR(INDEX(입력!$Q$2:$Q$500, MATCH($BO437, 입력!$Z$2:$Z$500, 0)) &amp; "", "")</f>
        <v/>
      </c>
      <c r="AE437" s="64" t="str">
        <f>IFERROR(INDEX(입력!$R$2:$R$500, MATCH($BO437, 입력!$Z$2:$Z$500, 0)) &amp; "", "")</f>
        <v>여</v>
      </c>
      <c r="AF437" s="64" t="str">
        <f>IFERROR(INDEX(입력!$S$2:$S$500, MATCH($BO437, 입력!$Z$2:$Z$500, 0)) &amp; "", "")</f>
        <v>여</v>
      </c>
      <c r="AG437" s="64" t="str">
        <f>IFERROR(INDEX(입력!$T$2:$T$500, MATCH($BO437, 입력!$Z$2:$Z$500, 0)) &amp; "", "")</f>
        <v>부</v>
      </c>
      <c r="AH437" s="64" t="str">
        <f>IFERROR(INDEX(입력!$U$2:$U$500, MATCH($BO437, 입력!$Z$2:$Z$500, 0)) &amp; "", "")</f>
        <v/>
      </c>
      <c r="AI437" s="64" t="str">
        <f>IFERROR(INDEX(입력!$V$2:$V$500, MATCH($BO437, 입력!$Z$2:$Z$500, 0)) &amp; "", "")</f>
        <v>여</v>
      </c>
      <c r="AJ437" s="44" t="str">
        <f>IFERROR(INDEX(입력!$W$2:$W$500, MATCH($BO437, 입력!$Z$2:$Z$500, 0)) &amp; "", "")</f>
        <v>김미정</v>
      </c>
      <c r="AK437" s="44" t="str">
        <f>IFERROR(INDEX(입력!$X$2:$X$500, MATCH($BO437, 입력!$Z$2:$Z$500, 0)) &amp; "", "")</f>
        <v>974-4564</v>
      </c>
      <c r="AL437" s="2" t="s">
        <v>2263</v>
      </c>
      <c r="AM437" s="17" t="s">
        <v>1650</v>
      </c>
      <c r="AN437" s="101">
        <v>2025</v>
      </c>
      <c r="AO437" s="17" t="s">
        <v>3274</v>
      </c>
      <c r="AP437" s="101"/>
      <c r="AQ437" s="108"/>
      <c r="AR437" s="119"/>
      <c r="AS437" s="114" t="s">
        <v>3291</v>
      </c>
      <c r="AT437" s="109">
        <v>46034</v>
      </c>
      <c r="AU437" s="101" t="s">
        <v>3141</v>
      </c>
      <c r="AV437" s="101"/>
      <c r="AW437" s="101" t="s">
        <v>3145</v>
      </c>
      <c r="AX437" s="101" t="s">
        <v>3297</v>
      </c>
      <c r="AY437" s="83" t="s">
        <v>3137</v>
      </c>
      <c r="AZ437" s="71" t="str">
        <f>IFERROR(IF(INDEX(입력!$C$2:$C$500, MATCH($BO437, 입력!$Z$2:$Z$500, 0))="", "", TEXT(INDEX(입력!$C$2:$C$500, MATCH($BO437, 입력!$Z$2:$Z$500, 0)), "yyyy-mm-dd")), "")</f>
        <v>2026-04-15</v>
      </c>
      <c r="BA437" s="44" t="str">
        <f>IFERROR(INDEX(입력!$B$2:$B$500, MATCH($BO437, 입력!$Z$2:$Z$500, 0)) &amp; "", "")</f>
        <v>이승수</v>
      </c>
      <c r="BB437" s="83" t="str">
        <f>IFERROR(INDEX(입력!$Y$2:$Y$500, MATCH($BO437, 입력!$Z$2:$Z$500, 0)) &amp; "", "")</f>
        <v>상반기중 설치예정.</v>
      </c>
      <c r="BC437" s="83" t="s">
        <v>3133</v>
      </c>
      <c r="BD437" s="83"/>
      <c r="BE437" s="83" t="s">
        <v>1060</v>
      </c>
      <c r="BF437" s="113">
        <v>46163</v>
      </c>
      <c r="BG437" s="83" t="s">
        <v>1089</v>
      </c>
      <c r="BH437" s="83" t="s">
        <v>4001</v>
      </c>
      <c r="BI437" s="83"/>
      <c r="BJ437" s="83"/>
      <c r="BK437" s="110"/>
      <c r="BL437" s="21" t="s">
        <v>2410</v>
      </c>
      <c r="BM437" s="22">
        <v>53</v>
      </c>
      <c r="BN437" s="23"/>
      <c r="BO437" s="47" t="s">
        <v>972</v>
      </c>
    </row>
    <row r="438" spans="1:67" x14ac:dyDescent="0.45">
      <c r="A438" s="46">
        <v>437</v>
      </c>
      <c r="B438" s="1" t="s">
        <v>1647</v>
      </c>
      <c r="C438" s="17" t="str">
        <f t="shared" si="51"/>
        <v>이행완료</v>
      </c>
      <c r="D438" s="17" t="str">
        <f t="shared" si="54"/>
        <v/>
      </c>
      <c r="E438" s="2" t="s">
        <v>2267</v>
      </c>
      <c r="F438" s="2" t="s">
        <v>973</v>
      </c>
      <c r="G438" s="1" t="s">
        <v>2268</v>
      </c>
      <c r="H438" s="18" t="s">
        <v>1172</v>
      </c>
      <c r="I438" s="19">
        <v>125</v>
      </c>
      <c r="J438" s="2"/>
      <c r="K438" s="20" t="s">
        <v>2571</v>
      </c>
      <c r="L438" s="20"/>
      <c r="M438" s="17" t="str">
        <f t="shared" si="52"/>
        <v>기축</v>
      </c>
      <c r="N438" s="21"/>
      <c r="O438" s="21"/>
      <c r="P438" s="1">
        <f t="shared" si="48"/>
        <v>3</v>
      </c>
      <c r="Q438" s="1">
        <v>3</v>
      </c>
      <c r="R438" s="64" t="str">
        <f>IFERROR(INDEX(입력!$J$2:$J$500, MATCH($BO438, 입력!$Z$2:$Z$500, 0)) &amp; "", "")</f>
        <v/>
      </c>
      <c r="S438" s="64" t="str">
        <f>IFERROR(INDEX(입력!$K$2:$K$500, MATCH($BO438, 입력!$Z$2:$Z$500, 0)) &amp; "", "")</f>
        <v/>
      </c>
      <c r="T438" s="64">
        <f>MAX(0, 표1[[#This Row],[의무_면수]]-표1[[#This Row],[면수합]])</f>
        <v>0</v>
      </c>
      <c r="U438" s="44" t="str">
        <f t="shared" si="49"/>
        <v>이행완료</v>
      </c>
      <c r="V438" s="1">
        <f t="shared" si="53"/>
        <v>3</v>
      </c>
      <c r="W438" s="1" t="str">
        <f t="shared" si="50"/>
        <v/>
      </c>
      <c r="X438" s="1">
        <v>3</v>
      </c>
      <c r="Y438" s="64" t="str">
        <f>IFERROR(INDEX(입력!$M$2:$M$500, MATCH($BO438, 입력!$Z$2:$Z$500, 0)) &amp; "", "")</f>
        <v/>
      </c>
      <c r="Z438" s="64" t="str">
        <f>IFERROR(INDEX(입력!$N$2:$N$500, MATCH($BO438, 입력!$Z$2:$Z$500, 0)) &amp; "", "")</f>
        <v/>
      </c>
      <c r="AA438" s="64">
        <f>MAX(0, 표1[[#This Row],[의무_시설]]-표1[[#This Row],[시설합]])</f>
        <v>0</v>
      </c>
      <c r="AB438" s="17" t="str">
        <f t="shared" si="55"/>
        <v>이행완료</v>
      </c>
      <c r="AC438" s="64" t="str">
        <f>IFERROR(INDEX(입력!$P$2:$P$500, MATCH($BO438, 입력!$Z$2:$Z$500, 0)) &amp; "", "")</f>
        <v/>
      </c>
      <c r="AD438" s="64" t="str">
        <f>IFERROR(INDEX(입력!$Q$2:$Q$500, MATCH($BO438, 입력!$Z$2:$Z$500, 0)) &amp; "", "")</f>
        <v/>
      </c>
      <c r="AE438" s="64" t="str">
        <f>IFERROR(INDEX(입력!$R$2:$R$500, MATCH($BO438, 입력!$Z$2:$Z$500, 0)) &amp; "", "")</f>
        <v/>
      </c>
      <c r="AF438" s="64" t="str">
        <f>IFERROR(INDEX(입력!$S$2:$S$500, MATCH($BO438, 입력!$Z$2:$Z$500, 0)) &amp; "", "")</f>
        <v/>
      </c>
      <c r="AG438" s="64" t="str">
        <f>IFERROR(INDEX(입력!$T$2:$T$500, MATCH($BO438, 입력!$Z$2:$Z$500, 0)) &amp; "", "")</f>
        <v/>
      </c>
      <c r="AH438" s="64" t="str">
        <f>IFERROR(INDEX(입력!$U$2:$U$500, MATCH($BO438, 입력!$Z$2:$Z$500, 0)) &amp; "", "")</f>
        <v/>
      </c>
      <c r="AI438" s="64" t="str">
        <f>IFERROR(INDEX(입력!$V$2:$V$500, MATCH($BO438, 입력!$Z$2:$Z$500, 0)) &amp; "", "")</f>
        <v/>
      </c>
      <c r="AJ438" s="44" t="str">
        <f>IFERROR(INDEX(입력!$W$2:$W$500, MATCH($BO438, 입력!$Z$2:$Z$500, 0)) &amp; "", "")</f>
        <v/>
      </c>
      <c r="AK438" s="44" t="str">
        <f>IFERROR(INDEX(입력!$X$2:$X$500, MATCH($BO438, 입력!$Z$2:$Z$500, 0)) &amp; "", "")</f>
        <v/>
      </c>
      <c r="AL438" s="2"/>
      <c r="AM438" s="17" t="s">
        <v>1650</v>
      </c>
      <c r="AN438" s="101">
        <v>2025</v>
      </c>
      <c r="AO438" s="17" t="s">
        <v>3275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3137</v>
      </c>
      <c r="AZ438" s="71" t="str">
        <f>IFERROR(IF(INDEX(입력!$C$2:$C$500, MATCH($BO438, 입력!$Z$2:$Z$500, 0))="", "", TEXT(INDEX(입력!$C$2:$C$500, MATCH($BO438, 입력!$Z$2:$Z$500, 0)), "yyyy-mm-dd")), "")</f>
        <v/>
      </c>
      <c r="BA438" s="44" t="str">
        <f>IFERROR(INDEX(입력!$B$2:$B$500, MATCH($BO438, 입력!$Z$2:$Z$500, 0)) &amp; "", "")</f>
        <v/>
      </c>
      <c r="BB438" s="83" t="str">
        <f>IFERROR(INDEX(입력!$Y$2:$Y$500, MATCH($BO438, 입력!$Z$2:$Z$500, 0)) &amp; "", "")</f>
        <v/>
      </c>
      <c r="BC438" s="83" t="s">
        <v>3112</v>
      </c>
      <c r="BD438" s="83"/>
      <c r="BE438" s="101"/>
      <c r="BF438" s="101"/>
      <c r="BG438" s="101"/>
      <c r="BH438" s="101"/>
      <c r="BI438" s="101"/>
      <c r="BJ438" s="101"/>
      <c r="BK438" s="110"/>
      <c r="BL438" s="21"/>
      <c r="BM438" s="22">
        <v>125</v>
      </c>
      <c r="BN438" s="23"/>
      <c r="BO438" s="47" t="s">
        <v>974</v>
      </c>
    </row>
    <row r="439" spans="1:67" x14ac:dyDescent="0.45">
      <c r="A439" s="19">
        <v>438</v>
      </c>
      <c r="B439" s="28" t="s">
        <v>1647</v>
      </c>
      <c r="C439" s="17" t="str">
        <f t="shared" si="51"/>
        <v>미이행</v>
      </c>
      <c r="D439" s="17" t="str">
        <f t="shared" si="54"/>
        <v>조사완료</v>
      </c>
      <c r="E439" s="5" t="s">
        <v>2269</v>
      </c>
      <c r="F439" s="5" t="s">
        <v>975</v>
      </c>
      <c r="G439" s="1" t="s">
        <v>2270</v>
      </c>
      <c r="H439" s="18" t="s">
        <v>1133</v>
      </c>
      <c r="I439" s="19">
        <v>61</v>
      </c>
      <c r="J439" s="2"/>
      <c r="K439" s="29">
        <v>42360</v>
      </c>
      <c r="L439" s="29"/>
      <c r="M439" s="17" t="str">
        <f t="shared" si="52"/>
        <v>기축</v>
      </c>
      <c r="N439" s="30" t="s">
        <v>2394</v>
      </c>
      <c r="O439" s="30"/>
      <c r="P439" s="1">
        <f t="shared" si="48"/>
        <v>3</v>
      </c>
      <c r="Q439" s="1">
        <v>1</v>
      </c>
      <c r="R439" s="64" t="str">
        <f>IFERROR(INDEX(입력!$J$2:$J$500, MATCH($BO439, 입력!$Z$2:$Z$500, 0)) &amp; "", "")</f>
        <v>1</v>
      </c>
      <c r="S439" s="64" t="str">
        <f>IFERROR(INDEX(입력!$K$2:$K$500, MATCH($BO439, 입력!$Z$2:$Z$500, 0)) &amp; "", "")</f>
        <v/>
      </c>
      <c r="T439" s="64">
        <f>MAX(0, 표1[[#This Row],[의무_면수]]-표1[[#This Row],[면수합]])</f>
        <v>2</v>
      </c>
      <c r="U439" s="44" t="str">
        <f t="shared" si="49"/>
        <v>미이행</v>
      </c>
      <c r="V439" s="1">
        <f t="shared" si="53"/>
        <v>1</v>
      </c>
      <c r="W439" s="1" t="str">
        <f t="shared" si="50"/>
        <v/>
      </c>
      <c r="X439" s="1">
        <v>1</v>
      </c>
      <c r="Y439" s="64" t="str">
        <f>IFERROR(INDEX(입력!$M$2:$M$500, MATCH($BO439, 입력!$Z$2:$Z$500, 0)) &amp; "", "")</f>
        <v/>
      </c>
      <c r="Z439" s="64" t="str">
        <f>IFERROR(INDEX(입력!$N$2:$N$500, MATCH($BO439, 입력!$Z$2:$Z$500, 0)) &amp; "", "")</f>
        <v>1</v>
      </c>
      <c r="AA439" s="64">
        <f>MAX(0, 표1[[#This Row],[의무_시설]]-표1[[#This Row],[시설합]])</f>
        <v>0</v>
      </c>
      <c r="AB439" s="17" t="str">
        <f t="shared" si="55"/>
        <v>이행완료</v>
      </c>
      <c r="AC439" s="64" t="str">
        <f>IFERROR(INDEX(입력!$P$2:$P$500, MATCH($BO439, 입력!$Z$2:$Z$500, 0)) &amp; "", "")</f>
        <v>100</v>
      </c>
      <c r="AD439" s="64" t="str">
        <f>IFERROR(INDEX(입력!$Q$2:$Q$500, MATCH($BO439, 입력!$Z$2:$Z$500, 0)) &amp; "", "")</f>
        <v/>
      </c>
      <c r="AE439" s="64" t="str">
        <f>IFERROR(INDEX(입력!$R$2:$R$500, MATCH($BO439, 입력!$Z$2:$Z$500, 0)) &amp; "", "")</f>
        <v>여</v>
      </c>
      <c r="AF439" s="64" t="str">
        <f>IFERROR(INDEX(입력!$S$2:$S$500, MATCH($BO439, 입력!$Z$2:$Z$500, 0)) &amp; "", "")</f>
        <v>여</v>
      </c>
      <c r="AG439" s="64" t="str">
        <f>IFERROR(INDEX(입력!$T$2:$T$500, MATCH($BO439, 입력!$Z$2:$Z$500, 0)) &amp; "", "")</f>
        <v>부</v>
      </c>
      <c r="AH439" s="64" t="str">
        <f>IFERROR(INDEX(입력!$U$2:$U$500, MATCH($BO439, 입력!$Z$2:$Z$500, 0)) &amp; "", "")</f>
        <v/>
      </c>
      <c r="AI439" s="64" t="str">
        <f>IFERROR(INDEX(입력!$V$2:$V$500, MATCH($BO439, 입력!$Z$2:$Z$500, 0)) &amp; "", "")</f>
        <v>여</v>
      </c>
      <c r="AJ439" s="44" t="str">
        <f>IFERROR(INDEX(입력!$W$2:$W$500, MATCH($BO439, 입력!$Z$2:$Z$500, 0)) &amp; "", "")</f>
        <v>김미정</v>
      </c>
      <c r="AK439" s="44" t="str">
        <f>IFERROR(INDEX(입력!$X$2:$X$500, MATCH($BO439, 입력!$Z$2:$Z$500, 0)) &amp; "", "")</f>
        <v>974-4564</v>
      </c>
      <c r="AL439" s="2" t="s">
        <v>2263</v>
      </c>
      <c r="AM439" s="17" t="s">
        <v>1650</v>
      </c>
      <c r="AN439" s="101">
        <v>2025</v>
      </c>
      <c r="AO439" s="17" t="s">
        <v>3274</v>
      </c>
      <c r="AP439" s="123"/>
      <c r="AQ439" s="124"/>
      <c r="AR439" s="122"/>
      <c r="AS439" s="114" t="s">
        <v>3291</v>
      </c>
      <c r="AT439" s="109">
        <v>46034</v>
      </c>
      <c r="AU439" s="101" t="s">
        <v>3126</v>
      </c>
      <c r="AV439" s="123"/>
      <c r="AW439" s="123" t="s">
        <v>3145</v>
      </c>
      <c r="AX439" s="101" t="s">
        <v>3290</v>
      </c>
      <c r="AY439" s="83" t="s">
        <v>3137</v>
      </c>
      <c r="AZ439" s="71" t="str">
        <f>IFERROR(IF(INDEX(입력!$C$2:$C$500, MATCH($BO439, 입력!$Z$2:$Z$500, 0))="", "", TEXT(INDEX(입력!$C$2:$C$500, MATCH($BO439, 입력!$Z$2:$Z$500, 0)), "yyyy-mm-dd")), "")</f>
        <v>2026-04-15</v>
      </c>
      <c r="BA439" s="44" t="str">
        <f>IFERROR(INDEX(입력!$B$2:$B$500, MATCH($BO439, 입력!$Z$2:$Z$500, 0)) &amp; "", "")</f>
        <v>이승수</v>
      </c>
      <c r="BB439" s="83" t="str">
        <f>IFERROR(INDEX(입력!$Y$2:$Y$500, MATCH($BO439, 입력!$Z$2:$Z$500, 0)) &amp; "", "")</f>
        <v>상반기중 설치예정.</v>
      </c>
      <c r="BC439" s="83" t="s">
        <v>3133</v>
      </c>
      <c r="BD439" s="102"/>
      <c r="BE439" s="83" t="s">
        <v>1060</v>
      </c>
      <c r="BF439" s="147">
        <v>46163</v>
      </c>
      <c r="BG439" s="102" t="s">
        <v>1089</v>
      </c>
      <c r="BH439" s="102" t="s">
        <v>4001</v>
      </c>
      <c r="BI439" s="102"/>
      <c r="BJ439" s="102"/>
      <c r="BK439" s="125"/>
      <c r="BL439" s="21" t="s">
        <v>2410</v>
      </c>
      <c r="BM439" s="32">
        <v>54</v>
      </c>
      <c r="BN439" s="23"/>
      <c r="BO439" s="47" t="s">
        <v>976</v>
      </c>
    </row>
    <row r="440" spans="1:67" s="34" customFormat="1" ht="16.5" customHeight="1" x14ac:dyDescent="0.45">
      <c r="A440" s="46">
        <v>439</v>
      </c>
      <c r="B440" s="1" t="s">
        <v>2271</v>
      </c>
      <c r="C440" s="17" t="str">
        <f t="shared" si="51"/>
        <v>미이행</v>
      </c>
      <c r="D440" s="17" t="str">
        <f t="shared" si="54"/>
        <v/>
      </c>
      <c r="E440" s="1" t="s">
        <v>2272</v>
      </c>
      <c r="F440" s="1" t="s">
        <v>977</v>
      </c>
      <c r="G440" s="1" t="s">
        <v>2273</v>
      </c>
      <c r="H440" s="18" t="s">
        <v>1152</v>
      </c>
      <c r="I440" s="19">
        <v>212</v>
      </c>
      <c r="J440" s="2"/>
      <c r="K440" s="20"/>
      <c r="L440" s="20"/>
      <c r="M440" s="17" t="str">
        <f t="shared" si="52"/>
        <v/>
      </c>
      <c r="N440" s="21" t="s">
        <v>1057</v>
      </c>
      <c r="O440" s="21"/>
      <c r="P440" s="1">
        <f t="shared" si="48"/>
        <v>11</v>
      </c>
      <c r="Q440" s="1">
        <v>6</v>
      </c>
      <c r="R440" s="64" t="str">
        <f>IFERROR(INDEX(입력!$J$2:$J$500, MATCH($BO440, 입력!$Z$2:$Z$500, 0)) &amp; "", "")</f>
        <v/>
      </c>
      <c r="S440" s="64" t="str">
        <f>IFERROR(INDEX(입력!$K$2:$K$500, MATCH($BO440, 입력!$Z$2:$Z$500, 0)) &amp; "", "")</f>
        <v/>
      </c>
      <c r="T440" s="64">
        <f>MAX(0, 표1[[#This Row],[의무_면수]]-표1[[#This Row],[면수합]])</f>
        <v>5</v>
      </c>
      <c r="U440" s="44" t="str">
        <f t="shared" si="49"/>
        <v>미이행</v>
      </c>
      <c r="V440" s="1">
        <f t="shared" si="53"/>
        <v>4</v>
      </c>
      <c r="W440" s="1" t="str">
        <f t="shared" si="50"/>
        <v/>
      </c>
      <c r="X440" s="1">
        <v>6</v>
      </c>
      <c r="Y440" s="64" t="str">
        <f>IFERROR(INDEX(입력!$M$2:$M$500, MATCH($BO440, 입력!$Z$2:$Z$500, 0)) &amp; "", "")</f>
        <v/>
      </c>
      <c r="Z440" s="64" t="str">
        <f>IFERROR(INDEX(입력!$N$2:$N$500, MATCH($BO440, 입력!$Z$2:$Z$500, 0)) &amp; "", "")</f>
        <v/>
      </c>
      <c r="AA440" s="64">
        <f>MAX(0, 표1[[#This Row],[의무_시설]]-표1[[#This Row],[시설합]])</f>
        <v>0</v>
      </c>
      <c r="AB440" s="17" t="str">
        <f t="shared" si="55"/>
        <v>이행완료</v>
      </c>
      <c r="AC440" s="64" t="str">
        <f>IFERROR(INDEX(입력!$P$2:$P$500, MATCH($BO440, 입력!$Z$2:$Z$500, 0)) &amp; "", "")</f>
        <v/>
      </c>
      <c r="AD440" s="64" t="str">
        <f>IFERROR(INDEX(입력!$Q$2:$Q$500, MATCH($BO440, 입력!$Z$2:$Z$500, 0)) &amp; "", "")</f>
        <v/>
      </c>
      <c r="AE440" s="64" t="str">
        <f>IFERROR(INDEX(입력!$R$2:$R$500, MATCH($BO440, 입력!$Z$2:$Z$500, 0)) &amp; "", "")</f>
        <v/>
      </c>
      <c r="AF440" s="64" t="str">
        <f>IFERROR(INDEX(입력!$S$2:$S$500, MATCH($BO440, 입력!$Z$2:$Z$500, 0)) &amp; "", "")</f>
        <v/>
      </c>
      <c r="AG440" s="64" t="str">
        <f>IFERROR(INDEX(입력!$T$2:$T$500, MATCH($BO440, 입력!$Z$2:$Z$500, 0)) &amp; "", "")</f>
        <v/>
      </c>
      <c r="AH440" s="64" t="str">
        <f>IFERROR(INDEX(입력!$U$2:$U$500, MATCH($BO440, 입력!$Z$2:$Z$500, 0)) &amp; "", "")</f>
        <v/>
      </c>
      <c r="AI440" s="64" t="str">
        <f>IFERROR(INDEX(입력!$V$2:$V$500, MATCH($BO440, 입력!$Z$2:$Z$500, 0)) &amp; "", "")</f>
        <v/>
      </c>
      <c r="AJ440" s="44" t="str">
        <f>IFERROR(INDEX(입력!$W$2:$W$500, MATCH($BO440, 입력!$Z$2:$Z$500, 0)) &amp; "", "")</f>
        <v/>
      </c>
      <c r="AK440" s="44" t="str">
        <f>IFERROR(INDEX(입력!$X$2:$X$500, MATCH($BO440, 입력!$Z$2:$Z$500, 0)) &amp; "", "")</f>
        <v/>
      </c>
      <c r="AL440" s="2"/>
      <c r="AM440" s="17"/>
      <c r="AN440" s="101"/>
      <c r="AO440" s="17"/>
      <c r="AP440" s="101"/>
      <c r="AQ440" s="101"/>
      <c r="AR440" s="119"/>
      <c r="AS440" s="109" t="s">
        <v>3325</v>
      </c>
      <c r="AT440" s="109">
        <v>46100</v>
      </c>
      <c r="AU440" s="101" t="s">
        <v>3141</v>
      </c>
      <c r="AV440" s="101" t="s">
        <v>3326</v>
      </c>
      <c r="AW440" s="117" t="s">
        <v>3327</v>
      </c>
      <c r="AX440" s="101" t="s">
        <v>3328</v>
      </c>
      <c r="AY440" s="83" t="s">
        <v>3137</v>
      </c>
      <c r="AZ440" s="71" t="str">
        <f>IFERROR(IF(INDEX(입력!$C$2:$C$500, MATCH($BO440, 입력!$Z$2:$Z$500, 0))="", "", TEXT(INDEX(입력!$C$2:$C$500, MATCH($BO440, 입력!$Z$2:$Z$500, 0)), "yyyy-mm-dd")), "")</f>
        <v/>
      </c>
      <c r="BA440" s="44" t="str">
        <f>IFERROR(INDEX(입력!$B$2:$B$500, MATCH($BO440, 입력!$Z$2:$Z$500, 0)) &amp; "", "")</f>
        <v/>
      </c>
      <c r="BB440" s="83" t="str">
        <f>IFERROR(INDEX(입력!$Y$2:$Y$500, MATCH($BO440, 입력!$Z$2:$Z$500, 0)) &amp; "", "")</f>
        <v/>
      </c>
      <c r="BC440" s="83"/>
      <c r="BD440" s="83"/>
      <c r="BE440" s="101"/>
      <c r="BF440" s="101"/>
      <c r="BG440" s="101"/>
      <c r="BH440" s="101"/>
      <c r="BI440" s="101"/>
      <c r="BJ440" s="101"/>
      <c r="BK440" s="83"/>
      <c r="BL440" s="17"/>
      <c r="BM440" s="22"/>
      <c r="BN440" s="33"/>
      <c r="BO440" s="47" t="s">
        <v>978</v>
      </c>
    </row>
    <row r="441" spans="1:67" s="34" customFormat="1" ht="16.5" customHeight="1" x14ac:dyDescent="0.45">
      <c r="A441" s="19">
        <v>440</v>
      </c>
      <c r="B441" s="1" t="s">
        <v>2271</v>
      </c>
      <c r="C441" s="17" t="str">
        <f t="shared" si="51"/>
        <v>미이행</v>
      </c>
      <c r="D441" s="17" t="str">
        <f t="shared" si="54"/>
        <v/>
      </c>
      <c r="E441" s="1" t="s">
        <v>2274</v>
      </c>
      <c r="F441" s="1" t="s">
        <v>979</v>
      </c>
      <c r="G441" s="1" t="s">
        <v>2275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52"/>
        <v>기축</v>
      </c>
      <c r="N441" s="21" t="s">
        <v>1057</v>
      </c>
      <c r="O441" s="21"/>
      <c r="P441" s="1">
        <f t="shared" si="48"/>
        <v>4</v>
      </c>
      <c r="Q441" s="1">
        <v>3</v>
      </c>
      <c r="R441" s="64" t="str">
        <f>IFERROR(INDEX(입력!$J$2:$J$500, MATCH($BO441, 입력!$Z$2:$Z$500, 0)) &amp; "", "")</f>
        <v/>
      </c>
      <c r="S441" s="64" t="str">
        <f>IFERROR(INDEX(입력!$K$2:$K$500, MATCH($BO441, 입력!$Z$2:$Z$500, 0)) &amp; "", "")</f>
        <v/>
      </c>
      <c r="T441" s="64">
        <f>MAX(0, 표1[[#This Row],[의무_면수]]-표1[[#This Row],[면수합]])</f>
        <v>1</v>
      </c>
      <c r="U441" s="44" t="str">
        <f t="shared" si="49"/>
        <v>미이행</v>
      </c>
      <c r="V441" s="1">
        <f t="shared" si="53"/>
        <v>2</v>
      </c>
      <c r="W441" s="1" t="str">
        <f t="shared" si="50"/>
        <v/>
      </c>
      <c r="X441" s="1">
        <v>3</v>
      </c>
      <c r="Y441" s="64" t="str">
        <f>IFERROR(INDEX(입력!$M$2:$M$500, MATCH($BO441, 입력!$Z$2:$Z$500, 0)) &amp; "", "")</f>
        <v/>
      </c>
      <c r="Z441" s="64" t="str">
        <f>IFERROR(INDEX(입력!$N$2:$N$500, MATCH($BO441, 입력!$Z$2:$Z$500, 0)) &amp; "", "")</f>
        <v/>
      </c>
      <c r="AA441" s="64">
        <f>MAX(0, 표1[[#This Row],[의무_시설]]-표1[[#This Row],[시설합]])</f>
        <v>0</v>
      </c>
      <c r="AB441" s="17" t="str">
        <f t="shared" si="55"/>
        <v>이행완료</v>
      </c>
      <c r="AC441" s="64" t="str">
        <f>IFERROR(INDEX(입력!$P$2:$P$500, MATCH($BO441, 입력!$Z$2:$Z$500, 0)) &amp; "", "")</f>
        <v/>
      </c>
      <c r="AD441" s="64" t="str">
        <f>IFERROR(INDEX(입력!$Q$2:$Q$500, MATCH($BO441, 입력!$Z$2:$Z$500, 0)) &amp; "", "")</f>
        <v/>
      </c>
      <c r="AE441" s="64" t="str">
        <f>IFERROR(INDEX(입력!$R$2:$R$500, MATCH($BO441, 입력!$Z$2:$Z$500, 0)) &amp; "", "")</f>
        <v/>
      </c>
      <c r="AF441" s="64" t="str">
        <f>IFERROR(INDEX(입력!$S$2:$S$500, MATCH($BO441, 입력!$Z$2:$Z$500, 0)) &amp; "", "")</f>
        <v/>
      </c>
      <c r="AG441" s="64" t="str">
        <f>IFERROR(INDEX(입력!$T$2:$T$500, MATCH($BO441, 입력!$Z$2:$Z$500, 0)) &amp; "", "")</f>
        <v/>
      </c>
      <c r="AH441" s="64" t="str">
        <f>IFERROR(INDEX(입력!$U$2:$U$500, MATCH($BO441, 입력!$Z$2:$Z$500, 0)) &amp; "", "")</f>
        <v/>
      </c>
      <c r="AI441" s="64" t="str">
        <f>IFERROR(INDEX(입력!$V$2:$V$500, MATCH($BO441, 입력!$Z$2:$Z$500, 0)) &amp; "", "")</f>
        <v/>
      </c>
      <c r="AJ441" s="44" t="str">
        <f>IFERROR(INDEX(입력!$W$2:$W$500, MATCH($BO441, 입력!$Z$2:$Z$500, 0)) &amp; "", "")</f>
        <v/>
      </c>
      <c r="AK441" s="44" t="str">
        <f>IFERROR(INDEX(입력!$X$2:$X$500, MATCH($BO441, 입력!$Z$2:$Z$500, 0)) &amp; "", "")</f>
        <v/>
      </c>
      <c r="AL441" s="2"/>
      <c r="AM441" s="17"/>
      <c r="AN441" s="101"/>
      <c r="AO441" s="17"/>
      <c r="AP441" s="101"/>
      <c r="AQ441" s="101"/>
      <c r="AR441" s="119"/>
      <c r="AS441" s="109" t="s">
        <v>3324</v>
      </c>
      <c r="AT441" s="109">
        <v>46100</v>
      </c>
      <c r="AU441" s="101" t="s">
        <v>3141</v>
      </c>
      <c r="AV441" s="101" t="s">
        <v>3329</v>
      </c>
      <c r="AW441" s="117" t="s">
        <v>3330</v>
      </c>
      <c r="AX441" s="101" t="s">
        <v>3328</v>
      </c>
      <c r="AY441" s="83" t="s">
        <v>3131</v>
      </c>
      <c r="AZ441" s="71" t="str">
        <f>IFERROR(IF(INDEX(입력!$C$2:$C$500, MATCH($BO441, 입력!$Z$2:$Z$500, 0))="", "", TEXT(INDEX(입력!$C$2:$C$500, MATCH($BO441, 입력!$Z$2:$Z$500, 0)), "yyyy-mm-dd")), "")</f>
        <v/>
      </c>
      <c r="BA441" s="44" t="str">
        <f>IFERROR(INDEX(입력!$B$2:$B$500, MATCH($BO441, 입력!$Z$2:$Z$500, 0)) &amp; "", "")</f>
        <v/>
      </c>
      <c r="BB441" s="83" t="str">
        <f>IFERROR(INDEX(입력!$Y$2:$Y$500, MATCH($BO441, 입력!$Z$2:$Z$500, 0)) &amp; "", "")</f>
        <v/>
      </c>
      <c r="BC441" s="83"/>
      <c r="BD441" s="83"/>
      <c r="BE441" s="114" t="s">
        <v>3331</v>
      </c>
      <c r="BF441" s="101"/>
      <c r="BG441" s="101"/>
      <c r="BH441" s="101"/>
      <c r="BI441" s="101"/>
      <c r="BJ441" s="101"/>
      <c r="BK441" s="83"/>
      <c r="BL441" s="17"/>
      <c r="BM441" s="22"/>
      <c r="BN441" s="23"/>
      <c r="BO441" s="47" t="s">
        <v>980</v>
      </c>
    </row>
    <row r="442" spans="1:67" s="34" customFormat="1" ht="16.5" customHeight="1" x14ac:dyDescent="0.45">
      <c r="A442" s="46">
        <v>441</v>
      </c>
      <c r="B442" s="1" t="s">
        <v>2271</v>
      </c>
      <c r="C442" s="17" t="str">
        <f t="shared" si="51"/>
        <v>미이행</v>
      </c>
      <c r="D442" s="17" t="str">
        <f t="shared" si="54"/>
        <v/>
      </c>
      <c r="E442" s="1" t="s">
        <v>2276</v>
      </c>
      <c r="F442" s="1" t="s">
        <v>2578</v>
      </c>
      <c r="G442" s="1" t="s">
        <v>2277</v>
      </c>
      <c r="H442" s="18" t="s">
        <v>1152</v>
      </c>
      <c r="I442" s="19">
        <v>107</v>
      </c>
      <c r="J442" s="2"/>
      <c r="K442" s="20"/>
      <c r="L442" s="20"/>
      <c r="M442" s="17" t="str">
        <f t="shared" si="52"/>
        <v/>
      </c>
      <c r="N442" s="21" t="s">
        <v>1057</v>
      </c>
      <c r="O442" s="21"/>
      <c r="P442" s="1">
        <f t="shared" si="48"/>
        <v>5</v>
      </c>
      <c r="Q442" s="1">
        <v>4</v>
      </c>
      <c r="R442" s="64" t="str">
        <f>IFERROR(INDEX(입력!$J$2:$J$500, MATCH($BO442, 입력!$Z$2:$Z$500, 0)) &amp; "", "")</f>
        <v/>
      </c>
      <c r="S442" s="64" t="str">
        <f>IFERROR(INDEX(입력!$K$2:$K$500, MATCH($BO442, 입력!$Z$2:$Z$500, 0)) &amp; "", "")</f>
        <v/>
      </c>
      <c r="T442" s="64">
        <f>MAX(0, 표1[[#This Row],[의무_면수]]-표1[[#This Row],[면수합]])</f>
        <v>1</v>
      </c>
      <c r="U442" s="44" t="str">
        <f t="shared" si="49"/>
        <v>미이행</v>
      </c>
      <c r="V442" s="1">
        <f t="shared" si="53"/>
        <v>2</v>
      </c>
      <c r="W442" s="1" t="str">
        <f t="shared" si="50"/>
        <v/>
      </c>
      <c r="X442" s="1">
        <v>4</v>
      </c>
      <c r="Y442" s="64" t="str">
        <f>IFERROR(INDEX(입력!$M$2:$M$500, MATCH($BO442, 입력!$Z$2:$Z$500, 0)) &amp; "", "")</f>
        <v/>
      </c>
      <c r="Z442" s="64" t="str">
        <f>IFERROR(INDEX(입력!$N$2:$N$500, MATCH($BO442, 입력!$Z$2:$Z$500, 0)) &amp; "", "")</f>
        <v/>
      </c>
      <c r="AA442" s="64">
        <f>MAX(0, 표1[[#This Row],[의무_시설]]-표1[[#This Row],[시설합]])</f>
        <v>0</v>
      </c>
      <c r="AB442" s="17" t="str">
        <f t="shared" si="55"/>
        <v>이행완료</v>
      </c>
      <c r="AC442" s="64" t="str">
        <f>IFERROR(INDEX(입력!$P$2:$P$500, MATCH($BO442, 입력!$Z$2:$Z$500, 0)) &amp; "", "")</f>
        <v/>
      </c>
      <c r="AD442" s="64" t="str">
        <f>IFERROR(INDEX(입력!$Q$2:$Q$500, MATCH($BO442, 입력!$Z$2:$Z$500, 0)) &amp; "", "")</f>
        <v/>
      </c>
      <c r="AE442" s="64" t="str">
        <f>IFERROR(INDEX(입력!$R$2:$R$500, MATCH($BO442, 입력!$Z$2:$Z$500, 0)) &amp; "", "")</f>
        <v/>
      </c>
      <c r="AF442" s="64" t="str">
        <f>IFERROR(INDEX(입력!$S$2:$S$500, MATCH($BO442, 입력!$Z$2:$Z$500, 0)) &amp; "", "")</f>
        <v/>
      </c>
      <c r="AG442" s="64" t="str">
        <f>IFERROR(INDEX(입력!$T$2:$T$500, MATCH($BO442, 입력!$Z$2:$Z$500, 0)) &amp; "", "")</f>
        <v/>
      </c>
      <c r="AH442" s="64" t="str">
        <f>IFERROR(INDEX(입력!$U$2:$U$500, MATCH($BO442, 입력!$Z$2:$Z$500, 0)) &amp; "", "")</f>
        <v/>
      </c>
      <c r="AI442" s="64" t="str">
        <f>IFERROR(INDEX(입력!$V$2:$V$500, MATCH($BO442, 입력!$Z$2:$Z$500, 0)) &amp; "", "")</f>
        <v/>
      </c>
      <c r="AJ442" s="44" t="str">
        <f>IFERROR(INDEX(입력!$W$2:$W$500, MATCH($BO442, 입력!$Z$2:$Z$500, 0)) &amp; "", "")</f>
        <v/>
      </c>
      <c r="AK442" s="44" t="str">
        <f>IFERROR(INDEX(입력!$X$2:$X$500, MATCH($BO442, 입력!$Z$2:$Z$500, 0)) &amp; "", "")</f>
        <v/>
      </c>
      <c r="AL442" s="2"/>
      <c r="AM442" s="17"/>
      <c r="AN442" s="101"/>
      <c r="AO442" s="17"/>
      <c r="AP442" s="101"/>
      <c r="AQ442" s="101"/>
      <c r="AR442" s="119"/>
      <c r="AS442" s="109" t="s">
        <v>3325</v>
      </c>
      <c r="AT442" s="109">
        <v>46100</v>
      </c>
      <c r="AU442" s="101" t="s">
        <v>3126</v>
      </c>
      <c r="AV442" s="101" t="s">
        <v>3326</v>
      </c>
      <c r="AW442" s="117" t="s">
        <v>3330</v>
      </c>
      <c r="AX442" s="101" t="s">
        <v>3332</v>
      </c>
      <c r="AY442" s="83" t="s">
        <v>3132</v>
      </c>
      <c r="AZ442" s="71" t="str">
        <f>IFERROR(IF(INDEX(입력!$C$2:$C$500, MATCH($BO442, 입력!$Z$2:$Z$500, 0))="", "", TEXT(INDEX(입력!$C$2:$C$500, MATCH($BO442, 입력!$Z$2:$Z$500, 0)), "yyyy-mm-dd")), "")</f>
        <v/>
      </c>
      <c r="BA442" s="44" t="str">
        <f>IFERROR(INDEX(입력!$B$2:$B$500, MATCH($BO442, 입력!$Z$2:$Z$500, 0)) &amp; "", "")</f>
        <v/>
      </c>
      <c r="BB442" s="83" t="str">
        <f>IFERROR(INDEX(입력!$Y$2:$Y$500, MATCH($BO442, 입력!$Z$2:$Z$500, 0)) &amp; "", "")</f>
        <v/>
      </c>
      <c r="BC442" s="83" t="s">
        <v>3112</v>
      </c>
      <c r="BD442" s="83"/>
      <c r="BE442" s="114" t="s">
        <v>3333</v>
      </c>
      <c r="BF442" s="101"/>
      <c r="BG442" s="101"/>
      <c r="BH442" s="101"/>
      <c r="BI442" s="101"/>
      <c r="BJ442" s="101"/>
      <c r="BK442" s="83"/>
      <c r="BL442" s="17"/>
      <c r="BM442" s="22"/>
      <c r="BN442" s="23"/>
      <c r="BO442" s="47" t="s">
        <v>981</v>
      </c>
    </row>
    <row r="443" spans="1:67" s="34" customFormat="1" ht="16.5" customHeight="1" x14ac:dyDescent="0.45">
      <c r="A443" s="19">
        <v>442</v>
      </c>
      <c r="B443" s="1" t="s">
        <v>2271</v>
      </c>
      <c r="C443" s="17" t="str">
        <f t="shared" si="51"/>
        <v>이행완료</v>
      </c>
      <c r="D443" s="17" t="str">
        <f t="shared" si="54"/>
        <v/>
      </c>
      <c r="E443" s="1" t="s">
        <v>2278</v>
      </c>
      <c r="F443" s="1" t="s">
        <v>982</v>
      </c>
      <c r="G443" s="1" t="s">
        <v>2279</v>
      </c>
      <c r="H443" s="18" t="s">
        <v>1621</v>
      </c>
      <c r="I443" s="19">
        <v>88</v>
      </c>
      <c r="J443" s="2"/>
      <c r="K443" s="20">
        <v>37644</v>
      </c>
      <c r="L443" s="20"/>
      <c r="M443" s="17" t="str">
        <f t="shared" si="52"/>
        <v>기축</v>
      </c>
      <c r="N443" s="21" t="s">
        <v>1057</v>
      </c>
      <c r="O443" s="21"/>
      <c r="P443" s="1">
        <f t="shared" si="48"/>
        <v>4</v>
      </c>
      <c r="Q443" s="1">
        <v>4</v>
      </c>
      <c r="R443" s="64" t="str">
        <f>IFERROR(INDEX(입력!$J$2:$J$500, MATCH($BO443, 입력!$Z$2:$Z$500, 0)) &amp; "", "")</f>
        <v/>
      </c>
      <c r="S443" s="64" t="str">
        <f>IFERROR(INDEX(입력!$K$2:$K$500, MATCH($BO443, 입력!$Z$2:$Z$500, 0)) &amp; "", "")</f>
        <v/>
      </c>
      <c r="T443" s="64">
        <f>MAX(0, 표1[[#This Row],[의무_면수]]-표1[[#This Row],[면수합]])</f>
        <v>0</v>
      </c>
      <c r="U443" s="44" t="str">
        <f t="shared" si="49"/>
        <v>이행완료</v>
      </c>
      <c r="V443" s="1">
        <f t="shared" si="53"/>
        <v>2</v>
      </c>
      <c r="W443" s="1" t="str">
        <f t="shared" si="50"/>
        <v/>
      </c>
      <c r="X443" s="1">
        <v>3</v>
      </c>
      <c r="Y443" s="64" t="str">
        <f>IFERROR(INDEX(입력!$M$2:$M$500, MATCH($BO443, 입력!$Z$2:$Z$500, 0)) &amp; "", "")</f>
        <v/>
      </c>
      <c r="Z443" s="64" t="str">
        <f>IFERROR(INDEX(입력!$N$2:$N$500, MATCH($BO443, 입력!$Z$2:$Z$500, 0)) &amp; "", "")</f>
        <v/>
      </c>
      <c r="AA443" s="64">
        <f>MAX(0, 표1[[#This Row],[의무_시설]]-표1[[#This Row],[시설합]])</f>
        <v>0</v>
      </c>
      <c r="AB443" s="17" t="str">
        <f t="shared" si="55"/>
        <v>이행완료</v>
      </c>
      <c r="AC443" s="64" t="str">
        <f>IFERROR(INDEX(입력!$P$2:$P$500, MATCH($BO443, 입력!$Z$2:$Z$500, 0)) &amp; "", "")</f>
        <v/>
      </c>
      <c r="AD443" s="64" t="str">
        <f>IFERROR(INDEX(입력!$Q$2:$Q$500, MATCH($BO443, 입력!$Z$2:$Z$500, 0)) &amp; "", "")</f>
        <v/>
      </c>
      <c r="AE443" s="64" t="str">
        <f>IFERROR(INDEX(입력!$R$2:$R$500, MATCH($BO443, 입력!$Z$2:$Z$500, 0)) &amp; "", "")</f>
        <v/>
      </c>
      <c r="AF443" s="64" t="str">
        <f>IFERROR(INDEX(입력!$S$2:$S$500, MATCH($BO443, 입력!$Z$2:$Z$500, 0)) &amp; "", "")</f>
        <v/>
      </c>
      <c r="AG443" s="64" t="str">
        <f>IFERROR(INDEX(입력!$T$2:$T$500, MATCH($BO443, 입력!$Z$2:$Z$500, 0)) &amp; "", "")</f>
        <v/>
      </c>
      <c r="AH443" s="64" t="str">
        <f>IFERROR(INDEX(입력!$U$2:$U$500, MATCH($BO443, 입력!$Z$2:$Z$500, 0)) &amp; "", "")</f>
        <v/>
      </c>
      <c r="AI443" s="64" t="str">
        <f>IFERROR(INDEX(입력!$V$2:$V$500, MATCH($BO443, 입력!$Z$2:$Z$500, 0)) &amp; "", "")</f>
        <v/>
      </c>
      <c r="AJ443" s="44" t="str">
        <f>IFERROR(INDEX(입력!$W$2:$W$500, MATCH($BO443, 입력!$Z$2:$Z$500, 0)) &amp; "", "")</f>
        <v/>
      </c>
      <c r="AK443" s="44" t="str">
        <f>IFERROR(INDEX(입력!$X$2:$X$500, MATCH($BO443, 입력!$Z$2:$Z$500, 0)) &amp; "", "")</f>
        <v/>
      </c>
      <c r="AL443" s="2"/>
      <c r="AM443" s="17"/>
      <c r="AN443" s="101"/>
      <c r="AO443" s="17"/>
      <c r="AP443" s="118"/>
      <c r="AQ443" s="17"/>
      <c r="AR443" s="119"/>
      <c r="AS443" s="101"/>
      <c r="AT443" s="101"/>
      <c r="AU443" s="101"/>
      <c r="AV443" s="101"/>
      <c r="AW443" s="101"/>
      <c r="AX443" s="101"/>
      <c r="AY443" s="83" t="s">
        <v>3131</v>
      </c>
      <c r="AZ443" s="71" t="str">
        <f>IFERROR(IF(INDEX(입력!$C$2:$C$500, MATCH($BO443, 입력!$Z$2:$Z$500, 0))="", "", TEXT(INDEX(입력!$C$2:$C$500, MATCH($BO443, 입력!$Z$2:$Z$500, 0)), "yyyy-mm-dd")), "")</f>
        <v/>
      </c>
      <c r="BA443" s="44" t="str">
        <f>IFERROR(INDEX(입력!$B$2:$B$500, MATCH($BO443, 입력!$Z$2:$Z$500, 0)) &amp; "", "")</f>
        <v/>
      </c>
      <c r="BB443" s="83" t="str">
        <f>IFERROR(INDEX(입력!$Y$2:$Y$500, MATCH($BO443, 입력!$Z$2:$Z$500, 0)) &amp; "", "")</f>
        <v/>
      </c>
      <c r="BC443" s="83" t="s">
        <v>3112</v>
      </c>
      <c r="BD443" s="83"/>
      <c r="BE443" s="101"/>
      <c r="BF443" s="101"/>
      <c r="BG443" s="101"/>
      <c r="BH443" s="101"/>
      <c r="BI443" s="101"/>
      <c r="BJ443" s="101"/>
      <c r="BK443" s="83"/>
      <c r="BL443" s="17"/>
      <c r="BM443" s="22"/>
      <c r="BN443" s="23"/>
      <c r="BO443" s="47" t="s">
        <v>983</v>
      </c>
    </row>
    <row r="444" spans="1:67" s="34" customFormat="1" ht="16.5" customHeight="1" x14ac:dyDescent="0.45">
      <c r="A444" s="46">
        <v>443</v>
      </c>
      <c r="B444" s="1" t="s">
        <v>2271</v>
      </c>
      <c r="C444" s="17" t="str">
        <f t="shared" si="51"/>
        <v>이행완료</v>
      </c>
      <c r="D444" s="17" t="str">
        <f t="shared" si="54"/>
        <v/>
      </c>
      <c r="E444" s="1" t="s">
        <v>2280</v>
      </c>
      <c r="F444" s="1" t="s">
        <v>984</v>
      </c>
      <c r="G444" s="1" t="s">
        <v>2281</v>
      </c>
      <c r="H444" s="18" t="s">
        <v>1152</v>
      </c>
      <c r="I444" s="19">
        <v>136</v>
      </c>
      <c r="J444" s="2"/>
      <c r="K444" s="20">
        <v>40137</v>
      </c>
      <c r="L444" s="20"/>
      <c r="M444" s="17" t="str">
        <f t="shared" si="52"/>
        <v>기축</v>
      </c>
      <c r="N444" s="21" t="s">
        <v>1057</v>
      </c>
      <c r="O444" s="21"/>
      <c r="P444" s="1">
        <f t="shared" si="48"/>
        <v>7</v>
      </c>
      <c r="Q444" s="1">
        <v>8</v>
      </c>
      <c r="R444" s="64" t="str">
        <f>IFERROR(INDEX(입력!$J$2:$J$500, MATCH($BO444, 입력!$Z$2:$Z$500, 0)) &amp; "", "")</f>
        <v/>
      </c>
      <c r="S444" s="64" t="str">
        <f>IFERROR(INDEX(입력!$K$2:$K$500, MATCH($BO444, 입력!$Z$2:$Z$500, 0)) &amp; "", "")</f>
        <v/>
      </c>
      <c r="T444" s="64">
        <f>MAX(0, 표1[[#This Row],[의무_면수]]-표1[[#This Row],[면수합]])</f>
        <v>0</v>
      </c>
      <c r="U444" s="44" t="str">
        <f t="shared" si="49"/>
        <v>이행완료</v>
      </c>
      <c r="V444" s="1">
        <f t="shared" si="53"/>
        <v>3</v>
      </c>
      <c r="W444" s="1" t="str">
        <f t="shared" si="50"/>
        <v/>
      </c>
      <c r="X444" s="1">
        <v>4</v>
      </c>
      <c r="Y444" s="64" t="str">
        <f>IFERROR(INDEX(입력!$M$2:$M$500, MATCH($BO444, 입력!$Z$2:$Z$500, 0)) &amp; "", "")</f>
        <v/>
      </c>
      <c r="Z444" s="64" t="str">
        <f>IFERROR(INDEX(입력!$N$2:$N$500, MATCH($BO444, 입력!$Z$2:$Z$500, 0)) &amp; "", "")</f>
        <v/>
      </c>
      <c r="AA444" s="64">
        <f>MAX(0, 표1[[#This Row],[의무_시설]]-표1[[#This Row],[시설합]])</f>
        <v>0</v>
      </c>
      <c r="AB444" s="17" t="str">
        <f t="shared" si="55"/>
        <v>이행완료</v>
      </c>
      <c r="AC444" s="64" t="str">
        <f>IFERROR(INDEX(입력!$P$2:$P$500, MATCH($BO444, 입력!$Z$2:$Z$500, 0)) &amp; "", "")</f>
        <v/>
      </c>
      <c r="AD444" s="64" t="str">
        <f>IFERROR(INDEX(입력!$Q$2:$Q$500, MATCH($BO444, 입력!$Z$2:$Z$500, 0)) &amp; "", "")</f>
        <v/>
      </c>
      <c r="AE444" s="64" t="str">
        <f>IFERROR(INDEX(입력!$R$2:$R$500, MATCH($BO444, 입력!$Z$2:$Z$500, 0)) &amp; "", "")</f>
        <v/>
      </c>
      <c r="AF444" s="64" t="str">
        <f>IFERROR(INDEX(입력!$S$2:$S$500, MATCH($BO444, 입력!$Z$2:$Z$500, 0)) &amp; "", "")</f>
        <v/>
      </c>
      <c r="AG444" s="64" t="str">
        <f>IFERROR(INDEX(입력!$T$2:$T$500, MATCH($BO444, 입력!$Z$2:$Z$500, 0)) &amp; "", "")</f>
        <v/>
      </c>
      <c r="AH444" s="64" t="str">
        <f>IFERROR(INDEX(입력!$U$2:$U$500, MATCH($BO444, 입력!$Z$2:$Z$500, 0)) &amp; "", "")</f>
        <v/>
      </c>
      <c r="AI444" s="64" t="str">
        <f>IFERROR(INDEX(입력!$V$2:$V$500, MATCH($BO444, 입력!$Z$2:$Z$500, 0)) &amp; "", "")</f>
        <v/>
      </c>
      <c r="AJ444" s="44" t="str">
        <f>IFERROR(INDEX(입력!$W$2:$W$500, MATCH($BO444, 입력!$Z$2:$Z$500, 0)) &amp; "", "")</f>
        <v/>
      </c>
      <c r="AK444" s="44" t="str">
        <f>IFERROR(INDEX(입력!$X$2:$X$500, MATCH($BO444, 입력!$Z$2:$Z$500, 0)) &amp; "", "")</f>
        <v/>
      </c>
      <c r="AL444" s="2"/>
      <c r="AM444" s="17"/>
      <c r="AN444" s="101"/>
      <c r="AO444" s="17"/>
      <c r="AP444" s="118"/>
      <c r="AQ444" s="17"/>
      <c r="AR444" s="119"/>
      <c r="AS444" s="101"/>
      <c r="AT444" s="101"/>
      <c r="AU444" s="101"/>
      <c r="AV444" s="101"/>
      <c r="AW444" s="101"/>
      <c r="AX444" s="101"/>
      <c r="AY444" s="83" t="s">
        <v>3137</v>
      </c>
      <c r="AZ444" s="71" t="str">
        <f>IFERROR(IF(INDEX(입력!$C$2:$C$500, MATCH($BO444, 입력!$Z$2:$Z$500, 0))="", "", TEXT(INDEX(입력!$C$2:$C$500, MATCH($BO444, 입력!$Z$2:$Z$500, 0)), "yyyy-mm-dd")), "")</f>
        <v/>
      </c>
      <c r="BA444" s="44" t="str">
        <f>IFERROR(INDEX(입력!$B$2:$B$500, MATCH($BO444, 입력!$Z$2:$Z$500, 0)) &amp; "", "")</f>
        <v/>
      </c>
      <c r="BB444" s="83" t="str">
        <f>IFERROR(INDEX(입력!$Y$2:$Y$500, MATCH($BO444, 입력!$Z$2:$Z$500, 0)) &amp; "", "")</f>
        <v/>
      </c>
      <c r="BC444" s="83" t="s">
        <v>3112</v>
      </c>
      <c r="BD444" s="83"/>
      <c r="BE444" s="101"/>
      <c r="BF444" s="101"/>
      <c r="BG444" s="101"/>
      <c r="BH444" s="101"/>
      <c r="BI444" s="101"/>
      <c r="BJ444" s="101"/>
      <c r="BK444" s="83"/>
      <c r="BL444" s="17"/>
      <c r="BM444" s="22"/>
      <c r="BN444" s="23"/>
      <c r="BO444" s="47" t="s">
        <v>985</v>
      </c>
    </row>
    <row r="445" spans="1:67" s="34" customFormat="1" ht="16.5" customHeight="1" x14ac:dyDescent="0.45">
      <c r="A445" s="19">
        <v>444</v>
      </c>
      <c r="B445" s="1" t="s">
        <v>2271</v>
      </c>
      <c r="C445" s="17" t="str">
        <f t="shared" si="51"/>
        <v>이행완료</v>
      </c>
      <c r="D445" s="17" t="str">
        <f t="shared" si="54"/>
        <v/>
      </c>
      <c r="E445" s="1" t="s">
        <v>2282</v>
      </c>
      <c r="F445" s="2" t="s">
        <v>986</v>
      </c>
      <c r="G445" s="2" t="s">
        <v>2283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52"/>
        <v>기축</v>
      </c>
      <c r="N445" s="21" t="s">
        <v>1057</v>
      </c>
      <c r="O445" s="21"/>
      <c r="P445" s="1">
        <f t="shared" si="48"/>
        <v>3</v>
      </c>
      <c r="Q445" s="1">
        <v>8</v>
      </c>
      <c r="R445" s="64" t="str">
        <f>IFERROR(INDEX(입력!$J$2:$J$500, MATCH($BO445, 입력!$Z$2:$Z$500, 0)) &amp; "", "")</f>
        <v/>
      </c>
      <c r="S445" s="64" t="str">
        <f>IFERROR(INDEX(입력!$K$2:$K$500, MATCH($BO445, 입력!$Z$2:$Z$500, 0)) &amp; "", "")</f>
        <v/>
      </c>
      <c r="T445" s="64">
        <f>MAX(0, 표1[[#This Row],[의무_면수]]-표1[[#This Row],[면수합]])</f>
        <v>0</v>
      </c>
      <c r="U445" s="44" t="str">
        <f t="shared" si="49"/>
        <v>이행완료</v>
      </c>
      <c r="V445" s="1">
        <f t="shared" si="53"/>
        <v>1</v>
      </c>
      <c r="W445" s="1" t="str">
        <f t="shared" si="50"/>
        <v/>
      </c>
      <c r="X445" s="1">
        <v>2</v>
      </c>
      <c r="Y445" s="64" t="str">
        <f>IFERROR(INDEX(입력!$M$2:$M$500, MATCH($BO445, 입력!$Z$2:$Z$500, 0)) &amp; "", "")</f>
        <v/>
      </c>
      <c r="Z445" s="64" t="str">
        <f>IFERROR(INDEX(입력!$N$2:$N$500, MATCH($BO445, 입력!$Z$2:$Z$500, 0)) &amp; "", "")</f>
        <v/>
      </c>
      <c r="AA445" s="64">
        <f>MAX(0, 표1[[#This Row],[의무_시설]]-표1[[#This Row],[시설합]])</f>
        <v>0</v>
      </c>
      <c r="AB445" s="17" t="str">
        <f t="shared" si="55"/>
        <v>이행완료</v>
      </c>
      <c r="AC445" s="64" t="str">
        <f>IFERROR(INDEX(입력!$P$2:$P$500, MATCH($BO445, 입력!$Z$2:$Z$500, 0)) &amp; "", "")</f>
        <v/>
      </c>
      <c r="AD445" s="64" t="str">
        <f>IFERROR(INDEX(입력!$Q$2:$Q$500, MATCH($BO445, 입력!$Z$2:$Z$500, 0)) &amp; "", "")</f>
        <v/>
      </c>
      <c r="AE445" s="64" t="str">
        <f>IFERROR(INDEX(입력!$R$2:$R$500, MATCH($BO445, 입력!$Z$2:$Z$500, 0)) &amp; "", "")</f>
        <v/>
      </c>
      <c r="AF445" s="64" t="str">
        <f>IFERROR(INDEX(입력!$S$2:$S$500, MATCH($BO445, 입력!$Z$2:$Z$500, 0)) &amp; "", "")</f>
        <v/>
      </c>
      <c r="AG445" s="64" t="str">
        <f>IFERROR(INDEX(입력!$T$2:$T$500, MATCH($BO445, 입력!$Z$2:$Z$500, 0)) &amp; "", "")</f>
        <v/>
      </c>
      <c r="AH445" s="64" t="str">
        <f>IFERROR(INDEX(입력!$U$2:$U$500, MATCH($BO445, 입력!$Z$2:$Z$500, 0)) &amp; "", "")</f>
        <v/>
      </c>
      <c r="AI445" s="64" t="str">
        <f>IFERROR(INDEX(입력!$V$2:$V$500, MATCH($BO445, 입력!$Z$2:$Z$500, 0)) &amp; "", "")</f>
        <v/>
      </c>
      <c r="AJ445" s="44" t="str">
        <f>IFERROR(INDEX(입력!$W$2:$W$500, MATCH($BO445, 입력!$Z$2:$Z$500, 0)) &amp; "", "")</f>
        <v/>
      </c>
      <c r="AK445" s="44" t="str">
        <f>IFERROR(INDEX(입력!$X$2:$X$500, MATCH($BO445, 입력!$Z$2:$Z$500, 0)) &amp; "", "")</f>
        <v/>
      </c>
      <c r="AL445" s="2"/>
      <c r="AM445" s="17"/>
      <c r="AN445" s="101"/>
      <c r="AO445" s="17"/>
      <c r="AP445" s="118"/>
      <c r="AQ445" s="17"/>
      <c r="AR445" s="119"/>
      <c r="AS445" s="101"/>
      <c r="AT445" s="101"/>
      <c r="AU445" s="101"/>
      <c r="AV445" s="101"/>
      <c r="AW445" s="101"/>
      <c r="AX445" s="101"/>
      <c r="AY445" s="83" t="s">
        <v>3131</v>
      </c>
      <c r="AZ445" s="71" t="str">
        <f>IFERROR(IF(INDEX(입력!$C$2:$C$500, MATCH($BO445, 입력!$Z$2:$Z$500, 0))="", "", TEXT(INDEX(입력!$C$2:$C$500, MATCH($BO445, 입력!$Z$2:$Z$500, 0)), "yyyy-mm-dd")), "")</f>
        <v/>
      </c>
      <c r="BA445" s="44" t="str">
        <f>IFERROR(INDEX(입력!$B$2:$B$500, MATCH($BO445, 입력!$Z$2:$Z$500, 0)) &amp; "", "")</f>
        <v/>
      </c>
      <c r="BB445" s="83" t="str">
        <f>IFERROR(INDEX(입력!$Y$2:$Y$500, MATCH($BO445, 입력!$Z$2:$Z$500, 0)) &amp; "", "")</f>
        <v/>
      </c>
      <c r="BC445" s="83" t="s">
        <v>3112</v>
      </c>
      <c r="BD445" s="83"/>
      <c r="BE445" s="101"/>
      <c r="BF445" s="101"/>
      <c r="BG445" s="101"/>
      <c r="BH445" s="101"/>
      <c r="BI445" s="101"/>
      <c r="BJ445" s="101"/>
      <c r="BK445" s="83"/>
      <c r="BL445" s="17"/>
      <c r="BM445" s="22"/>
      <c r="BN445" s="23"/>
      <c r="BO445" s="47" t="s">
        <v>987</v>
      </c>
    </row>
    <row r="446" spans="1:67" s="34" customFormat="1" ht="16.5" customHeight="1" x14ac:dyDescent="0.45">
      <c r="A446" s="46">
        <v>445</v>
      </c>
      <c r="B446" s="1" t="s">
        <v>2271</v>
      </c>
      <c r="C446" s="17" t="str">
        <f t="shared" si="51"/>
        <v>이행완료</v>
      </c>
      <c r="D446" s="17" t="str">
        <f t="shared" si="54"/>
        <v/>
      </c>
      <c r="E446" s="1" t="s">
        <v>2284</v>
      </c>
      <c r="F446" s="2" t="s">
        <v>988</v>
      </c>
      <c r="G446" s="2" t="s">
        <v>2285</v>
      </c>
      <c r="H446" s="18" t="s">
        <v>2286</v>
      </c>
      <c r="I446" s="19">
        <v>69</v>
      </c>
      <c r="J446" s="2"/>
      <c r="K446" s="20">
        <v>42965</v>
      </c>
      <c r="L446" s="20"/>
      <c r="M446" s="17" t="str">
        <f t="shared" si="52"/>
        <v>기축</v>
      </c>
      <c r="N446" s="21" t="s">
        <v>1057</v>
      </c>
      <c r="O446" s="21"/>
      <c r="P446" s="1">
        <f t="shared" si="48"/>
        <v>3</v>
      </c>
      <c r="Q446" s="1">
        <v>3</v>
      </c>
      <c r="R446" s="64" t="str">
        <f>IFERROR(INDEX(입력!$J$2:$J$500, MATCH($BO446, 입력!$Z$2:$Z$500, 0)) &amp; "", "")</f>
        <v/>
      </c>
      <c r="S446" s="64" t="str">
        <f>IFERROR(INDEX(입력!$K$2:$K$500, MATCH($BO446, 입력!$Z$2:$Z$500, 0)) &amp; "", "")</f>
        <v/>
      </c>
      <c r="T446" s="64">
        <f>MAX(0, 표1[[#This Row],[의무_면수]]-표1[[#This Row],[면수합]])</f>
        <v>0</v>
      </c>
      <c r="U446" s="44" t="str">
        <f t="shared" si="49"/>
        <v>이행완료</v>
      </c>
      <c r="V446" s="1">
        <f t="shared" si="53"/>
        <v>1</v>
      </c>
      <c r="W446" s="1" t="str">
        <f t="shared" si="50"/>
        <v/>
      </c>
      <c r="X446" s="1">
        <v>1</v>
      </c>
      <c r="Y446" s="64" t="str">
        <f>IFERROR(INDEX(입력!$M$2:$M$500, MATCH($BO446, 입력!$Z$2:$Z$500, 0)) &amp; "", "")</f>
        <v/>
      </c>
      <c r="Z446" s="64" t="str">
        <f>IFERROR(INDEX(입력!$N$2:$N$500, MATCH($BO446, 입력!$Z$2:$Z$500, 0)) &amp; "", "")</f>
        <v/>
      </c>
      <c r="AA446" s="64">
        <f>MAX(0, 표1[[#This Row],[의무_시설]]-표1[[#This Row],[시설합]])</f>
        <v>0</v>
      </c>
      <c r="AB446" s="17" t="str">
        <f t="shared" si="55"/>
        <v>이행완료</v>
      </c>
      <c r="AC446" s="64" t="str">
        <f>IFERROR(INDEX(입력!$P$2:$P$500, MATCH($BO446, 입력!$Z$2:$Z$500, 0)) &amp; "", "")</f>
        <v/>
      </c>
      <c r="AD446" s="64" t="str">
        <f>IFERROR(INDEX(입력!$Q$2:$Q$500, MATCH($BO446, 입력!$Z$2:$Z$500, 0)) &amp; "", "")</f>
        <v/>
      </c>
      <c r="AE446" s="64" t="str">
        <f>IFERROR(INDEX(입력!$R$2:$R$500, MATCH($BO446, 입력!$Z$2:$Z$500, 0)) &amp; "", "")</f>
        <v/>
      </c>
      <c r="AF446" s="64" t="str">
        <f>IFERROR(INDEX(입력!$S$2:$S$500, MATCH($BO446, 입력!$Z$2:$Z$500, 0)) &amp; "", "")</f>
        <v/>
      </c>
      <c r="AG446" s="64" t="str">
        <f>IFERROR(INDEX(입력!$T$2:$T$500, MATCH($BO446, 입력!$Z$2:$Z$500, 0)) &amp; "", "")</f>
        <v/>
      </c>
      <c r="AH446" s="64" t="str">
        <f>IFERROR(INDEX(입력!$U$2:$U$500, MATCH($BO446, 입력!$Z$2:$Z$500, 0)) &amp; "", "")</f>
        <v/>
      </c>
      <c r="AI446" s="64" t="str">
        <f>IFERROR(INDEX(입력!$V$2:$V$500, MATCH($BO446, 입력!$Z$2:$Z$500, 0)) &amp; "", "")</f>
        <v/>
      </c>
      <c r="AJ446" s="44" t="str">
        <f>IFERROR(INDEX(입력!$W$2:$W$500, MATCH($BO446, 입력!$Z$2:$Z$500, 0)) &amp; "", "")</f>
        <v/>
      </c>
      <c r="AK446" s="44" t="str">
        <f>IFERROR(INDEX(입력!$X$2:$X$500, MATCH($BO446, 입력!$Z$2:$Z$500, 0)) &amp; "", "")</f>
        <v/>
      </c>
      <c r="AL446" s="2"/>
      <c r="AM446" s="17"/>
      <c r="AN446" s="101"/>
      <c r="AO446" s="17"/>
      <c r="AP446" s="118"/>
      <c r="AQ446" s="17"/>
      <c r="AR446" s="119"/>
      <c r="AS446" s="101"/>
      <c r="AT446" s="101"/>
      <c r="AU446" s="101"/>
      <c r="AV446" s="101"/>
      <c r="AW446" s="101"/>
      <c r="AX446" s="101"/>
      <c r="AY446" s="83" t="s">
        <v>3137</v>
      </c>
      <c r="AZ446" s="71" t="str">
        <f>IFERROR(IF(INDEX(입력!$C$2:$C$500, MATCH($BO446, 입력!$Z$2:$Z$500, 0))="", "", TEXT(INDEX(입력!$C$2:$C$500, MATCH($BO446, 입력!$Z$2:$Z$500, 0)), "yyyy-mm-dd")), "")</f>
        <v/>
      </c>
      <c r="BA446" s="44" t="str">
        <f>IFERROR(INDEX(입력!$B$2:$B$500, MATCH($BO446, 입력!$Z$2:$Z$500, 0)) &amp; "", "")</f>
        <v/>
      </c>
      <c r="BB446" s="83" t="str">
        <f>IFERROR(INDEX(입력!$Y$2:$Y$500, MATCH($BO446, 입력!$Z$2:$Z$500, 0)) &amp; "", "")</f>
        <v/>
      </c>
      <c r="BC446" s="83" t="s">
        <v>3112</v>
      </c>
      <c r="BD446" s="83"/>
      <c r="BE446" s="101"/>
      <c r="BF446" s="101"/>
      <c r="BG446" s="101"/>
      <c r="BH446" s="101"/>
      <c r="BI446" s="101"/>
      <c r="BJ446" s="101"/>
      <c r="BK446" s="83"/>
      <c r="BL446" s="17"/>
      <c r="BM446" s="22"/>
      <c r="BN446" s="23"/>
      <c r="BO446" s="47" t="s">
        <v>989</v>
      </c>
    </row>
    <row r="447" spans="1:67" s="34" customFormat="1" ht="16.5" customHeight="1" x14ac:dyDescent="0.45">
      <c r="A447" s="19">
        <v>446</v>
      </c>
      <c r="B447" s="1" t="s">
        <v>2271</v>
      </c>
      <c r="C447" s="17" t="str">
        <f t="shared" si="51"/>
        <v>미이행</v>
      </c>
      <c r="D447" s="17" t="str">
        <f t="shared" si="54"/>
        <v/>
      </c>
      <c r="E447" s="1" t="s">
        <v>2287</v>
      </c>
      <c r="F447" s="6" t="s">
        <v>990</v>
      </c>
      <c r="G447" s="2" t="s">
        <v>2288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52"/>
        <v>기축</v>
      </c>
      <c r="N447" s="21" t="s">
        <v>1057</v>
      </c>
      <c r="O447" s="21"/>
      <c r="P447" s="1">
        <f t="shared" ref="P447:P472" si="56">IF(I447&amp;J447="", 0, IF(OR(M447="신축", IFERROR(SEARCH("공공", N447), 0)&gt;0), ROUND(IF(I447="", J447, I447)*0.05, 0), ROUND(IF(I447="", J447, I447)*0.02, 0)))</f>
        <v>5</v>
      </c>
      <c r="Q447" s="1">
        <v>0</v>
      </c>
      <c r="R447" s="64" t="str">
        <f>IFERROR(INDEX(입력!$J$2:$J$500, MATCH($BO447, 입력!$Z$2:$Z$500, 0)) &amp; "", "")</f>
        <v/>
      </c>
      <c r="S447" s="64" t="str">
        <f>IFERROR(INDEX(입력!$K$2:$K$500, MATCH($BO447, 입력!$Z$2:$Z$500, 0)) &amp; "", "")</f>
        <v/>
      </c>
      <c r="T447" s="64">
        <f>MAX(0, 표1[[#This Row],[의무_면수]]-표1[[#This Row],[면수합]])</f>
        <v>5</v>
      </c>
      <c r="U447" s="44" t="str">
        <f t="shared" ref="U447:U472" si="57">IF(OR(P447="", Q447="", P447=0), "미이행", IF(Q447 &gt;= P447, "이행완료", "미이행"))</f>
        <v>미이행</v>
      </c>
      <c r="V447" s="1">
        <f t="shared" si="53"/>
        <v>2</v>
      </c>
      <c r="W447" s="1" t="str">
        <f t="shared" ref="W447:W472" si="58">IF(OR(M447="", V447&lt;5), "", IF(OR(M447="신축", B447&lt;&gt;"공동주택"), 1, ""))</f>
        <v/>
      </c>
      <c r="X447" s="1">
        <v>0</v>
      </c>
      <c r="Y447" s="64" t="str">
        <f>IFERROR(INDEX(입력!$M$2:$M$500, MATCH($BO447, 입력!$Z$2:$Z$500, 0)) &amp; "", "")</f>
        <v/>
      </c>
      <c r="Z447" s="64" t="str">
        <f>IFERROR(INDEX(입력!$N$2:$N$500, MATCH($BO447, 입력!$Z$2:$Z$500, 0)) &amp; "", "")</f>
        <v/>
      </c>
      <c r="AA447" s="64">
        <f>MAX(0, 표1[[#This Row],[의무_시설]]-표1[[#This Row],[시설합]])</f>
        <v>2</v>
      </c>
      <c r="AB447" s="17" t="str">
        <f t="shared" si="55"/>
        <v>미이행</v>
      </c>
      <c r="AC447" s="64" t="str">
        <f>IFERROR(INDEX(입력!$P$2:$P$500, MATCH($BO447, 입력!$Z$2:$Z$500, 0)) &amp; "", "")</f>
        <v/>
      </c>
      <c r="AD447" s="64" t="str">
        <f>IFERROR(INDEX(입력!$Q$2:$Q$500, MATCH($BO447, 입력!$Z$2:$Z$500, 0)) &amp; "", "")</f>
        <v/>
      </c>
      <c r="AE447" s="64" t="str">
        <f>IFERROR(INDEX(입력!$R$2:$R$500, MATCH($BO447, 입력!$Z$2:$Z$500, 0)) &amp; "", "")</f>
        <v/>
      </c>
      <c r="AF447" s="64" t="str">
        <f>IFERROR(INDEX(입력!$S$2:$S$500, MATCH($BO447, 입력!$Z$2:$Z$500, 0)) &amp; "", "")</f>
        <v/>
      </c>
      <c r="AG447" s="64" t="str">
        <f>IFERROR(INDEX(입력!$T$2:$T$500, MATCH($BO447, 입력!$Z$2:$Z$500, 0)) &amp; "", "")</f>
        <v/>
      </c>
      <c r="AH447" s="64" t="str">
        <f>IFERROR(INDEX(입력!$U$2:$U$500, MATCH($BO447, 입력!$Z$2:$Z$500, 0)) &amp; "", "")</f>
        <v/>
      </c>
      <c r="AI447" s="64" t="str">
        <f>IFERROR(INDEX(입력!$V$2:$V$500, MATCH($BO447, 입력!$Z$2:$Z$500, 0)) &amp; "", "")</f>
        <v/>
      </c>
      <c r="AJ447" s="44" t="str">
        <f>IFERROR(INDEX(입력!$W$2:$W$500, MATCH($BO447, 입력!$Z$2:$Z$500, 0)) &amp; "", "")</f>
        <v/>
      </c>
      <c r="AK447" s="44" t="str">
        <f>IFERROR(INDEX(입력!$X$2:$X$500, MATCH($BO447, 입력!$Z$2:$Z$500, 0)) &amp; "", "")</f>
        <v/>
      </c>
      <c r="AL447" s="2"/>
      <c r="AM447" s="17"/>
      <c r="AN447" s="101"/>
      <c r="AO447" s="17"/>
      <c r="AP447" s="101"/>
      <c r="AQ447" s="101"/>
      <c r="AR447" s="119"/>
      <c r="AS447" s="109" t="s">
        <v>3324</v>
      </c>
      <c r="AT447" s="109">
        <v>46100</v>
      </c>
      <c r="AU447" s="101" t="s">
        <v>3126</v>
      </c>
      <c r="AV447" s="101" t="s">
        <v>3335</v>
      </c>
      <c r="AW447" s="101" t="s">
        <v>3336</v>
      </c>
      <c r="AX447" s="101" t="s">
        <v>3328</v>
      </c>
      <c r="AY447" s="83" t="s">
        <v>3131</v>
      </c>
      <c r="AZ447" s="71" t="str">
        <f>IFERROR(IF(INDEX(입력!$C$2:$C$500, MATCH($BO447, 입력!$Z$2:$Z$500, 0))="", "", TEXT(INDEX(입력!$C$2:$C$500, MATCH($BO447, 입력!$Z$2:$Z$500, 0)), "yyyy-mm-dd")), "")</f>
        <v/>
      </c>
      <c r="BA447" s="44" t="str">
        <f>IFERROR(INDEX(입력!$B$2:$B$500, MATCH($BO447, 입력!$Z$2:$Z$500, 0)) &amp; "", "")</f>
        <v/>
      </c>
      <c r="BB447" s="83" t="str">
        <f>IFERROR(INDEX(입력!$Y$2:$Y$500, MATCH($BO447, 입력!$Z$2:$Z$500, 0)) &amp; "", "")</f>
        <v/>
      </c>
      <c r="BC447" s="83" t="s">
        <v>3112</v>
      </c>
      <c r="BD447" s="83"/>
      <c r="BE447" s="101"/>
      <c r="BF447" s="101"/>
      <c r="BG447" s="101"/>
      <c r="BH447" s="101"/>
      <c r="BI447" s="101"/>
      <c r="BJ447" s="101"/>
      <c r="BK447" s="83"/>
      <c r="BL447" s="17"/>
      <c r="BM447" s="22"/>
      <c r="BN447" s="23"/>
      <c r="BO447" s="47" t="s">
        <v>991</v>
      </c>
    </row>
    <row r="448" spans="1:67" s="34" customFormat="1" ht="16.5" customHeight="1" x14ac:dyDescent="0.45">
      <c r="A448" s="46">
        <v>447</v>
      </c>
      <c r="B448" s="1" t="s">
        <v>2271</v>
      </c>
      <c r="C448" s="17" t="str">
        <f t="shared" ref="C448:C472" si="59">IF(OR(U448="", AB448=""), "", IF(AND(U448="이행완료", AB448="이행완료"), "이행완료", "미이행"))</f>
        <v>미이행</v>
      </c>
      <c r="D448" s="17" t="str">
        <f t="shared" si="54"/>
        <v/>
      </c>
      <c r="E448" s="1" t="s">
        <v>2289</v>
      </c>
      <c r="F448" s="1" t="s">
        <v>992</v>
      </c>
      <c r="G448" s="1" t="s">
        <v>2290</v>
      </c>
      <c r="H448" s="18" t="s">
        <v>1202</v>
      </c>
      <c r="I448" s="19">
        <v>65</v>
      </c>
      <c r="J448" s="2"/>
      <c r="K448" s="20">
        <v>44064</v>
      </c>
      <c r="L448" s="20"/>
      <c r="M448" s="17" t="str">
        <f t="shared" ref="M448:M470" si="60">IF(AND(K448="", L448=""), "", IF(IF(K448="", L448, K448)*1 &lt; DATE(2022, 1, 28), "기축", "신축"))</f>
        <v>기축</v>
      </c>
      <c r="N448" s="21" t="s">
        <v>1057</v>
      </c>
      <c r="O448" s="21"/>
      <c r="P448" s="1">
        <f t="shared" si="56"/>
        <v>3</v>
      </c>
      <c r="Q448" s="1">
        <v>3</v>
      </c>
      <c r="R448" s="64" t="str">
        <f>IFERROR(INDEX(입력!$J$2:$J$500, MATCH($BO448, 입력!$Z$2:$Z$500, 0)) &amp; "", "")</f>
        <v/>
      </c>
      <c r="S448" s="64" t="str">
        <f>IFERROR(INDEX(입력!$K$2:$K$500, MATCH($BO448, 입력!$Z$2:$Z$500, 0)) &amp; "", "")</f>
        <v/>
      </c>
      <c r="T448" s="64">
        <f>MAX(0, 표1[[#This Row],[의무_면수]]-표1[[#This Row],[면수합]])</f>
        <v>0</v>
      </c>
      <c r="U448" s="44" t="str">
        <f t="shared" si="57"/>
        <v>이행완료</v>
      </c>
      <c r="V448" s="1">
        <f t="shared" ref="V448:V470" si="61">IF(OR(IF(I448="", J448, I448)="", IF(I448="", J448, I448)=0), 0, IF(M448="신축", ROUND(IF(I448="", J448, I448)*0.05, 0), ROUND(IF(I448="", J448, I448)*0.02, 0)))</f>
        <v>1</v>
      </c>
      <c r="W448" s="1" t="str">
        <f t="shared" si="58"/>
        <v/>
      </c>
      <c r="X448" s="1">
        <v>0</v>
      </c>
      <c r="Y448" s="64" t="str">
        <f>IFERROR(INDEX(입력!$M$2:$M$500, MATCH($BO448, 입력!$Z$2:$Z$500, 0)) &amp; "", "")</f>
        <v/>
      </c>
      <c r="Z448" s="64" t="str">
        <f>IFERROR(INDEX(입력!$N$2:$N$500, MATCH($BO448, 입력!$Z$2:$Z$500, 0)) &amp; "", "")</f>
        <v/>
      </c>
      <c r="AA448" s="64">
        <f>MAX(0, 표1[[#This Row],[의무_시설]]-표1[[#This Row],[시설합]])</f>
        <v>1</v>
      </c>
      <c r="AB448" s="17" t="str">
        <f t="shared" si="55"/>
        <v>미이행</v>
      </c>
      <c r="AC448" s="64" t="str">
        <f>IFERROR(INDEX(입력!$P$2:$P$500, MATCH($BO448, 입력!$Z$2:$Z$500, 0)) &amp; "", "")</f>
        <v/>
      </c>
      <c r="AD448" s="64" t="str">
        <f>IFERROR(INDEX(입력!$Q$2:$Q$500, MATCH($BO448, 입력!$Z$2:$Z$500, 0)) &amp; "", "")</f>
        <v/>
      </c>
      <c r="AE448" s="64" t="str">
        <f>IFERROR(INDEX(입력!$R$2:$R$500, MATCH($BO448, 입력!$Z$2:$Z$500, 0)) &amp; "", "")</f>
        <v/>
      </c>
      <c r="AF448" s="64" t="str">
        <f>IFERROR(INDEX(입력!$S$2:$S$500, MATCH($BO448, 입력!$Z$2:$Z$500, 0)) &amp; "", "")</f>
        <v/>
      </c>
      <c r="AG448" s="64" t="str">
        <f>IFERROR(INDEX(입력!$T$2:$T$500, MATCH($BO448, 입력!$Z$2:$Z$500, 0)) &amp; "", "")</f>
        <v/>
      </c>
      <c r="AH448" s="64" t="str">
        <f>IFERROR(INDEX(입력!$U$2:$U$500, MATCH($BO448, 입력!$Z$2:$Z$500, 0)) &amp; "", "")</f>
        <v/>
      </c>
      <c r="AI448" s="64" t="str">
        <f>IFERROR(INDEX(입력!$V$2:$V$500, MATCH($BO448, 입력!$Z$2:$Z$500, 0)) &amp; "", "")</f>
        <v/>
      </c>
      <c r="AJ448" s="44" t="str">
        <f>IFERROR(INDEX(입력!$W$2:$W$500, MATCH($BO448, 입력!$Z$2:$Z$500, 0)) &amp; "", "")</f>
        <v/>
      </c>
      <c r="AK448" s="44" t="str">
        <f>IFERROR(INDEX(입력!$X$2:$X$500, MATCH($BO448, 입력!$Z$2:$Z$500, 0)) &amp; "", "")</f>
        <v/>
      </c>
      <c r="AL448" s="2"/>
      <c r="AM448" s="17"/>
      <c r="AN448" s="101"/>
      <c r="AO448" s="17"/>
      <c r="AP448" s="101"/>
      <c r="AQ448" s="101"/>
      <c r="AR448" s="119"/>
      <c r="AS448" s="109" t="s">
        <v>3324</v>
      </c>
      <c r="AT448" s="109">
        <v>46100</v>
      </c>
      <c r="AU448" s="101" t="s">
        <v>3141</v>
      </c>
      <c r="AV448" s="101" t="s">
        <v>3335</v>
      </c>
      <c r="AW448" s="101" t="s">
        <v>3338</v>
      </c>
      <c r="AX448" s="101" t="s">
        <v>3332</v>
      </c>
      <c r="AY448" s="83" t="s">
        <v>3137</v>
      </c>
      <c r="AZ448" s="71" t="str">
        <f>IFERROR(IF(INDEX(입력!$C$2:$C$500, MATCH($BO448, 입력!$Z$2:$Z$500, 0))="", "", TEXT(INDEX(입력!$C$2:$C$500, MATCH($BO448, 입력!$Z$2:$Z$500, 0)), "yyyy-mm-dd")), "")</f>
        <v/>
      </c>
      <c r="BA448" s="44" t="str">
        <f>IFERROR(INDEX(입력!$B$2:$B$500, MATCH($BO448, 입력!$Z$2:$Z$500, 0)) &amp; "", "")</f>
        <v/>
      </c>
      <c r="BB448" s="83" t="str">
        <f>IFERROR(INDEX(입력!$Y$2:$Y$500, MATCH($BO448, 입력!$Z$2:$Z$500, 0)) &amp; "", "")</f>
        <v/>
      </c>
      <c r="BC448" s="83" t="s">
        <v>3112</v>
      </c>
      <c r="BD448" s="83"/>
      <c r="BE448" s="101"/>
      <c r="BF448" s="101"/>
      <c r="BG448" s="101"/>
      <c r="BH448" s="101"/>
      <c r="BI448" s="101"/>
      <c r="BJ448" s="101"/>
      <c r="BK448" s="83"/>
      <c r="BL448" s="17"/>
      <c r="BM448" s="22"/>
      <c r="BN448" s="23"/>
      <c r="BO448" s="47" t="s">
        <v>993</v>
      </c>
    </row>
    <row r="449" spans="1:67" s="34" customFormat="1" ht="16.5" customHeight="1" x14ac:dyDescent="0.45">
      <c r="A449" s="19">
        <v>448</v>
      </c>
      <c r="B449" s="1" t="s">
        <v>2271</v>
      </c>
      <c r="C449" s="17" t="str">
        <f t="shared" si="59"/>
        <v>미이행</v>
      </c>
      <c r="D449" s="17" t="str">
        <f t="shared" si="54"/>
        <v/>
      </c>
      <c r="E449" s="1" t="s">
        <v>2291</v>
      </c>
      <c r="F449" s="1" t="s">
        <v>994</v>
      </c>
      <c r="G449" s="2" t="s">
        <v>2292</v>
      </c>
      <c r="H449" s="18" t="s">
        <v>1097</v>
      </c>
      <c r="I449" s="19">
        <v>180</v>
      </c>
      <c r="J449" s="2"/>
      <c r="K449" s="20"/>
      <c r="L449" s="20"/>
      <c r="M449" s="17" t="str">
        <f t="shared" si="60"/>
        <v/>
      </c>
      <c r="N449" s="21" t="s">
        <v>1057</v>
      </c>
      <c r="O449" s="21"/>
      <c r="P449" s="1">
        <f t="shared" si="56"/>
        <v>9</v>
      </c>
      <c r="Q449" s="1">
        <v>0</v>
      </c>
      <c r="R449" s="64" t="str">
        <f>IFERROR(INDEX(입력!$J$2:$J$500, MATCH($BO449, 입력!$Z$2:$Z$500, 0)) &amp; "", "")</f>
        <v/>
      </c>
      <c r="S449" s="64" t="str">
        <f>IFERROR(INDEX(입력!$K$2:$K$500, MATCH($BO449, 입력!$Z$2:$Z$500, 0)) &amp; "", "")</f>
        <v/>
      </c>
      <c r="T449" s="64">
        <f>MAX(0, 표1[[#This Row],[의무_면수]]-표1[[#This Row],[면수합]])</f>
        <v>9</v>
      </c>
      <c r="U449" s="44" t="str">
        <f t="shared" si="57"/>
        <v>미이행</v>
      </c>
      <c r="V449" s="1">
        <f t="shared" si="61"/>
        <v>4</v>
      </c>
      <c r="W449" s="1" t="str">
        <f t="shared" si="58"/>
        <v/>
      </c>
      <c r="X449" s="1">
        <v>0</v>
      </c>
      <c r="Y449" s="64" t="str">
        <f>IFERROR(INDEX(입력!$M$2:$M$500, MATCH($BO449, 입력!$Z$2:$Z$500, 0)) &amp; "", "")</f>
        <v/>
      </c>
      <c r="Z449" s="64" t="str">
        <f>IFERROR(INDEX(입력!$N$2:$N$500, MATCH($BO449, 입력!$Z$2:$Z$500, 0)) &amp; "", "")</f>
        <v/>
      </c>
      <c r="AA449" s="64">
        <f>MAX(0, 표1[[#This Row],[의무_시설]]-표1[[#This Row],[시설합]])</f>
        <v>4</v>
      </c>
      <c r="AB449" s="17" t="str">
        <f t="shared" ref="AB449:AB470" si="62">IF(OR(V449="", X449=""), "", IF(X449 &gt;= V449, "이행완료", "미이행"))</f>
        <v>미이행</v>
      </c>
      <c r="AC449" s="64" t="str">
        <f>IFERROR(INDEX(입력!$P$2:$P$500, MATCH($BO449, 입력!$Z$2:$Z$500, 0)) &amp; "", "")</f>
        <v/>
      </c>
      <c r="AD449" s="64" t="str">
        <f>IFERROR(INDEX(입력!$Q$2:$Q$500, MATCH($BO449, 입력!$Z$2:$Z$500, 0)) &amp; "", "")</f>
        <v/>
      </c>
      <c r="AE449" s="64" t="str">
        <f>IFERROR(INDEX(입력!$R$2:$R$500, MATCH($BO449, 입력!$Z$2:$Z$500, 0)) &amp; "", "")</f>
        <v/>
      </c>
      <c r="AF449" s="64" t="str">
        <f>IFERROR(INDEX(입력!$S$2:$S$500, MATCH($BO449, 입력!$Z$2:$Z$500, 0)) &amp; "", "")</f>
        <v/>
      </c>
      <c r="AG449" s="64" t="str">
        <f>IFERROR(INDEX(입력!$T$2:$T$500, MATCH($BO449, 입력!$Z$2:$Z$500, 0)) &amp; "", "")</f>
        <v/>
      </c>
      <c r="AH449" s="64" t="str">
        <f>IFERROR(INDEX(입력!$U$2:$U$500, MATCH($BO449, 입력!$Z$2:$Z$500, 0)) &amp; "", "")</f>
        <v/>
      </c>
      <c r="AI449" s="64" t="str">
        <f>IFERROR(INDEX(입력!$V$2:$V$500, MATCH($BO449, 입력!$Z$2:$Z$500, 0)) &amp; "", "")</f>
        <v/>
      </c>
      <c r="AJ449" s="44" t="str">
        <f>IFERROR(INDEX(입력!$W$2:$W$500, MATCH($BO449, 입력!$Z$2:$Z$500, 0)) &amp; "", "")</f>
        <v/>
      </c>
      <c r="AK449" s="44" t="str">
        <f>IFERROR(INDEX(입력!$X$2:$X$500, MATCH($BO449, 입력!$Z$2:$Z$500, 0)) &amp; "", "")</f>
        <v/>
      </c>
      <c r="AL449" s="2"/>
      <c r="AM449" s="17"/>
      <c r="AN449" s="101"/>
      <c r="AO449" s="17"/>
      <c r="AP449" s="101"/>
      <c r="AQ449" s="101"/>
      <c r="AR449" s="119" t="s">
        <v>2293</v>
      </c>
      <c r="AS449" s="109" t="s">
        <v>3324</v>
      </c>
      <c r="AT449" s="109">
        <v>46100</v>
      </c>
      <c r="AU449" s="101" t="s">
        <v>3141</v>
      </c>
      <c r="AV449" s="101" t="s">
        <v>3334</v>
      </c>
      <c r="AW449" s="101" t="s">
        <v>3339</v>
      </c>
      <c r="AX449" s="101" t="s">
        <v>3328</v>
      </c>
      <c r="AY449" s="83" t="s">
        <v>3137</v>
      </c>
      <c r="AZ449" s="71" t="str">
        <f>IFERROR(IF(INDEX(입력!$C$2:$C$500, MATCH($BO449, 입력!$Z$2:$Z$500, 0))="", "", TEXT(INDEX(입력!$C$2:$C$500, MATCH($BO449, 입력!$Z$2:$Z$500, 0)), "yyyy-mm-dd")), "")</f>
        <v/>
      </c>
      <c r="BA449" s="44" t="str">
        <f>IFERROR(INDEX(입력!$B$2:$B$500, MATCH($BO449, 입력!$Z$2:$Z$500, 0)) &amp; "", "")</f>
        <v/>
      </c>
      <c r="BB449" s="83" t="str">
        <f>IFERROR(INDEX(입력!$Y$2:$Y$500, MATCH($BO449, 입력!$Z$2:$Z$500, 0)) &amp; "", "")</f>
        <v/>
      </c>
      <c r="BC449" s="83" t="s">
        <v>3112</v>
      </c>
      <c r="BD449" s="83"/>
      <c r="BE449" s="101"/>
      <c r="BF449" s="101"/>
      <c r="BG449" s="101"/>
      <c r="BH449" s="101"/>
      <c r="BI449" s="101"/>
      <c r="BJ449" s="101"/>
      <c r="BK449" s="83"/>
      <c r="BL449" s="17"/>
      <c r="BM449" s="22"/>
      <c r="BN449" s="23"/>
      <c r="BO449" s="47" t="s">
        <v>995</v>
      </c>
    </row>
    <row r="450" spans="1:67" s="34" customFormat="1" ht="16.5" customHeight="1" x14ac:dyDescent="0.45">
      <c r="A450" s="46">
        <v>449</v>
      </c>
      <c r="B450" s="1" t="s">
        <v>2271</v>
      </c>
      <c r="C450" s="17" t="str">
        <f t="shared" si="59"/>
        <v>이행완료</v>
      </c>
      <c r="D450" s="17" t="str">
        <f t="shared" ref="D450:D473" si="63">IF(AZ450&lt;&gt;"", "조사완료", "")</f>
        <v/>
      </c>
      <c r="E450" s="1" t="s">
        <v>2294</v>
      </c>
      <c r="F450" s="1" t="s">
        <v>996</v>
      </c>
      <c r="G450" s="2" t="s">
        <v>2295</v>
      </c>
      <c r="H450" s="18" t="s">
        <v>1152</v>
      </c>
      <c r="I450" s="19">
        <v>62</v>
      </c>
      <c r="J450" s="2"/>
      <c r="K450" s="20"/>
      <c r="L450" s="20"/>
      <c r="M450" s="17" t="str">
        <f t="shared" si="60"/>
        <v/>
      </c>
      <c r="N450" s="21" t="s">
        <v>1057</v>
      </c>
      <c r="O450" s="21"/>
      <c r="P450" s="1">
        <f t="shared" si="56"/>
        <v>3</v>
      </c>
      <c r="Q450" s="1">
        <v>10</v>
      </c>
      <c r="R450" s="64" t="str">
        <f>IFERROR(INDEX(입력!$J$2:$J$500, MATCH($BO450, 입력!$Z$2:$Z$500, 0)) &amp; "", "")</f>
        <v/>
      </c>
      <c r="S450" s="64" t="str">
        <f>IFERROR(INDEX(입력!$K$2:$K$500, MATCH($BO450, 입력!$Z$2:$Z$500, 0)) &amp; "", "")</f>
        <v/>
      </c>
      <c r="T450" s="64">
        <f>MAX(0, 표1[[#This Row],[의무_면수]]-표1[[#This Row],[면수합]])</f>
        <v>0</v>
      </c>
      <c r="U450" s="44" t="str">
        <f t="shared" si="57"/>
        <v>이행완료</v>
      </c>
      <c r="V450" s="1">
        <f t="shared" si="61"/>
        <v>1</v>
      </c>
      <c r="W450" s="1" t="str">
        <f t="shared" si="58"/>
        <v/>
      </c>
      <c r="X450" s="1">
        <v>10</v>
      </c>
      <c r="Y450" s="64" t="str">
        <f>IFERROR(INDEX(입력!$M$2:$M$500, MATCH($BO450, 입력!$Z$2:$Z$500, 0)) &amp; "", "")</f>
        <v/>
      </c>
      <c r="Z450" s="64" t="str">
        <f>IFERROR(INDEX(입력!$N$2:$N$500, MATCH($BO450, 입력!$Z$2:$Z$500, 0)) &amp; "", "")</f>
        <v/>
      </c>
      <c r="AA450" s="64">
        <f>MAX(0, 표1[[#This Row],[의무_시설]]-표1[[#This Row],[시설합]])</f>
        <v>0</v>
      </c>
      <c r="AB450" s="17" t="str">
        <f t="shared" si="62"/>
        <v>이행완료</v>
      </c>
      <c r="AC450" s="64" t="str">
        <f>IFERROR(INDEX(입력!$P$2:$P$500, MATCH($BO450, 입력!$Z$2:$Z$500, 0)) &amp; "", "")</f>
        <v/>
      </c>
      <c r="AD450" s="64" t="str">
        <f>IFERROR(INDEX(입력!$Q$2:$Q$500, MATCH($BO450, 입력!$Z$2:$Z$500, 0)) &amp; "", "")</f>
        <v/>
      </c>
      <c r="AE450" s="64" t="str">
        <f>IFERROR(INDEX(입력!$R$2:$R$500, MATCH($BO450, 입력!$Z$2:$Z$500, 0)) &amp; "", "")</f>
        <v/>
      </c>
      <c r="AF450" s="64" t="str">
        <f>IFERROR(INDEX(입력!$S$2:$S$500, MATCH($BO450, 입력!$Z$2:$Z$500, 0)) &amp; "", "")</f>
        <v/>
      </c>
      <c r="AG450" s="64" t="str">
        <f>IFERROR(INDEX(입력!$T$2:$T$500, MATCH($BO450, 입력!$Z$2:$Z$500, 0)) &amp; "", "")</f>
        <v/>
      </c>
      <c r="AH450" s="64" t="str">
        <f>IFERROR(INDEX(입력!$U$2:$U$500, MATCH($BO450, 입력!$Z$2:$Z$500, 0)) &amp; "", "")</f>
        <v/>
      </c>
      <c r="AI450" s="64" t="str">
        <f>IFERROR(INDEX(입력!$V$2:$V$500, MATCH($BO450, 입력!$Z$2:$Z$500, 0)) &amp; "", "")</f>
        <v/>
      </c>
      <c r="AJ450" s="44" t="str">
        <f>IFERROR(INDEX(입력!$W$2:$W$500, MATCH($BO450, 입력!$Z$2:$Z$500, 0)) &amp; "", "")</f>
        <v/>
      </c>
      <c r="AK450" s="44" t="str">
        <f>IFERROR(INDEX(입력!$X$2:$X$500, MATCH($BO450, 입력!$Z$2:$Z$500, 0)) &amp; "", "")</f>
        <v/>
      </c>
      <c r="AL450" s="2"/>
      <c r="AM450" s="17"/>
      <c r="AN450" s="101"/>
      <c r="AO450" s="17"/>
      <c r="AP450" s="118"/>
      <c r="AQ450" s="17"/>
      <c r="AR450" s="119"/>
      <c r="AS450" s="101"/>
      <c r="AT450" s="101"/>
      <c r="AU450" s="101"/>
      <c r="AV450" s="101"/>
      <c r="AW450" s="101"/>
      <c r="AX450" s="101"/>
      <c r="AY450" s="83" t="s">
        <v>3137</v>
      </c>
      <c r="AZ450" s="71" t="str">
        <f>IFERROR(IF(INDEX(입력!$C$2:$C$500, MATCH($BO450, 입력!$Z$2:$Z$500, 0))="", "", TEXT(INDEX(입력!$C$2:$C$500, MATCH($BO450, 입력!$Z$2:$Z$500, 0)), "yyyy-mm-dd")), "")</f>
        <v/>
      </c>
      <c r="BA450" s="44" t="str">
        <f>IFERROR(INDEX(입력!$B$2:$B$500, MATCH($BO450, 입력!$Z$2:$Z$500, 0)) &amp; "", "")</f>
        <v/>
      </c>
      <c r="BB450" s="83" t="str">
        <f>IFERROR(INDEX(입력!$Y$2:$Y$500, MATCH($BO450, 입력!$Z$2:$Z$500, 0)) &amp; "", "")</f>
        <v/>
      </c>
      <c r="BC450" s="83" t="s">
        <v>3112</v>
      </c>
      <c r="BD450" s="83"/>
      <c r="BE450" s="101"/>
      <c r="BF450" s="101"/>
      <c r="BG450" s="101"/>
      <c r="BH450" s="101"/>
      <c r="BI450" s="101"/>
      <c r="BJ450" s="101"/>
      <c r="BK450" s="83"/>
      <c r="BL450" s="17"/>
      <c r="BM450" s="22"/>
      <c r="BN450" s="23"/>
      <c r="BO450" s="47" t="s">
        <v>997</v>
      </c>
    </row>
    <row r="451" spans="1:67" s="34" customFormat="1" ht="16.5" customHeight="1" x14ac:dyDescent="0.45">
      <c r="A451" s="19">
        <v>450</v>
      </c>
      <c r="B451" s="1" t="s">
        <v>2271</v>
      </c>
      <c r="C451" s="17" t="str">
        <f t="shared" si="59"/>
        <v>이행완료</v>
      </c>
      <c r="D451" s="17" t="str">
        <f t="shared" si="63"/>
        <v/>
      </c>
      <c r="E451" s="1" t="s">
        <v>2296</v>
      </c>
      <c r="F451" s="1" t="s">
        <v>2297</v>
      </c>
      <c r="G451" s="2" t="s">
        <v>2298</v>
      </c>
      <c r="H451" s="18" t="s">
        <v>1152</v>
      </c>
      <c r="I451" s="19">
        <v>70</v>
      </c>
      <c r="J451" s="2"/>
      <c r="K451" s="20">
        <v>40543</v>
      </c>
      <c r="L451" s="20"/>
      <c r="M451" s="17" t="str">
        <f t="shared" si="60"/>
        <v>기축</v>
      </c>
      <c r="N451" s="21" t="s">
        <v>1057</v>
      </c>
      <c r="O451" s="21"/>
      <c r="P451" s="1">
        <f t="shared" si="56"/>
        <v>4</v>
      </c>
      <c r="Q451" s="1">
        <v>7</v>
      </c>
      <c r="R451" s="64" t="str">
        <f>IFERROR(INDEX(입력!$J$2:$J$500, MATCH($BO451, 입력!$Z$2:$Z$500, 0)) &amp; "", "")</f>
        <v/>
      </c>
      <c r="S451" s="64" t="str">
        <f>IFERROR(INDEX(입력!$K$2:$K$500, MATCH($BO451, 입력!$Z$2:$Z$500, 0)) &amp; "", "")</f>
        <v/>
      </c>
      <c r="T451" s="64">
        <f>MAX(0, 표1[[#This Row],[의무_면수]]-표1[[#This Row],[면수합]])</f>
        <v>0</v>
      </c>
      <c r="U451" s="44" t="str">
        <f t="shared" si="57"/>
        <v>이행완료</v>
      </c>
      <c r="V451" s="1">
        <f t="shared" si="61"/>
        <v>1</v>
      </c>
      <c r="W451" s="1" t="str">
        <f t="shared" si="58"/>
        <v/>
      </c>
      <c r="X451" s="1">
        <v>2</v>
      </c>
      <c r="Y451" s="64" t="str">
        <f>IFERROR(INDEX(입력!$M$2:$M$500, MATCH($BO451, 입력!$Z$2:$Z$500, 0)) &amp; "", "")</f>
        <v/>
      </c>
      <c r="Z451" s="64" t="str">
        <f>IFERROR(INDEX(입력!$N$2:$N$500, MATCH($BO451, 입력!$Z$2:$Z$500, 0)) &amp; "", "")</f>
        <v/>
      </c>
      <c r="AA451" s="64">
        <f>MAX(0, 표1[[#This Row],[의무_시설]]-표1[[#This Row],[시설합]])</f>
        <v>0</v>
      </c>
      <c r="AB451" s="17" t="str">
        <f t="shared" si="62"/>
        <v>이행완료</v>
      </c>
      <c r="AC451" s="64" t="str">
        <f>IFERROR(INDEX(입력!$P$2:$P$500, MATCH($BO451, 입력!$Z$2:$Z$500, 0)) &amp; "", "")</f>
        <v/>
      </c>
      <c r="AD451" s="64" t="str">
        <f>IFERROR(INDEX(입력!$Q$2:$Q$500, MATCH($BO451, 입력!$Z$2:$Z$500, 0)) &amp; "", "")</f>
        <v/>
      </c>
      <c r="AE451" s="64" t="str">
        <f>IFERROR(INDEX(입력!$R$2:$R$500, MATCH($BO451, 입력!$Z$2:$Z$500, 0)) &amp; "", "")</f>
        <v/>
      </c>
      <c r="AF451" s="64" t="str">
        <f>IFERROR(INDEX(입력!$S$2:$S$500, MATCH($BO451, 입력!$Z$2:$Z$500, 0)) &amp; "", "")</f>
        <v/>
      </c>
      <c r="AG451" s="64" t="str">
        <f>IFERROR(INDEX(입력!$T$2:$T$500, MATCH($BO451, 입력!$Z$2:$Z$500, 0)) &amp; "", "")</f>
        <v/>
      </c>
      <c r="AH451" s="64" t="str">
        <f>IFERROR(INDEX(입력!$U$2:$U$500, MATCH($BO451, 입력!$Z$2:$Z$500, 0)) &amp; "", "")</f>
        <v/>
      </c>
      <c r="AI451" s="64" t="str">
        <f>IFERROR(INDEX(입력!$V$2:$V$500, MATCH($BO451, 입력!$Z$2:$Z$500, 0)) &amp; "", "")</f>
        <v/>
      </c>
      <c r="AJ451" s="44" t="str">
        <f>IFERROR(INDEX(입력!$W$2:$W$500, MATCH($BO451, 입력!$Z$2:$Z$500, 0)) &amp; "", "")</f>
        <v/>
      </c>
      <c r="AK451" s="44" t="str">
        <f>IFERROR(INDEX(입력!$X$2:$X$500, MATCH($BO451, 입력!$Z$2:$Z$500, 0)) &amp; "", "")</f>
        <v/>
      </c>
      <c r="AL451" s="2"/>
      <c r="AM451" s="17"/>
      <c r="AN451" s="101"/>
      <c r="AO451" s="17"/>
      <c r="AP451" s="118"/>
      <c r="AQ451" s="17"/>
      <c r="AR451" s="119"/>
      <c r="AS451" s="101"/>
      <c r="AT451" s="101"/>
      <c r="AU451" s="101"/>
      <c r="AV451" s="101"/>
      <c r="AW451" s="101"/>
      <c r="AX451" s="101"/>
      <c r="AY451" s="83" t="s">
        <v>3137</v>
      </c>
      <c r="AZ451" s="71" t="str">
        <f>IFERROR(IF(INDEX(입력!$C$2:$C$500, MATCH($BO451, 입력!$Z$2:$Z$500, 0))="", "", TEXT(INDEX(입력!$C$2:$C$500, MATCH($BO451, 입력!$Z$2:$Z$500, 0)), "yyyy-mm-dd")), "")</f>
        <v/>
      </c>
      <c r="BA451" s="44" t="str">
        <f>IFERROR(INDEX(입력!$B$2:$B$500, MATCH($BO451, 입력!$Z$2:$Z$500, 0)) &amp; "", "")</f>
        <v/>
      </c>
      <c r="BB451" s="83" t="str">
        <f>IFERROR(INDEX(입력!$Y$2:$Y$500, MATCH($BO451, 입력!$Z$2:$Z$500, 0)) &amp; "", "")</f>
        <v/>
      </c>
      <c r="BC451" s="83" t="s">
        <v>3112</v>
      </c>
      <c r="BD451" s="83"/>
      <c r="BE451" s="101"/>
      <c r="BF451" s="101"/>
      <c r="BG451" s="101"/>
      <c r="BH451" s="101"/>
      <c r="BI451" s="101"/>
      <c r="BJ451" s="101"/>
      <c r="BK451" s="83"/>
      <c r="BL451" s="17"/>
      <c r="BM451" s="22"/>
      <c r="BN451" s="23"/>
      <c r="BO451" s="47" t="s">
        <v>998</v>
      </c>
    </row>
    <row r="452" spans="1:67" s="34" customFormat="1" ht="16.5" customHeight="1" x14ac:dyDescent="0.45">
      <c r="A452" s="46">
        <v>451</v>
      </c>
      <c r="B452" s="1" t="s">
        <v>2271</v>
      </c>
      <c r="C452" s="17" t="str">
        <f t="shared" si="59"/>
        <v>이행완료</v>
      </c>
      <c r="D452" s="17" t="str">
        <f t="shared" si="63"/>
        <v/>
      </c>
      <c r="E452" s="1" t="s">
        <v>2580</v>
      </c>
      <c r="F452" s="1" t="s">
        <v>2579</v>
      </c>
      <c r="G452" s="2" t="s">
        <v>2299</v>
      </c>
      <c r="H452" s="18" t="s">
        <v>1105</v>
      </c>
      <c r="I452" s="19">
        <v>59</v>
      </c>
      <c r="J452" s="2"/>
      <c r="K452" s="20"/>
      <c r="L452" s="20"/>
      <c r="M452" s="17" t="str">
        <f t="shared" si="60"/>
        <v/>
      </c>
      <c r="N452" s="21" t="s">
        <v>1057</v>
      </c>
      <c r="O452" s="21"/>
      <c r="P452" s="1">
        <f t="shared" si="56"/>
        <v>3</v>
      </c>
      <c r="Q452" s="1">
        <v>3</v>
      </c>
      <c r="R452" s="64" t="str">
        <f>IFERROR(INDEX(입력!$J$2:$J$500, MATCH($BO452, 입력!$Z$2:$Z$500, 0)) &amp; "", "")</f>
        <v/>
      </c>
      <c r="S452" s="64" t="str">
        <f>IFERROR(INDEX(입력!$K$2:$K$500, MATCH($BO452, 입력!$Z$2:$Z$500, 0)) &amp; "", "")</f>
        <v/>
      </c>
      <c r="T452" s="64">
        <f>MAX(0, 표1[[#This Row],[의무_면수]]-표1[[#This Row],[면수합]])</f>
        <v>0</v>
      </c>
      <c r="U452" s="44" t="str">
        <f t="shared" si="57"/>
        <v>이행완료</v>
      </c>
      <c r="V452" s="1">
        <f t="shared" si="61"/>
        <v>1</v>
      </c>
      <c r="W452" s="1" t="str">
        <f t="shared" si="58"/>
        <v/>
      </c>
      <c r="X452" s="1">
        <v>2</v>
      </c>
      <c r="Y452" s="64" t="str">
        <f>IFERROR(INDEX(입력!$M$2:$M$500, MATCH($BO452, 입력!$Z$2:$Z$500, 0)) &amp; "", "")</f>
        <v/>
      </c>
      <c r="Z452" s="64" t="str">
        <f>IFERROR(INDEX(입력!$N$2:$N$500, MATCH($BO452, 입력!$Z$2:$Z$500, 0)) &amp; "", "")</f>
        <v/>
      </c>
      <c r="AA452" s="64">
        <f>MAX(0, 표1[[#This Row],[의무_시설]]-표1[[#This Row],[시설합]])</f>
        <v>0</v>
      </c>
      <c r="AB452" s="17" t="str">
        <f t="shared" si="62"/>
        <v>이행완료</v>
      </c>
      <c r="AC452" s="64" t="str">
        <f>IFERROR(INDEX(입력!$P$2:$P$500, MATCH($BO452, 입력!$Z$2:$Z$500, 0)) &amp; "", "")</f>
        <v/>
      </c>
      <c r="AD452" s="64" t="str">
        <f>IFERROR(INDEX(입력!$Q$2:$Q$500, MATCH($BO452, 입력!$Z$2:$Z$500, 0)) &amp; "", "")</f>
        <v/>
      </c>
      <c r="AE452" s="64" t="str">
        <f>IFERROR(INDEX(입력!$R$2:$R$500, MATCH($BO452, 입력!$Z$2:$Z$500, 0)) &amp; "", "")</f>
        <v/>
      </c>
      <c r="AF452" s="64" t="str">
        <f>IFERROR(INDEX(입력!$S$2:$S$500, MATCH($BO452, 입력!$Z$2:$Z$500, 0)) &amp; "", "")</f>
        <v/>
      </c>
      <c r="AG452" s="64" t="str">
        <f>IFERROR(INDEX(입력!$T$2:$T$500, MATCH($BO452, 입력!$Z$2:$Z$500, 0)) &amp; "", "")</f>
        <v/>
      </c>
      <c r="AH452" s="64" t="str">
        <f>IFERROR(INDEX(입력!$U$2:$U$500, MATCH($BO452, 입력!$Z$2:$Z$500, 0)) &amp; "", "")</f>
        <v/>
      </c>
      <c r="AI452" s="64" t="str">
        <f>IFERROR(INDEX(입력!$V$2:$V$500, MATCH($BO452, 입력!$Z$2:$Z$500, 0)) &amp; "", "")</f>
        <v/>
      </c>
      <c r="AJ452" s="44" t="str">
        <f>IFERROR(INDEX(입력!$W$2:$W$500, MATCH($BO452, 입력!$Z$2:$Z$500, 0)) &amp; "", "")</f>
        <v/>
      </c>
      <c r="AK452" s="44" t="str">
        <f>IFERROR(INDEX(입력!$X$2:$X$500, MATCH($BO452, 입력!$Z$2:$Z$500, 0)) &amp; "", "")</f>
        <v/>
      </c>
      <c r="AL452" s="2"/>
      <c r="AM452" s="17"/>
      <c r="AN452" s="101"/>
      <c r="AO452" s="17"/>
      <c r="AP452" s="118"/>
      <c r="AQ452" s="17"/>
      <c r="AR452" s="119"/>
      <c r="AS452" s="101"/>
      <c r="AT452" s="101"/>
      <c r="AU452" s="101"/>
      <c r="AV452" s="101"/>
      <c r="AW452" s="101"/>
      <c r="AX452" s="101"/>
      <c r="AY452" s="83" t="s">
        <v>3131</v>
      </c>
      <c r="AZ452" s="71" t="str">
        <f>IFERROR(IF(INDEX(입력!$C$2:$C$500, MATCH($BO452, 입력!$Z$2:$Z$500, 0))="", "", TEXT(INDEX(입력!$C$2:$C$500, MATCH($BO452, 입력!$Z$2:$Z$500, 0)), "yyyy-mm-dd")), "")</f>
        <v/>
      </c>
      <c r="BA452" s="44" t="str">
        <f>IFERROR(INDEX(입력!$B$2:$B$500, MATCH($BO452, 입력!$Z$2:$Z$500, 0)) &amp; "", "")</f>
        <v/>
      </c>
      <c r="BB452" s="83" t="str">
        <f>IFERROR(INDEX(입력!$Y$2:$Y$500, MATCH($BO452, 입력!$Z$2:$Z$500, 0)) &amp; "", "")</f>
        <v/>
      </c>
      <c r="BC452" s="83" t="s">
        <v>3112</v>
      </c>
      <c r="BD452" s="83"/>
      <c r="BE452" s="101"/>
      <c r="BF452" s="101"/>
      <c r="BG452" s="101"/>
      <c r="BH452" s="101"/>
      <c r="BI452" s="101"/>
      <c r="BJ452" s="101"/>
      <c r="BK452" s="83"/>
      <c r="BL452" s="17"/>
      <c r="BM452" s="22"/>
      <c r="BN452" s="23"/>
      <c r="BO452" s="47" t="s">
        <v>999</v>
      </c>
    </row>
    <row r="453" spans="1:67" s="34" customFormat="1" ht="16.5" customHeight="1" x14ac:dyDescent="0.45">
      <c r="A453" s="19">
        <v>452</v>
      </c>
      <c r="B453" s="1" t="s">
        <v>2271</v>
      </c>
      <c r="C453" s="17" t="str">
        <f t="shared" si="59"/>
        <v>이행완료</v>
      </c>
      <c r="D453" s="17" t="str">
        <f t="shared" si="63"/>
        <v/>
      </c>
      <c r="E453" s="1" t="s">
        <v>2300</v>
      </c>
      <c r="F453" s="1" t="s">
        <v>1000</v>
      </c>
      <c r="G453" s="2" t="s">
        <v>2301</v>
      </c>
      <c r="H453" s="18" t="s">
        <v>1335</v>
      </c>
      <c r="I453" s="19">
        <v>63</v>
      </c>
      <c r="J453" s="2"/>
      <c r="K453" s="20">
        <v>41380</v>
      </c>
      <c r="L453" s="20"/>
      <c r="M453" s="17" t="str">
        <f t="shared" si="60"/>
        <v>기축</v>
      </c>
      <c r="N453" s="21" t="s">
        <v>1057</v>
      </c>
      <c r="O453" s="21"/>
      <c r="P453" s="1">
        <f t="shared" si="56"/>
        <v>3</v>
      </c>
      <c r="Q453" s="1">
        <v>3</v>
      </c>
      <c r="R453" s="64" t="str">
        <f>IFERROR(INDEX(입력!$J$2:$J$500, MATCH($BO453, 입력!$Z$2:$Z$500, 0)) &amp; "", "")</f>
        <v/>
      </c>
      <c r="S453" s="64" t="str">
        <f>IFERROR(INDEX(입력!$K$2:$K$500, MATCH($BO453, 입력!$Z$2:$Z$500, 0)) &amp; "", "")</f>
        <v/>
      </c>
      <c r="T453" s="64">
        <f>MAX(0, 표1[[#This Row],[의무_면수]]-표1[[#This Row],[면수합]])</f>
        <v>0</v>
      </c>
      <c r="U453" s="44" t="str">
        <f t="shared" si="57"/>
        <v>이행완료</v>
      </c>
      <c r="V453" s="1">
        <f t="shared" si="61"/>
        <v>1</v>
      </c>
      <c r="W453" s="1" t="str">
        <f t="shared" si="58"/>
        <v/>
      </c>
      <c r="X453" s="1">
        <v>3</v>
      </c>
      <c r="Y453" s="64" t="str">
        <f>IFERROR(INDEX(입력!$M$2:$M$500, MATCH($BO453, 입력!$Z$2:$Z$500, 0)) &amp; "", "")</f>
        <v/>
      </c>
      <c r="Z453" s="64" t="str">
        <f>IFERROR(INDEX(입력!$N$2:$N$500, MATCH($BO453, 입력!$Z$2:$Z$500, 0)) &amp; "", "")</f>
        <v/>
      </c>
      <c r="AA453" s="64">
        <f>MAX(0, 표1[[#This Row],[의무_시설]]-표1[[#This Row],[시설합]])</f>
        <v>0</v>
      </c>
      <c r="AB453" s="17" t="str">
        <f t="shared" si="62"/>
        <v>이행완료</v>
      </c>
      <c r="AC453" s="64" t="str">
        <f>IFERROR(INDEX(입력!$P$2:$P$500, MATCH($BO453, 입력!$Z$2:$Z$500, 0)) &amp; "", "")</f>
        <v/>
      </c>
      <c r="AD453" s="64" t="str">
        <f>IFERROR(INDEX(입력!$Q$2:$Q$500, MATCH($BO453, 입력!$Z$2:$Z$500, 0)) &amp; "", "")</f>
        <v/>
      </c>
      <c r="AE453" s="64" t="str">
        <f>IFERROR(INDEX(입력!$R$2:$R$500, MATCH($BO453, 입력!$Z$2:$Z$500, 0)) &amp; "", "")</f>
        <v/>
      </c>
      <c r="AF453" s="64" t="str">
        <f>IFERROR(INDEX(입력!$S$2:$S$500, MATCH($BO453, 입력!$Z$2:$Z$500, 0)) &amp; "", "")</f>
        <v/>
      </c>
      <c r="AG453" s="64" t="str">
        <f>IFERROR(INDEX(입력!$T$2:$T$500, MATCH($BO453, 입력!$Z$2:$Z$500, 0)) &amp; "", "")</f>
        <v/>
      </c>
      <c r="AH453" s="64" t="str">
        <f>IFERROR(INDEX(입력!$U$2:$U$500, MATCH($BO453, 입력!$Z$2:$Z$500, 0)) &amp; "", "")</f>
        <v/>
      </c>
      <c r="AI453" s="64" t="str">
        <f>IFERROR(INDEX(입력!$V$2:$V$500, MATCH($BO453, 입력!$Z$2:$Z$500, 0)) &amp; "", "")</f>
        <v/>
      </c>
      <c r="AJ453" s="44" t="str">
        <f>IFERROR(INDEX(입력!$W$2:$W$500, MATCH($BO453, 입력!$Z$2:$Z$500, 0)) &amp; "", "")</f>
        <v/>
      </c>
      <c r="AK453" s="44" t="str">
        <f>IFERROR(INDEX(입력!$X$2:$X$500, MATCH($BO453, 입력!$Z$2:$Z$500, 0)) &amp; "", "")</f>
        <v/>
      </c>
      <c r="AL453" s="2"/>
      <c r="AM453" s="17"/>
      <c r="AN453" s="101"/>
      <c r="AO453" s="17"/>
      <c r="AP453" s="118"/>
      <c r="AQ453" s="17"/>
      <c r="AR453" s="119"/>
      <c r="AS453" s="101"/>
      <c r="AT453" s="101"/>
      <c r="AU453" s="101"/>
      <c r="AV453" s="101"/>
      <c r="AW453" s="101"/>
      <c r="AX453" s="101"/>
      <c r="AY453" s="83" t="s">
        <v>3137</v>
      </c>
      <c r="AZ453" s="71" t="str">
        <f>IFERROR(IF(INDEX(입력!$C$2:$C$500, MATCH($BO453, 입력!$Z$2:$Z$500, 0))="", "", TEXT(INDEX(입력!$C$2:$C$500, MATCH($BO453, 입력!$Z$2:$Z$500, 0)), "yyyy-mm-dd")), "")</f>
        <v/>
      </c>
      <c r="BA453" s="44" t="str">
        <f>IFERROR(INDEX(입력!$B$2:$B$500, MATCH($BO453, 입력!$Z$2:$Z$500, 0)) &amp; "", "")</f>
        <v/>
      </c>
      <c r="BB453" s="83" t="str">
        <f>IFERROR(INDEX(입력!$Y$2:$Y$500, MATCH($BO453, 입력!$Z$2:$Z$500, 0)) &amp; "", "")</f>
        <v/>
      </c>
      <c r="BC453" s="83" t="s">
        <v>3112</v>
      </c>
      <c r="BD453" s="83"/>
      <c r="BE453" s="101"/>
      <c r="BF453" s="101"/>
      <c r="BG453" s="101"/>
      <c r="BH453" s="101"/>
      <c r="BI453" s="101"/>
      <c r="BJ453" s="101"/>
      <c r="BK453" s="83"/>
      <c r="BL453" s="17"/>
      <c r="BM453" s="22"/>
      <c r="BN453" s="23"/>
      <c r="BO453" s="47" t="s">
        <v>1001</v>
      </c>
    </row>
    <row r="454" spans="1:67" s="34" customFormat="1" ht="16.5" customHeight="1" x14ac:dyDescent="0.45">
      <c r="A454" s="46">
        <v>453</v>
      </c>
      <c r="B454" s="1" t="s">
        <v>2271</v>
      </c>
      <c r="C454" s="17" t="str">
        <f t="shared" si="59"/>
        <v>이행완료</v>
      </c>
      <c r="D454" s="17" t="str">
        <f t="shared" si="63"/>
        <v/>
      </c>
      <c r="E454" s="1" t="s">
        <v>2581</v>
      </c>
      <c r="F454" s="1" t="s">
        <v>1002</v>
      </c>
      <c r="G454" s="2" t="s">
        <v>2302</v>
      </c>
      <c r="H454" s="18" t="s">
        <v>1401</v>
      </c>
      <c r="I454" s="19">
        <v>56</v>
      </c>
      <c r="J454" s="2"/>
      <c r="K454" s="20"/>
      <c r="L454" s="20"/>
      <c r="M454" s="17" t="str">
        <f t="shared" si="60"/>
        <v/>
      </c>
      <c r="N454" s="21" t="s">
        <v>1057</v>
      </c>
      <c r="O454" s="21"/>
      <c r="P454" s="1">
        <f t="shared" si="56"/>
        <v>3</v>
      </c>
      <c r="Q454" s="1">
        <v>3</v>
      </c>
      <c r="R454" s="64" t="str">
        <f>IFERROR(INDEX(입력!$J$2:$J$500, MATCH($BO454, 입력!$Z$2:$Z$500, 0)) &amp; "", "")</f>
        <v/>
      </c>
      <c r="S454" s="64" t="str">
        <f>IFERROR(INDEX(입력!$K$2:$K$500, MATCH($BO454, 입력!$Z$2:$Z$500, 0)) &amp; "", "")</f>
        <v/>
      </c>
      <c r="T454" s="64">
        <f>MAX(0, 표1[[#This Row],[의무_면수]]-표1[[#This Row],[면수합]])</f>
        <v>0</v>
      </c>
      <c r="U454" s="44" t="str">
        <f t="shared" si="57"/>
        <v>이행완료</v>
      </c>
      <c r="V454" s="1">
        <f t="shared" si="61"/>
        <v>1</v>
      </c>
      <c r="W454" s="1" t="str">
        <f t="shared" si="58"/>
        <v/>
      </c>
      <c r="X454" s="1">
        <v>2</v>
      </c>
      <c r="Y454" s="64" t="str">
        <f>IFERROR(INDEX(입력!$M$2:$M$500, MATCH($BO454, 입력!$Z$2:$Z$500, 0)) &amp; "", "")</f>
        <v/>
      </c>
      <c r="Z454" s="64" t="str">
        <f>IFERROR(INDEX(입력!$N$2:$N$500, MATCH($BO454, 입력!$Z$2:$Z$500, 0)) &amp; "", "")</f>
        <v/>
      </c>
      <c r="AA454" s="64">
        <f>MAX(0, 표1[[#This Row],[의무_시설]]-표1[[#This Row],[시설합]])</f>
        <v>0</v>
      </c>
      <c r="AB454" s="17" t="str">
        <f t="shared" si="62"/>
        <v>이행완료</v>
      </c>
      <c r="AC454" s="64" t="str">
        <f>IFERROR(INDEX(입력!$P$2:$P$500, MATCH($BO454, 입력!$Z$2:$Z$500, 0)) &amp; "", "")</f>
        <v/>
      </c>
      <c r="AD454" s="64" t="str">
        <f>IFERROR(INDEX(입력!$Q$2:$Q$500, MATCH($BO454, 입력!$Z$2:$Z$500, 0)) &amp; "", "")</f>
        <v/>
      </c>
      <c r="AE454" s="64" t="str">
        <f>IFERROR(INDEX(입력!$R$2:$R$500, MATCH($BO454, 입력!$Z$2:$Z$500, 0)) &amp; "", "")</f>
        <v/>
      </c>
      <c r="AF454" s="64" t="str">
        <f>IFERROR(INDEX(입력!$S$2:$S$500, MATCH($BO454, 입력!$Z$2:$Z$500, 0)) &amp; "", "")</f>
        <v/>
      </c>
      <c r="AG454" s="64" t="str">
        <f>IFERROR(INDEX(입력!$T$2:$T$500, MATCH($BO454, 입력!$Z$2:$Z$500, 0)) &amp; "", "")</f>
        <v/>
      </c>
      <c r="AH454" s="64" t="str">
        <f>IFERROR(INDEX(입력!$U$2:$U$500, MATCH($BO454, 입력!$Z$2:$Z$500, 0)) &amp; "", "")</f>
        <v/>
      </c>
      <c r="AI454" s="64" t="str">
        <f>IFERROR(INDEX(입력!$V$2:$V$500, MATCH($BO454, 입력!$Z$2:$Z$500, 0)) &amp; "", "")</f>
        <v/>
      </c>
      <c r="AJ454" s="44" t="str">
        <f>IFERROR(INDEX(입력!$W$2:$W$500, MATCH($BO454, 입력!$Z$2:$Z$500, 0)) &amp; "", "")</f>
        <v/>
      </c>
      <c r="AK454" s="44" t="str">
        <f>IFERROR(INDEX(입력!$X$2:$X$500, MATCH($BO454, 입력!$Z$2:$Z$500, 0)) &amp; "", "")</f>
        <v/>
      </c>
      <c r="AL454" s="2"/>
      <c r="AM454" s="17"/>
      <c r="AN454" s="101"/>
      <c r="AO454" s="17"/>
      <c r="AP454" s="118"/>
      <c r="AQ454" s="17"/>
      <c r="AR454" s="119"/>
      <c r="AS454" s="101"/>
      <c r="AT454" s="101"/>
      <c r="AU454" s="101"/>
      <c r="AV454" s="101"/>
      <c r="AW454" s="101"/>
      <c r="AX454" s="101"/>
      <c r="AY454" s="83" t="s">
        <v>3137</v>
      </c>
      <c r="AZ454" s="71" t="str">
        <f>IFERROR(IF(INDEX(입력!$C$2:$C$500, MATCH($BO454, 입력!$Z$2:$Z$500, 0))="", "", TEXT(INDEX(입력!$C$2:$C$500, MATCH($BO454, 입력!$Z$2:$Z$500, 0)), "yyyy-mm-dd")), "")</f>
        <v/>
      </c>
      <c r="BA454" s="44" t="str">
        <f>IFERROR(INDEX(입력!$B$2:$B$500, MATCH($BO454, 입력!$Z$2:$Z$500, 0)) &amp; "", "")</f>
        <v/>
      </c>
      <c r="BB454" s="83" t="str">
        <f>IFERROR(INDEX(입력!$Y$2:$Y$500, MATCH($BO454, 입력!$Z$2:$Z$500, 0)) &amp; "", "")</f>
        <v/>
      </c>
      <c r="BC454" s="83" t="s">
        <v>3112</v>
      </c>
      <c r="BD454" s="83"/>
      <c r="BE454" s="101"/>
      <c r="BF454" s="101"/>
      <c r="BG454" s="101"/>
      <c r="BH454" s="101"/>
      <c r="BI454" s="101"/>
      <c r="BJ454" s="101"/>
      <c r="BK454" s="83"/>
      <c r="BL454" s="17"/>
      <c r="BM454" s="22"/>
      <c r="BN454" s="23"/>
      <c r="BO454" s="47" t="s">
        <v>1003</v>
      </c>
    </row>
    <row r="455" spans="1:67" s="34" customFormat="1" ht="16.5" customHeight="1" x14ac:dyDescent="0.45">
      <c r="A455" s="19">
        <v>454</v>
      </c>
      <c r="B455" s="1" t="s">
        <v>2271</v>
      </c>
      <c r="C455" s="17" t="str">
        <f t="shared" si="59"/>
        <v>이행완료</v>
      </c>
      <c r="D455" s="17" t="str">
        <f t="shared" si="63"/>
        <v/>
      </c>
      <c r="E455" s="1" t="s">
        <v>2582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60"/>
        <v/>
      </c>
      <c r="N455" s="21" t="s">
        <v>1057</v>
      </c>
      <c r="O455" s="21"/>
      <c r="P455" s="1">
        <f t="shared" si="56"/>
        <v>3</v>
      </c>
      <c r="Q455" s="1">
        <v>3</v>
      </c>
      <c r="R455" s="64" t="str">
        <f>IFERROR(INDEX(입력!$J$2:$J$500, MATCH($BO455, 입력!$Z$2:$Z$500, 0)) &amp; "", "")</f>
        <v/>
      </c>
      <c r="S455" s="64" t="str">
        <f>IFERROR(INDEX(입력!$K$2:$K$500, MATCH($BO455, 입력!$Z$2:$Z$500, 0)) &amp; "", "")</f>
        <v/>
      </c>
      <c r="T455" s="64">
        <f>MAX(0, 표1[[#This Row],[의무_면수]]-표1[[#This Row],[면수합]])</f>
        <v>0</v>
      </c>
      <c r="U455" s="44" t="str">
        <f t="shared" si="57"/>
        <v>이행완료</v>
      </c>
      <c r="V455" s="1">
        <f t="shared" si="61"/>
        <v>1</v>
      </c>
      <c r="W455" s="1" t="str">
        <f t="shared" si="58"/>
        <v/>
      </c>
      <c r="X455" s="1">
        <v>2</v>
      </c>
      <c r="Y455" s="64" t="str">
        <f>IFERROR(INDEX(입력!$M$2:$M$500, MATCH($BO455, 입력!$Z$2:$Z$500, 0)) &amp; "", "")</f>
        <v/>
      </c>
      <c r="Z455" s="64" t="str">
        <f>IFERROR(INDEX(입력!$N$2:$N$500, MATCH($BO455, 입력!$Z$2:$Z$500, 0)) &amp; "", "")</f>
        <v/>
      </c>
      <c r="AA455" s="64">
        <f>MAX(0, 표1[[#This Row],[의무_시설]]-표1[[#This Row],[시설합]])</f>
        <v>0</v>
      </c>
      <c r="AB455" s="17" t="str">
        <f t="shared" si="62"/>
        <v>이행완료</v>
      </c>
      <c r="AC455" s="64" t="str">
        <f>IFERROR(INDEX(입력!$P$2:$P$500, MATCH($BO455, 입력!$Z$2:$Z$500, 0)) &amp; "", "")</f>
        <v/>
      </c>
      <c r="AD455" s="64" t="str">
        <f>IFERROR(INDEX(입력!$Q$2:$Q$500, MATCH($BO455, 입력!$Z$2:$Z$500, 0)) &amp; "", "")</f>
        <v/>
      </c>
      <c r="AE455" s="64" t="str">
        <f>IFERROR(INDEX(입력!$R$2:$R$500, MATCH($BO455, 입력!$Z$2:$Z$500, 0)) &amp; "", "")</f>
        <v/>
      </c>
      <c r="AF455" s="64" t="str">
        <f>IFERROR(INDEX(입력!$S$2:$S$500, MATCH($BO455, 입력!$Z$2:$Z$500, 0)) &amp; "", "")</f>
        <v/>
      </c>
      <c r="AG455" s="64" t="str">
        <f>IFERROR(INDEX(입력!$T$2:$T$500, MATCH($BO455, 입력!$Z$2:$Z$500, 0)) &amp; "", "")</f>
        <v/>
      </c>
      <c r="AH455" s="64" t="str">
        <f>IFERROR(INDEX(입력!$U$2:$U$500, MATCH($BO455, 입력!$Z$2:$Z$500, 0)) &amp; "", "")</f>
        <v/>
      </c>
      <c r="AI455" s="64" t="str">
        <f>IFERROR(INDEX(입력!$V$2:$V$500, MATCH($BO455, 입력!$Z$2:$Z$500, 0)) &amp; "", "")</f>
        <v/>
      </c>
      <c r="AJ455" s="44" t="str">
        <f>IFERROR(INDEX(입력!$W$2:$W$500, MATCH($BO455, 입력!$Z$2:$Z$500, 0)) &amp; "", "")</f>
        <v/>
      </c>
      <c r="AK455" s="44" t="str">
        <f>IFERROR(INDEX(입력!$X$2:$X$500, MATCH($BO455, 입력!$Z$2:$Z$500, 0)) &amp; "", "")</f>
        <v/>
      </c>
      <c r="AL455" s="2"/>
      <c r="AM455" s="17"/>
      <c r="AN455" s="101"/>
      <c r="AO455" s="17"/>
      <c r="AP455" s="118"/>
      <c r="AQ455" s="17"/>
      <c r="AR455" s="119"/>
      <c r="AS455" s="101"/>
      <c r="AT455" s="101"/>
      <c r="AU455" s="101"/>
      <c r="AV455" s="101"/>
      <c r="AW455" s="101"/>
      <c r="AX455" s="101"/>
      <c r="AY455" s="83" t="s">
        <v>3137</v>
      </c>
      <c r="AZ455" s="71" t="str">
        <f>IFERROR(IF(INDEX(입력!$C$2:$C$500, MATCH($BO455, 입력!$Z$2:$Z$500, 0))="", "", TEXT(INDEX(입력!$C$2:$C$500, MATCH($BO455, 입력!$Z$2:$Z$500, 0)), "yyyy-mm-dd")), "")</f>
        <v/>
      </c>
      <c r="BA455" s="44" t="str">
        <f>IFERROR(INDEX(입력!$B$2:$B$500, MATCH($BO455, 입력!$Z$2:$Z$500, 0)) &amp; "", "")</f>
        <v/>
      </c>
      <c r="BB455" s="83" t="str">
        <f>IFERROR(INDEX(입력!$Y$2:$Y$500, MATCH($BO455, 입력!$Z$2:$Z$500, 0)) &amp; "", "")</f>
        <v/>
      </c>
      <c r="BC455" s="83" t="s">
        <v>3112</v>
      </c>
      <c r="BD455" s="83"/>
      <c r="BE455" s="101"/>
      <c r="BF455" s="101"/>
      <c r="BG455" s="101"/>
      <c r="BH455" s="101"/>
      <c r="BI455" s="101"/>
      <c r="BJ455" s="101"/>
      <c r="BK455" s="83"/>
      <c r="BL455" s="17"/>
      <c r="BM455" s="22"/>
      <c r="BN455" s="23"/>
      <c r="BO455" s="47" t="s">
        <v>1005</v>
      </c>
    </row>
    <row r="456" spans="1:67" s="34" customFormat="1" ht="16.5" customHeight="1" x14ac:dyDescent="0.45">
      <c r="A456" s="46">
        <v>455</v>
      </c>
      <c r="B456" s="1" t="s">
        <v>2271</v>
      </c>
      <c r="C456" s="17" t="str">
        <f t="shared" si="59"/>
        <v>이행완료</v>
      </c>
      <c r="D456" s="17" t="str">
        <f t="shared" si="63"/>
        <v/>
      </c>
      <c r="E456" s="1" t="s">
        <v>2303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60"/>
        <v/>
      </c>
      <c r="N456" s="21" t="s">
        <v>1057</v>
      </c>
      <c r="O456" s="21"/>
      <c r="P456" s="1">
        <f t="shared" si="56"/>
        <v>3</v>
      </c>
      <c r="Q456" s="1">
        <v>3</v>
      </c>
      <c r="R456" s="64" t="str">
        <f>IFERROR(INDEX(입력!$J$2:$J$500, MATCH($BO456, 입력!$Z$2:$Z$500, 0)) &amp; "", "")</f>
        <v/>
      </c>
      <c r="S456" s="64" t="str">
        <f>IFERROR(INDEX(입력!$K$2:$K$500, MATCH($BO456, 입력!$Z$2:$Z$500, 0)) &amp; "", "")</f>
        <v/>
      </c>
      <c r="T456" s="64">
        <f>MAX(0, 표1[[#This Row],[의무_면수]]-표1[[#This Row],[면수합]])</f>
        <v>0</v>
      </c>
      <c r="U456" s="44" t="str">
        <f t="shared" si="57"/>
        <v>이행완료</v>
      </c>
      <c r="V456" s="1">
        <f t="shared" si="61"/>
        <v>1</v>
      </c>
      <c r="W456" s="1" t="str">
        <f t="shared" si="58"/>
        <v/>
      </c>
      <c r="X456" s="1">
        <v>1</v>
      </c>
      <c r="Y456" s="64" t="str">
        <f>IFERROR(INDEX(입력!$M$2:$M$500, MATCH($BO456, 입력!$Z$2:$Z$500, 0)) &amp; "", "")</f>
        <v/>
      </c>
      <c r="Z456" s="64" t="str">
        <f>IFERROR(INDEX(입력!$N$2:$N$500, MATCH($BO456, 입력!$Z$2:$Z$500, 0)) &amp; "", "")</f>
        <v/>
      </c>
      <c r="AA456" s="64">
        <f>MAX(0, 표1[[#This Row],[의무_시설]]-표1[[#This Row],[시설합]])</f>
        <v>0</v>
      </c>
      <c r="AB456" s="17" t="str">
        <f t="shared" si="62"/>
        <v>이행완료</v>
      </c>
      <c r="AC456" s="64" t="str">
        <f>IFERROR(INDEX(입력!$P$2:$P$500, MATCH($BO456, 입력!$Z$2:$Z$500, 0)) &amp; "", "")</f>
        <v/>
      </c>
      <c r="AD456" s="64" t="str">
        <f>IFERROR(INDEX(입력!$Q$2:$Q$500, MATCH($BO456, 입력!$Z$2:$Z$500, 0)) &amp; "", "")</f>
        <v/>
      </c>
      <c r="AE456" s="64" t="str">
        <f>IFERROR(INDEX(입력!$R$2:$R$500, MATCH($BO456, 입력!$Z$2:$Z$500, 0)) &amp; "", "")</f>
        <v/>
      </c>
      <c r="AF456" s="64" t="str">
        <f>IFERROR(INDEX(입력!$S$2:$S$500, MATCH($BO456, 입력!$Z$2:$Z$500, 0)) &amp; "", "")</f>
        <v/>
      </c>
      <c r="AG456" s="64" t="str">
        <f>IFERROR(INDEX(입력!$T$2:$T$500, MATCH($BO456, 입력!$Z$2:$Z$500, 0)) &amp; "", "")</f>
        <v/>
      </c>
      <c r="AH456" s="64" t="str">
        <f>IFERROR(INDEX(입력!$U$2:$U$500, MATCH($BO456, 입력!$Z$2:$Z$500, 0)) &amp; "", "")</f>
        <v/>
      </c>
      <c r="AI456" s="64" t="str">
        <f>IFERROR(INDEX(입력!$V$2:$V$500, MATCH($BO456, 입력!$Z$2:$Z$500, 0)) &amp; "", "")</f>
        <v/>
      </c>
      <c r="AJ456" s="44" t="str">
        <f>IFERROR(INDEX(입력!$W$2:$W$500, MATCH($BO456, 입력!$Z$2:$Z$500, 0)) &amp; "", "")</f>
        <v/>
      </c>
      <c r="AK456" s="44" t="str">
        <f>IFERROR(INDEX(입력!$X$2:$X$500, MATCH($BO456, 입력!$Z$2:$Z$500, 0)) &amp; "", "")</f>
        <v/>
      </c>
      <c r="AL456" s="2"/>
      <c r="AM456" s="17"/>
      <c r="AN456" s="101"/>
      <c r="AO456" s="17"/>
      <c r="AP456" s="118"/>
      <c r="AQ456" s="17"/>
      <c r="AR456" s="119"/>
      <c r="AS456" s="101"/>
      <c r="AT456" s="101"/>
      <c r="AU456" s="101"/>
      <c r="AV456" s="101"/>
      <c r="AW456" s="101"/>
      <c r="AX456" s="101"/>
      <c r="AY456" s="83" t="s">
        <v>3137</v>
      </c>
      <c r="AZ456" s="71" t="str">
        <f>IFERROR(IF(INDEX(입력!$C$2:$C$500, MATCH($BO456, 입력!$Z$2:$Z$500, 0))="", "", TEXT(INDEX(입력!$C$2:$C$500, MATCH($BO456, 입력!$Z$2:$Z$500, 0)), "yyyy-mm-dd")), "")</f>
        <v/>
      </c>
      <c r="BA456" s="44" t="str">
        <f>IFERROR(INDEX(입력!$B$2:$B$500, MATCH($BO456, 입력!$Z$2:$Z$500, 0)) &amp; "", "")</f>
        <v/>
      </c>
      <c r="BB456" s="83" t="str">
        <f>IFERROR(INDEX(입력!$Y$2:$Y$500, MATCH($BO456, 입력!$Z$2:$Z$500, 0)) &amp; "", "")</f>
        <v/>
      </c>
      <c r="BC456" s="83" t="s">
        <v>3112</v>
      </c>
      <c r="BD456" s="83"/>
      <c r="BE456" s="101"/>
      <c r="BF456" s="101"/>
      <c r="BG456" s="101"/>
      <c r="BH456" s="101"/>
      <c r="BI456" s="101"/>
      <c r="BJ456" s="101"/>
      <c r="BK456" s="83"/>
      <c r="BL456" s="17"/>
      <c r="BM456" s="22"/>
      <c r="BN456" s="23"/>
      <c r="BO456" s="47" t="s">
        <v>1007</v>
      </c>
    </row>
    <row r="457" spans="1:67" s="34" customFormat="1" ht="16.5" customHeight="1" x14ac:dyDescent="0.45">
      <c r="A457" s="19">
        <v>456</v>
      </c>
      <c r="B457" s="1" t="s">
        <v>2271</v>
      </c>
      <c r="C457" s="17" t="str">
        <f t="shared" si="59"/>
        <v>이행완료</v>
      </c>
      <c r="D457" s="17" t="str">
        <f t="shared" si="63"/>
        <v/>
      </c>
      <c r="E457" s="1" t="s">
        <v>2304</v>
      </c>
      <c r="F457" s="1" t="s">
        <v>1008</v>
      </c>
      <c r="G457" s="2" t="s">
        <v>2305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60"/>
        <v>기축</v>
      </c>
      <c r="N457" s="21" t="s">
        <v>1057</v>
      </c>
      <c r="O457" s="21"/>
      <c r="P457" s="1">
        <f t="shared" si="56"/>
        <v>6</v>
      </c>
      <c r="Q457" s="1">
        <v>6</v>
      </c>
      <c r="R457" s="64" t="str">
        <f>IFERROR(INDEX(입력!$J$2:$J$500, MATCH($BO457, 입력!$Z$2:$Z$500, 0)) &amp; "", "")</f>
        <v/>
      </c>
      <c r="S457" s="64" t="str">
        <f>IFERROR(INDEX(입력!$K$2:$K$500, MATCH($BO457, 입력!$Z$2:$Z$500, 0)) &amp; "", "")</f>
        <v/>
      </c>
      <c r="T457" s="64">
        <f>MAX(0, 표1[[#This Row],[의무_면수]]-표1[[#This Row],[면수합]])</f>
        <v>0</v>
      </c>
      <c r="U457" s="44" t="str">
        <f t="shared" si="57"/>
        <v>이행완료</v>
      </c>
      <c r="V457" s="1">
        <f t="shared" si="61"/>
        <v>2</v>
      </c>
      <c r="W457" s="1" t="str">
        <f t="shared" si="58"/>
        <v/>
      </c>
      <c r="X457" s="1">
        <v>12</v>
      </c>
      <c r="Y457" s="64" t="str">
        <f>IFERROR(INDEX(입력!$M$2:$M$500, MATCH($BO457, 입력!$Z$2:$Z$500, 0)) &amp; "", "")</f>
        <v/>
      </c>
      <c r="Z457" s="64" t="str">
        <f>IFERROR(INDEX(입력!$N$2:$N$500, MATCH($BO457, 입력!$Z$2:$Z$500, 0)) &amp; "", "")</f>
        <v/>
      </c>
      <c r="AA457" s="64">
        <f>MAX(0, 표1[[#This Row],[의무_시설]]-표1[[#This Row],[시설합]])</f>
        <v>0</v>
      </c>
      <c r="AB457" s="17" t="str">
        <f t="shared" si="62"/>
        <v>이행완료</v>
      </c>
      <c r="AC457" s="64" t="str">
        <f>IFERROR(INDEX(입력!$P$2:$P$500, MATCH($BO457, 입력!$Z$2:$Z$500, 0)) &amp; "", "")</f>
        <v/>
      </c>
      <c r="AD457" s="64" t="str">
        <f>IFERROR(INDEX(입력!$Q$2:$Q$500, MATCH($BO457, 입력!$Z$2:$Z$500, 0)) &amp; "", "")</f>
        <v/>
      </c>
      <c r="AE457" s="64" t="str">
        <f>IFERROR(INDEX(입력!$R$2:$R$500, MATCH($BO457, 입력!$Z$2:$Z$500, 0)) &amp; "", "")</f>
        <v/>
      </c>
      <c r="AF457" s="64" t="str">
        <f>IFERROR(INDEX(입력!$S$2:$S$500, MATCH($BO457, 입력!$Z$2:$Z$500, 0)) &amp; "", "")</f>
        <v/>
      </c>
      <c r="AG457" s="64" t="str">
        <f>IFERROR(INDEX(입력!$T$2:$T$500, MATCH($BO457, 입력!$Z$2:$Z$500, 0)) &amp; "", "")</f>
        <v/>
      </c>
      <c r="AH457" s="64" t="str">
        <f>IFERROR(INDEX(입력!$U$2:$U$500, MATCH($BO457, 입력!$Z$2:$Z$500, 0)) &amp; "", "")</f>
        <v/>
      </c>
      <c r="AI457" s="64" t="str">
        <f>IFERROR(INDEX(입력!$V$2:$V$500, MATCH($BO457, 입력!$Z$2:$Z$500, 0)) &amp; "", "")</f>
        <v/>
      </c>
      <c r="AJ457" s="44" t="str">
        <f>IFERROR(INDEX(입력!$W$2:$W$500, MATCH($BO457, 입력!$Z$2:$Z$500, 0)) &amp; "", "")</f>
        <v/>
      </c>
      <c r="AK457" s="44" t="str">
        <f>IFERROR(INDEX(입력!$X$2:$X$500, MATCH($BO457, 입력!$Z$2:$Z$500, 0)) &amp; "", "")</f>
        <v/>
      </c>
      <c r="AL457" s="2"/>
      <c r="AM457" s="17"/>
      <c r="AN457" s="101"/>
      <c r="AO457" s="17"/>
      <c r="AP457" s="118"/>
      <c r="AQ457" s="17"/>
      <c r="AR457" s="119"/>
      <c r="AS457" s="101"/>
      <c r="AT457" s="101"/>
      <c r="AU457" s="101"/>
      <c r="AV457" s="101"/>
      <c r="AW457" s="101"/>
      <c r="AX457" s="101"/>
      <c r="AY457" s="83" t="s">
        <v>3131</v>
      </c>
      <c r="AZ457" s="71" t="str">
        <f>IFERROR(IF(INDEX(입력!$C$2:$C$500, MATCH($BO457, 입력!$Z$2:$Z$500, 0))="", "", TEXT(INDEX(입력!$C$2:$C$500, MATCH($BO457, 입력!$Z$2:$Z$500, 0)), "yyyy-mm-dd")), "")</f>
        <v/>
      </c>
      <c r="BA457" s="44" t="str">
        <f>IFERROR(INDEX(입력!$B$2:$B$500, MATCH($BO457, 입력!$Z$2:$Z$500, 0)) &amp; "", "")</f>
        <v/>
      </c>
      <c r="BB457" s="83" t="str">
        <f>IFERROR(INDEX(입력!$Y$2:$Y$500, MATCH($BO457, 입력!$Z$2:$Z$500, 0)) &amp; "", "")</f>
        <v/>
      </c>
      <c r="BC457" s="83" t="s">
        <v>3112</v>
      </c>
      <c r="BD457" s="83"/>
      <c r="BE457" s="101"/>
      <c r="BF457" s="101"/>
      <c r="BG457" s="101"/>
      <c r="BH457" s="101"/>
      <c r="BI457" s="101"/>
      <c r="BJ457" s="101"/>
      <c r="BK457" s="83"/>
      <c r="BL457" s="17"/>
      <c r="BM457" s="22"/>
      <c r="BN457" s="23"/>
      <c r="BO457" s="47" t="s">
        <v>1009</v>
      </c>
    </row>
    <row r="458" spans="1:67" s="34" customFormat="1" ht="16.5" customHeight="1" x14ac:dyDescent="0.45">
      <c r="A458" s="46">
        <v>457</v>
      </c>
      <c r="B458" s="1" t="s">
        <v>2271</v>
      </c>
      <c r="C458" s="17" t="str">
        <f t="shared" si="59"/>
        <v>이행완료</v>
      </c>
      <c r="D458" s="17" t="str">
        <f t="shared" si="63"/>
        <v/>
      </c>
      <c r="E458" s="1" t="s">
        <v>2306</v>
      </c>
      <c r="F458" s="1" t="s">
        <v>1010</v>
      </c>
      <c r="G458" s="2" t="s">
        <v>2307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60"/>
        <v>기축</v>
      </c>
      <c r="N458" s="21" t="s">
        <v>1057</v>
      </c>
      <c r="O458" s="21"/>
      <c r="P458" s="1">
        <f t="shared" si="56"/>
        <v>10</v>
      </c>
      <c r="Q458" s="1">
        <v>14</v>
      </c>
      <c r="R458" s="64" t="str">
        <f>IFERROR(INDEX(입력!$J$2:$J$500, MATCH($BO458, 입력!$Z$2:$Z$500, 0)) &amp; "", "")</f>
        <v/>
      </c>
      <c r="S458" s="64" t="str">
        <f>IFERROR(INDEX(입력!$K$2:$K$500, MATCH($BO458, 입력!$Z$2:$Z$500, 0)) &amp; "", "")</f>
        <v/>
      </c>
      <c r="T458" s="64">
        <f>MAX(0, 표1[[#This Row],[의무_면수]]-표1[[#This Row],[면수합]])</f>
        <v>0</v>
      </c>
      <c r="U458" s="44" t="str">
        <f t="shared" si="57"/>
        <v>이행완료</v>
      </c>
      <c r="V458" s="1">
        <f t="shared" si="61"/>
        <v>4</v>
      </c>
      <c r="W458" s="1" t="str">
        <f t="shared" si="58"/>
        <v/>
      </c>
      <c r="X458" s="1">
        <v>12</v>
      </c>
      <c r="Y458" s="64" t="str">
        <f>IFERROR(INDEX(입력!$M$2:$M$500, MATCH($BO458, 입력!$Z$2:$Z$500, 0)) &amp; "", "")</f>
        <v/>
      </c>
      <c r="Z458" s="64" t="str">
        <f>IFERROR(INDEX(입력!$N$2:$N$500, MATCH($BO458, 입력!$Z$2:$Z$500, 0)) &amp; "", "")</f>
        <v/>
      </c>
      <c r="AA458" s="64">
        <f>MAX(0, 표1[[#This Row],[의무_시설]]-표1[[#This Row],[시설합]])</f>
        <v>0</v>
      </c>
      <c r="AB458" s="17" t="str">
        <f t="shared" si="62"/>
        <v>이행완료</v>
      </c>
      <c r="AC458" s="64" t="str">
        <f>IFERROR(INDEX(입력!$P$2:$P$500, MATCH($BO458, 입력!$Z$2:$Z$500, 0)) &amp; "", "")</f>
        <v/>
      </c>
      <c r="AD458" s="64" t="str">
        <f>IFERROR(INDEX(입력!$Q$2:$Q$500, MATCH($BO458, 입력!$Z$2:$Z$500, 0)) &amp; "", "")</f>
        <v/>
      </c>
      <c r="AE458" s="64" t="str">
        <f>IFERROR(INDEX(입력!$R$2:$R$500, MATCH($BO458, 입력!$Z$2:$Z$500, 0)) &amp; "", "")</f>
        <v/>
      </c>
      <c r="AF458" s="64" t="str">
        <f>IFERROR(INDEX(입력!$S$2:$S$500, MATCH($BO458, 입력!$Z$2:$Z$500, 0)) &amp; "", "")</f>
        <v/>
      </c>
      <c r="AG458" s="64" t="str">
        <f>IFERROR(INDEX(입력!$T$2:$T$500, MATCH($BO458, 입력!$Z$2:$Z$500, 0)) &amp; "", "")</f>
        <v/>
      </c>
      <c r="AH458" s="64" t="str">
        <f>IFERROR(INDEX(입력!$U$2:$U$500, MATCH($BO458, 입력!$Z$2:$Z$500, 0)) &amp; "", "")</f>
        <v/>
      </c>
      <c r="AI458" s="64" t="str">
        <f>IFERROR(INDEX(입력!$V$2:$V$500, MATCH($BO458, 입력!$Z$2:$Z$500, 0)) &amp; "", "")</f>
        <v/>
      </c>
      <c r="AJ458" s="44" t="str">
        <f>IFERROR(INDEX(입력!$W$2:$W$500, MATCH($BO458, 입력!$Z$2:$Z$500, 0)) &amp; "", "")</f>
        <v/>
      </c>
      <c r="AK458" s="44" t="str">
        <f>IFERROR(INDEX(입력!$X$2:$X$500, MATCH($BO458, 입력!$Z$2:$Z$500, 0)) &amp; "", "")</f>
        <v/>
      </c>
      <c r="AL458" s="2"/>
      <c r="AM458" s="17"/>
      <c r="AN458" s="101"/>
      <c r="AO458" s="17"/>
      <c r="AP458" s="118"/>
      <c r="AQ458" s="17"/>
      <c r="AR458" s="119"/>
      <c r="AS458" s="101"/>
      <c r="AT458" s="101"/>
      <c r="AU458" s="101"/>
      <c r="AV458" s="101"/>
      <c r="AW458" s="101"/>
      <c r="AX458" s="101"/>
      <c r="AY458" s="83" t="s">
        <v>3137</v>
      </c>
      <c r="AZ458" s="71" t="str">
        <f>IFERROR(IF(INDEX(입력!$C$2:$C$500, MATCH($BO458, 입력!$Z$2:$Z$500, 0))="", "", TEXT(INDEX(입력!$C$2:$C$500, MATCH($BO458, 입력!$Z$2:$Z$500, 0)), "yyyy-mm-dd")), "")</f>
        <v/>
      </c>
      <c r="BA458" s="44" t="str">
        <f>IFERROR(INDEX(입력!$B$2:$B$500, MATCH($BO458, 입력!$Z$2:$Z$500, 0)) &amp; "", "")</f>
        <v/>
      </c>
      <c r="BB458" s="83" t="str">
        <f>IFERROR(INDEX(입력!$Y$2:$Y$500, MATCH($BO458, 입력!$Z$2:$Z$500, 0)) &amp; "", "")</f>
        <v/>
      </c>
      <c r="BC458" s="83" t="s">
        <v>3112</v>
      </c>
      <c r="BD458" s="83"/>
      <c r="BE458" s="101"/>
      <c r="BF458" s="101"/>
      <c r="BG458" s="101"/>
      <c r="BH458" s="101"/>
      <c r="BI458" s="101"/>
      <c r="BJ458" s="101"/>
      <c r="BK458" s="83"/>
      <c r="BL458" s="17"/>
      <c r="BM458" s="22"/>
      <c r="BN458" s="23"/>
      <c r="BO458" s="47" t="s">
        <v>1011</v>
      </c>
    </row>
    <row r="459" spans="1:67" s="34" customFormat="1" ht="16.5" customHeight="1" x14ac:dyDescent="0.45">
      <c r="A459" s="19">
        <v>458</v>
      </c>
      <c r="B459" s="1" t="s">
        <v>2271</v>
      </c>
      <c r="C459" s="17" t="str">
        <f t="shared" si="59"/>
        <v>이행완료</v>
      </c>
      <c r="D459" s="17" t="str">
        <f t="shared" si="63"/>
        <v/>
      </c>
      <c r="E459" s="1" t="s">
        <v>2308</v>
      </c>
      <c r="F459" s="1" t="s">
        <v>992</v>
      </c>
      <c r="G459" s="2" t="s">
        <v>2290</v>
      </c>
      <c r="H459" s="18" t="s">
        <v>1202</v>
      </c>
      <c r="I459" s="19">
        <v>64</v>
      </c>
      <c r="J459" s="2"/>
      <c r="K459" s="20">
        <v>44064</v>
      </c>
      <c r="L459" s="20"/>
      <c r="M459" s="17" t="str">
        <f t="shared" si="60"/>
        <v>기축</v>
      </c>
      <c r="N459" s="21" t="s">
        <v>1057</v>
      </c>
      <c r="O459" s="21"/>
      <c r="P459" s="1">
        <f t="shared" si="56"/>
        <v>3</v>
      </c>
      <c r="Q459" s="1">
        <v>4</v>
      </c>
      <c r="R459" s="64" t="str">
        <f>IFERROR(INDEX(입력!$J$2:$J$500, MATCH($BO459, 입력!$Z$2:$Z$500, 0)) &amp; "", "")</f>
        <v/>
      </c>
      <c r="S459" s="64" t="str">
        <f>IFERROR(INDEX(입력!$K$2:$K$500, MATCH($BO459, 입력!$Z$2:$Z$500, 0)) &amp; "", "")</f>
        <v/>
      </c>
      <c r="T459" s="64">
        <f>MAX(0, 표1[[#This Row],[의무_면수]]-표1[[#This Row],[면수합]])</f>
        <v>0</v>
      </c>
      <c r="U459" s="44" t="str">
        <f t="shared" si="57"/>
        <v>이행완료</v>
      </c>
      <c r="V459" s="1">
        <f t="shared" si="61"/>
        <v>1</v>
      </c>
      <c r="W459" s="1" t="str">
        <f t="shared" si="58"/>
        <v/>
      </c>
      <c r="X459" s="1">
        <v>1</v>
      </c>
      <c r="Y459" s="64" t="str">
        <f>IFERROR(INDEX(입력!$M$2:$M$500, MATCH($BO459, 입력!$Z$2:$Z$500, 0)) &amp; "", "")</f>
        <v/>
      </c>
      <c r="Z459" s="64" t="str">
        <f>IFERROR(INDEX(입력!$N$2:$N$500, MATCH($BO459, 입력!$Z$2:$Z$500, 0)) &amp; "", "")</f>
        <v/>
      </c>
      <c r="AA459" s="64">
        <f>MAX(0, 표1[[#This Row],[의무_시설]]-표1[[#This Row],[시설합]])</f>
        <v>0</v>
      </c>
      <c r="AB459" s="17" t="str">
        <f t="shared" si="62"/>
        <v>이행완료</v>
      </c>
      <c r="AC459" s="64" t="str">
        <f>IFERROR(INDEX(입력!$P$2:$P$500, MATCH($BO459, 입력!$Z$2:$Z$500, 0)) &amp; "", "")</f>
        <v/>
      </c>
      <c r="AD459" s="64" t="str">
        <f>IFERROR(INDEX(입력!$Q$2:$Q$500, MATCH($BO459, 입력!$Z$2:$Z$500, 0)) &amp; "", "")</f>
        <v/>
      </c>
      <c r="AE459" s="64" t="str">
        <f>IFERROR(INDEX(입력!$R$2:$R$500, MATCH($BO459, 입력!$Z$2:$Z$500, 0)) &amp; "", "")</f>
        <v/>
      </c>
      <c r="AF459" s="64" t="str">
        <f>IFERROR(INDEX(입력!$S$2:$S$500, MATCH($BO459, 입력!$Z$2:$Z$500, 0)) &amp; "", "")</f>
        <v/>
      </c>
      <c r="AG459" s="64" t="str">
        <f>IFERROR(INDEX(입력!$T$2:$T$500, MATCH($BO459, 입력!$Z$2:$Z$500, 0)) &amp; "", "")</f>
        <v/>
      </c>
      <c r="AH459" s="64" t="str">
        <f>IFERROR(INDEX(입력!$U$2:$U$500, MATCH($BO459, 입력!$Z$2:$Z$500, 0)) &amp; "", "")</f>
        <v/>
      </c>
      <c r="AI459" s="64" t="str">
        <f>IFERROR(INDEX(입력!$V$2:$V$500, MATCH($BO459, 입력!$Z$2:$Z$500, 0)) &amp; "", "")</f>
        <v/>
      </c>
      <c r="AJ459" s="44" t="str">
        <f>IFERROR(INDEX(입력!$W$2:$W$500, MATCH($BO459, 입력!$Z$2:$Z$500, 0)) &amp; "", "")</f>
        <v/>
      </c>
      <c r="AK459" s="44" t="str">
        <f>IFERROR(INDEX(입력!$X$2:$X$500, MATCH($BO459, 입력!$Z$2:$Z$500, 0)) &amp; "", "")</f>
        <v/>
      </c>
      <c r="AL459" s="2"/>
      <c r="AM459" s="17"/>
      <c r="AN459" s="101"/>
      <c r="AO459" s="17"/>
      <c r="AP459" s="118"/>
      <c r="AQ459" s="17"/>
      <c r="AR459" s="119"/>
      <c r="AS459" s="101"/>
      <c r="AT459" s="101"/>
      <c r="AU459" s="101"/>
      <c r="AV459" s="101"/>
      <c r="AW459" s="101"/>
      <c r="AX459" s="101"/>
      <c r="AY459" s="83" t="s">
        <v>3131</v>
      </c>
      <c r="AZ459" s="71" t="str">
        <f>IFERROR(IF(INDEX(입력!$C$2:$C$500, MATCH($BO459, 입력!$Z$2:$Z$500, 0))="", "", TEXT(INDEX(입력!$C$2:$C$500, MATCH($BO459, 입력!$Z$2:$Z$500, 0)), "yyyy-mm-dd")), "")</f>
        <v/>
      </c>
      <c r="BA459" s="44" t="str">
        <f>IFERROR(INDEX(입력!$B$2:$B$500, MATCH($BO459, 입력!$Z$2:$Z$500, 0)) &amp; "", "")</f>
        <v/>
      </c>
      <c r="BB459" s="83" t="str">
        <f>IFERROR(INDEX(입력!$Y$2:$Y$500, MATCH($BO459, 입력!$Z$2:$Z$500, 0)) &amp; "", "")</f>
        <v/>
      </c>
      <c r="BC459" s="83" t="s">
        <v>3112</v>
      </c>
      <c r="BD459" s="83"/>
      <c r="BE459" s="101"/>
      <c r="BF459" s="101"/>
      <c r="BG459" s="101"/>
      <c r="BH459" s="101"/>
      <c r="BI459" s="101"/>
      <c r="BJ459" s="101"/>
      <c r="BK459" s="83"/>
      <c r="BL459" s="17"/>
      <c r="BM459" s="22"/>
      <c r="BN459" s="23"/>
      <c r="BO459" s="47" t="s">
        <v>1012</v>
      </c>
    </row>
    <row r="460" spans="1:67" s="34" customFormat="1" ht="16.5" customHeight="1" x14ac:dyDescent="0.45">
      <c r="A460" s="46">
        <v>459</v>
      </c>
      <c r="B460" s="1" t="s">
        <v>2271</v>
      </c>
      <c r="C460" s="17" t="str">
        <f t="shared" si="59"/>
        <v>미이행</v>
      </c>
      <c r="D460" s="17" t="str">
        <f t="shared" si="63"/>
        <v/>
      </c>
      <c r="E460" s="7" t="s">
        <v>2309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60"/>
        <v/>
      </c>
      <c r="N460" s="21" t="s">
        <v>1057</v>
      </c>
      <c r="O460" s="21"/>
      <c r="P460" s="1">
        <f t="shared" si="56"/>
        <v>4</v>
      </c>
      <c r="Q460" s="1">
        <v>4</v>
      </c>
      <c r="R460" s="64" t="str">
        <f>IFERROR(INDEX(입력!$J$2:$J$500, MATCH($BO460, 입력!$Z$2:$Z$500, 0)) &amp; "", "")</f>
        <v/>
      </c>
      <c r="S460" s="64" t="str">
        <f>IFERROR(INDEX(입력!$K$2:$K$500, MATCH($BO460, 입력!$Z$2:$Z$500, 0)) &amp; "", "")</f>
        <v/>
      </c>
      <c r="T460" s="64">
        <f>MAX(0, 표1[[#This Row],[의무_면수]]-표1[[#This Row],[면수합]])</f>
        <v>0</v>
      </c>
      <c r="U460" s="44" t="str">
        <f t="shared" si="57"/>
        <v>이행완료</v>
      </c>
      <c r="V460" s="1">
        <f t="shared" si="61"/>
        <v>2</v>
      </c>
      <c r="W460" s="1" t="str">
        <f t="shared" si="58"/>
        <v/>
      </c>
      <c r="X460" s="1">
        <v>0</v>
      </c>
      <c r="Y460" s="64" t="str">
        <f>IFERROR(INDEX(입력!$M$2:$M$500, MATCH($BO460, 입력!$Z$2:$Z$500, 0)) &amp; "", "")</f>
        <v/>
      </c>
      <c r="Z460" s="64" t="str">
        <f>IFERROR(INDEX(입력!$N$2:$N$500, MATCH($BO460, 입력!$Z$2:$Z$500, 0)) &amp; "", "")</f>
        <v/>
      </c>
      <c r="AA460" s="64">
        <f>MAX(0, 표1[[#This Row],[의무_시설]]-표1[[#This Row],[시설합]])</f>
        <v>2</v>
      </c>
      <c r="AB460" s="17" t="str">
        <f t="shared" si="62"/>
        <v>미이행</v>
      </c>
      <c r="AC460" s="64" t="str">
        <f>IFERROR(INDEX(입력!$P$2:$P$500, MATCH($BO460, 입력!$Z$2:$Z$500, 0)) &amp; "", "")</f>
        <v/>
      </c>
      <c r="AD460" s="64" t="str">
        <f>IFERROR(INDEX(입력!$Q$2:$Q$500, MATCH($BO460, 입력!$Z$2:$Z$500, 0)) &amp; "", "")</f>
        <v/>
      </c>
      <c r="AE460" s="64" t="str">
        <f>IFERROR(INDEX(입력!$R$2:$R$500, MATCH($BO460, 입력!$Z$2:$Z$500, 0)) &amp; "", "")</f>
        <v/>
      </c>
      <c r="AF460" s="64" t="str">
        <f>IFERROR(INDEX(입력!$S$2:$S$500, MATCH($BO460, 입력!$Z$2:$Z$500, 0)) &amp; "", "")</f>
        <v/>
      </c>
      <c r="AG460" s="64" t="str">
        <f>IFERROR(INDEX(입력!$T$2:$T$500, MATCH($BO460, 입력!$Z$2:$Z$500, 0)) &amp; "", "")</f>
        <v/>
      </c>
      <c r="AH460" s="64" t="str">
        <f>IFERROR(INDEX(입력!$U$2:$U$500, MATCH($BO460, 입력!$Z$2:$Z$500, 0)) &amp; "", "")</f>
        <v/>
      </c>
      <c r="AI460" s="64" t="str">
        <f>IFERROR(INDEX(입력!$V$2:$V$500, MATCH($BO460, 입력!$Z$2:$Z$500, 0)) &amp; "", "")</f>
        <v/>
      </c>
      <c r="AJ460" s="44" t="str">
        <f>IFERROR(INDEX(입력!$W$2:$W$500, MATCH($BO460, 입력!$Z$2:$Z$500, 0)) &amp; "", "")</f>
        <v/>
      </c>
      <c r="AK460" s="44" t="str">
        <f>IFERROR(INDEX(입력!$X$2:$X$500, MATCH($BO460, 입력!$Z$2:$Z$500, 0)) &amp; "", "")</f>
        <v/>
      </c>
      <c r="AL460" s="2"/>
      <c r="AM460" s="17"/>
      <c r="AN460" s="101"/>
      <c r="AO460" s="17"/>
      <c r="AP460" s="101"/>
      <c r="AQ460" s="101"/>
      <c r="AR460" s="119"/>
      <c r="AS460" s="109" t="s">
        <v>3324</v>
      </c>
      <c r="AT460" s="109">
        <v>46100</v>
      </c>
      <c r="AU460" s="101" t="s">
        <v>3141</v>
      </c>
      <c r="AV460" s="101" t="s">
        <v>3341</v>
      </c>
      <c r="AW460" s="101" t="s">
        <v>3337</v>
      </c>
      <c r="AX460" s="101" t="s">
        <v>3332</v>
      </c>
      <c r="AY460" s="83" t="s">
        <v>3131</v>
      </c>
      <c r="AZ460" s="71" t="str">
        <f>IFERROR(IF(INDEX(입력!$C$2:$C$500, MATCH($BO460, 입력!$Z$2:$Z$500, 0))="", "", TEXT(INDEX(입력!$C$2:$C$500, MATCH($BO460, 입력!$Z$2:$Z$500, 0)), "yyyy-mm-dd")), "")</f>
        <v/>
      </c>
      <c r="BA460" s="44" t="str">
        <f>IFERROR(INDEX(입력!$B$2:$B$500, MATCH($BO460, 입력!$Z$2:$Z$500, 0)) &amp; "", "")</f>
        <v/>
      </c>
      <c r="BB460" s="83" t="str">
        <f>IFERROR(INDEX(입력!$Y$2:$Y$500, MATCH($BO460, 입력!$Z$2:$Z$500, 0)) &amp; "", "")</f>
        <v/>
      </c>
      <c r="BC460" s="83" t="s">
        <v>3112</v>
      </c>
      <c r="BD460" s="83"/>
      <c r="BE460" s="101"/>
      <c r="BF460" s="101"/>
      <c r="BG460" s="101"/>
      <c r="BH460" s="101"/>
      <c r="BI460" s="101"/>
      <c r="BJ460" s="101"/>
      <c r="BK460" s="83"/>
      <c r="BL460" s="17"/>
      <c r="BM460" s="22"/>
      <c r="BN460" s="23"/>
      <c r="BO460" s="47" t="s">
        <v>1014</v>
      </c>
    </row>
    <row r="461" spans="1:67" s="34" customFormat="1" ht="16.5" customHeight="1" x14ac:dyDescent="0.45">
      <c r="A461" s="19">
        <v>460</v>
      </c>
      <c r="B461" s="1" t="s">
        <v>2271</v>
      </c>
      <c r="C461" s="17" t="str">
        <f t="shared" si="59"/>
        <v>미이행</v>
      </c>
      <c r="D461" s="17" t="str">
        <f t="shared" si="63"/>
        <v/>
      </c>
      <c r="E461" s="7" t="s">
        <v>2309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60"/>
        <v/>
      </c>
      <c r="N461" s="21" t="s">
        <v>1057</v>
      </c>
      <c r="O461" s="21"/>
      <c r="P461" s="1">
        <f t="shared" si="56"/>
        <v>5</v>
      </c>
      <c r="Q461" s="1">
        <v>5</v>
      </c>
      <c r="R461" s="64" t="str">
        <f>IFERROR(INDEX(입력!$J$2:$J$500, MATCH($BO461, 입력!$Z$2:$Z$500, 0)) &amp; "", "")</f>
        <v/>
      </c>
      <c r="S461" s="64" t="str">
        <f>IFERROR(INDEX(입력!$K$2:$K$500, MATCH($BO461, 입력!$Z$2:$Z$500, 0)) &amp; "", "")</f>
        <v/>
      </c>
      <c r="T461" s="64">
        <f>MAX(0, 표1[[#This Row],[의무_면수]]-표1[[#This Row],[면수합]])</f>
        <v>0</v>
      </c>
      <c r="U461" s="44" t="str">
        <f t="shared" si="57"/>
        <v>이행완료</v>
      </c>
      <c r="V461" s="1">
        <f t="shared" si="61"/>
        <v>2</v>
      </c>
      <c r="W461" s="1" t="str">
        <f t="shared" si="58"/>
        <v/>
      </c>
      <c r="X461" s="1">
        <v>0</v>
      </c>
      <c r="Y461" s="64" t="str">
        <f>IFERROR(INDEX(입력!$M$2:$M$500, MATCH($BO461, 입력!$Z$2:$Z$500, 0)) &amp; "", "")</f>
        <v/>
      </c>
      <c r="Z461" s="64" t="str">
        <f>IFERROR(INDEX(입력!$N$2:$N$500, MATCH($BO461, 입력!$Z$2:$Z$500, 0)) &amp; "", "")</f>
        <v/>
      </c>
      <c r="AA461" s="64">
        <f>MAX(0, 표1[[#This Row],[의무_시설]]-표1[[#This Row],[시설합]])</f>
        <v>2</v>
      </c>
      <c r="AB461" s="17" t="str">
        <f t="shared" si="62"/>
        <v>미이행</v>
      </c>
      <c r="AC461" s="64" t="str">
        <f>IFERROR(INDEX(입력!$P$2:$P$500, MATCH($BO461, 입력!$Z$2:$Z$500, 0)) &amp; "", "")</f>
        <v/>
      </c>
      <c r="AD461" s="64" t="str">
        <f>IFERROR(INDEX(입력!$Q$2:$Q$500, MATCH($BO461, 입력!$Z$2:$Z$500, 0)) &amp; "", "")</f>
        <v/>
      </c>
      <c r="AE461" s="64" t="str">
        <f>IFERROR(INDEX(입력!$R$2:$R$500, MATCH($BO461, 입력!$Z$2:$Z$500, 0)) &amp; "", "")</f>
        <v/>
      </c>
      <c r="AF461" s="64" t="str">
        <f>IFERROR(INDEX(입력!$S$2:$S$500, MATCH($BO461, 입력!$Z$2:$Z$500, 0)) &amp; "", "")</f>
        <v/>
      </c>
      <c r="AG461" s="64" t="str">
        <f>IFERROR(INDEX(입력!$T$2:$T$500, MATCH($BO461, 입력!$Z$2:$Z$500, 0)) &amp; "", "")</f>
        <v/>
      </c>
      <c r="AH461" s="64" t="str">
        <f>IFERROR(INDEX(입력!$U$2:$U$500, MATCH($BO461, 입력!$Z$2:$Z$500, 0)) &amp; "", "")</f>
        <v/>
      </c>
      <c r="AI461" s="64" t="str">
        <f>IFERROR(INDEX(입력!$V$2:$V$500, MATCH($BO461, 입력!$Z$2:$Z$500, 0)) &amp; "", "")</f>
        <v/>
      </c>
      <c r="AJ461" s="44" t="str">
        <f>IFERROR(INDEX(입력!$W$2:$W$500, MATCH($BO461, 입력!$Z$2:$Z$500, 0)) &amp; "", "")</f>
        <v/>
      </c>
      <c r="AK461" s="44" t="str">
        <f>IFERROR(INDEX(입력!$X$2:$X$500, MATCH($BO461, 입력!$Z$2:$Z$500, 0)) &amp; "", "")</f>
        <v/>
      </c>
      <c r="AL461" s="2"/>
      <c r="AM461" s="17"/>
      <c r="AN461" s="101"/>
      <c r="AO461" s="17"/>
      <c r="AP461" s="101"/>
      <c r="AQ461" s="101"/>
      <c r="AR461" s="119"/>
      <c r="AS461" s="109" t="s">
        <v>3324</v>
      </c>
      <c r="AT461" s="109">
        <v>46100</v>
      </c>
      <c r="AU461" s="101" t="s">
        <v>3126</v>
      </c>
      <c r="AV461" s="101" t="s">
        <v>3342</v>
      </c>
      <c r="AW461" s="101" t="s">
        <v>3337</v>
      </c>
      <c r="AX461" s="101" t="s">
        <v>3328</v>
      </c>
      <c r="AY461" s="83" t="s">
        <v>3137</v>
      </c>
      <c r="AZ461" s="71" t="str">
        <f>IFERROR(IF(INDEX(입력!$C$2:$C$500, MATCH($BO461, 입력!$Z$2:$Z$500, 0))="", "", TEXT(INDEX(입력!$C$2:$C$500, MATCH($BO461, 입력!$Z$2:$Z$500, 0)), "yyyy-mm-dd")), "")</f>
        <v/>
      </c>
      <c r="BA461" s="44" t="str">
        <f>IFERROR(INDEX(입력!$B$2:$B$500, MATCH($BO461, 입력!$Z$2:$Z$500, 0)) &amp; "", "")</f>
        <v/>
      </c>
      <c r="BB461" s="83" t="str">
        <f>IFERROR(INDEX(입력!$Y$2:$Y$500, MATCH($BO461, 입력!$Z$2:$Z$500, 0)) &amp; "", "")</f>
        <v/>
      </c>
      <c r="BC461" s="83" t="s">
        <v>3112</v>
      </c>
      <c r="BD461" s="83"/>
      <c r="BE461" s="101"/>
      <c r="BF461" s="101"/>
      <c r="BG461" s="101"/>
      <c r="BH461" s="101"/>
      <c r="BI461" s="101"/>
      <c r="BJ461" s="101"/>
      <c r="BK461" s="83"/>
      <c r="BL461" s="17"/>
      <c r="BM461" s="22"/>
      <c r="BN461" s="23"/>
      <c r="BO461" s="47" t="s">
        <v>1016</v>
      </c>
    </row>
    <row r="462" spans="1:67" s="34" customFormat="1" ht="16.5" customHeight="1" x14ac:dyDescent="0.45">
      <c r="A462" s="46">
        <v>461</v>
      </c>
      <c r="B462" s="1" t="s">
        <v>2271</v>
      </c>
      <c r="C462" s="17" t="str">
        <f t="shared" si="59"/>
        <v>미이행</v>
      </c>
      <c r="D462" s="17" t="str">
        <f t="shared" si="63"/>
        <v/>
      </c>
      <c r="E462" s="7" t="s">
        <v>2310</v>
      </c>
      <c r="F462" s="7" t="s">
        <v>477</v>
      </c>
      <c r="G462" s="2" t="s">
        <v>1655</v>
      </c>
      <c r="H462" s="35" t="s">
        <v>1105</v>
      </c>
      <c r="I462" s="19">
        <v>55</v>
      </c>
      <c r="J462" s="2"/>
      <c r="K462" s="20"/>
      <c r="L462" s="20"/>
      <c r="M462" s="17" t="str">
        <f t="shared" si="60"/>
        <v/>
      </c>
      <c r="N462" s="21" t="s">
        <v>1057</v>
      </c>
      <c r="O462" s="21"/>
      <c r="P462" s="1">
        <f t="shared" si="56"/>
        <v>3</v>
      </c>
      <c r="Q462" s="1">
        <v>4</v>
      </c>
      <c r="R462" s="64" t="str">
        <f>IFERROR(INDEX(입력!$J$2:$J$500, MATCH($BO462, 입력!$Z$2:$Z$500, 0)) &amp; "", "")</f>
        <v/>
      </c>
      <c r="S462" s="64" t="str">
        <f>IFERROR(INDEX(입력!$K$2:$K$500, MATCH($BO462, 입력!$Z$2:$Z$500, 0)) &amp; "", "")</f>
        <v/>
      </c>
      <c r="T462" s="64">
        <f>MAX(0, 표1[[#This Row],[의무_면수]]-표1[[#This Row],[면수합]])</f>
        <v>0</v>
      </c>
      <c r="U462" s="44" t="str">
        <f t="shared" si="57"/>
        <v>이행완료</v>
      </c>
      <c r="V462" s="1">
        <f t="shared" si="61"/>
        <v>1</v>
      </c>
      <c r="W462" s="1" t="str">
        <f t="shared" si="58"/>
        <v/>
      </c>
      <c r="X462" s="1">
        <v>0</v>
      </c>
      <c r="Y462" s="64" t="str">
        <f>IFERROR(INDEX(입력!$M$2:$M$500, MATCH($BO462, 입력!$Z$2:$Z$500, 0)) &amp; "", "")</f>
        <v/>
      </c>
      <c r="Z462" s="64" t="str">
        <f>IFERROR(INDEX(입력!$N$2:$N$500, MATCH($BO462, 입력!$Z$2:$Z$500, 0)) &amp; "", "")</f>
        <v/>
      </c>
      <c r="AA462" s="64">
        <f>MAX(0, 표1[[#This Row],[의무_시설]]-표1[[#This Row],[시설합]])</f>
        <v>1</v>
      </c>
      <c r="AB462" s="17" t="str">
        <f t="shared" si="62"/>
        <v>미이행</v>
      </c>
      <c r="AC462" s="64" t="str">
        <f>IFERROR(INDEX(입력!$P$2:$P$500, MATCH($BO462, 입력!$Z$2:$Z$500, 0)) &amp; "", "")</f>
        <v/>
      </c>
      <c r="AD462" s="64" t="str">
        <f>IFERROR(INDEX(입력!$Q$2:$Q$500, MATCH($BO462, 입력!$Z$2:$Z$500, 0)) &amp; "", "")</f>
        <v/>
      </c>
      <c r="AE462" s="64" t="str">
        <f>IFERROR(INDEX(입력!$R$2:$R$500, MATCH($BO462, 입력!$Z$2:$Z$500, 0)) &amp; "", "")</f>
        <v/>
      </c>
      <c r="AF462" s="64" t="str">
        <f>IFERROR(INDEX(입력!$S$2:$S$500, MATCH($BO462, 입력!$Z$2:$Z$500, 0)) &amp; "", "")</f>
        <v/>
      </c>
      <c r="AG462" s="64" t="str">
        <f>IFERROR(INDEX(입력!$T$2:$T$500, MATCH($BO462, 입력!$Z$2:$Z$500, 0)) &amp; "", "")</f>
        <v/>
      </c>
      <c r="AH462" s="64" t="str">
        <f>IFERROR(INDEX(입력!$U$2:$U$500, MATCH($BO462, 입력!$Z$2:$Z$500, 0)) &amp; "", "")</f>
        <v/>
      </c>
      <c r="AI462" s="64" t="str">
        <f>IFERROR(INDEX(입력!$V$2:$V$500, MATCH($BO462, 입력!$Z$2:$Z$500, 0)) &amp; "", "")</f>
        <v/>
      </c>
      <c r="AJ462" s="44" t="str">
        <f>IFERROR(INDEX(입력!$W$2:$W$500, MATCH($BO462, 입력!$Z$2:$Z$500, 0)) &amp; "", "")</f>
        <v/>
      </c>
      <c r="AK462" s="44" t="str">
        <f>IFERROR(INDEX(입력!$X$2:$X$500, MATCH($BO462, 입력!$Z$2:$Z$500, 0)) &amp; "", "")</f>
        <v/>
      </c>
      <c r="AL462" s="2"/>
      <c r="AM462" s="17"/>
      <c r="AN462" s="101"/>
      <c r="AO462" s="17"/>
      <c r="AP462" s="101"/>
      <c r="AQ462" s="101"/>
      <c r="AR462" s="119"/>
      <c r="AS462" s="109" t="s">
        <v>3325</v>
      </c>
      <c r="AT462" s="109">
        <v>46100</v>
      </c>
      <c r="AU462" s="101" t="s">
        <v>3141</v>
      </c>
      <c r="AV462" s="101" t="s">
        <v>3340</v>
      </c>
      <c r="AW462" s="101" t="s">
        <v>3338</v>
      </c>
      <c r="AX462" s="101" t="s">
        <v>3332</v>
      </c>
      <c r="AY462" s="83" t="s">
        <v>3137</v>
      </c>
      <c r="AZ462" s="71" t="str">
        <f>IFERROR(IF(INDEX(입력!$C$2:$C$500, MATCH($BO462, 입력!$Z$2:$Z$500, 0))="", "", TEXT(INDEX(입력!$C$2:$C$500, MATCH($BO462, 입력!$Z$2:$Z$500, 0)), "yyyy-mm-dd")), "")</f>
        <v/>
      </c>
      <c r="BA462" s="44" t="str">
        <f>IFERROR(INDEX(입력!$B$2:$B$500, MATCH($BO462, 입력!$Z$2:$Z$500, 0)) &amp; "", "")</f>
        <v/>
      </c>
      <c r="BB462" s="83" t="str">
        <f>IFERROR(INDEX(입력!$Y$2:$Y$500, MATCH($BO462, 입력!$Z$2:$Z$500, 0)) &amp; "", "")</f>
        <v/>
      </c>
      <c r="BC462" s="83" t="s">
        <v>3112</v>
      </c>
      <c r="BD462" s="83"/>
      <c r="BE462" s="101"/>
      <c r="BF462" s="101"/>
      <c r="BG462" s="101"/>
      <c r="BH462" s="101"/>
      <c r="BI462" s="101"/>
      <c r="BJ462" s="101"/>
      <c r="BK462" s="83"/>
      <c r="BL462" s="17"/>
      <c r="BM462" s="22"/>
      <c r="BN462" s="23"/>
      <c r="BO462" s="47" t="s">
        <v>1017</v>
      </c>
    </row>
    <row r="463" spans="1:67" s="34" customFormat="1" ht="16.5" customHeight="1" x14ac:dyDescent="0.45">
      <c r="A463" s="19">
        <v>462</v>
      </c>
      <c r="B463" s="1" t="s">
        <v>2271</v>
      </c>
      <c r="C463" s="17" t="str">
        <f t="shared" si="59"/>
        <v>미이행</v>
      </c>
      <c r="D463" s="17" t="str">
        <f t="shared" si="63"/>
        <v/>
      </c>
      <c r="E463" s="7" t="s">
        <v>2309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60"/>
        <v/>
      </c>
      <c r="N463" s="21" t="s">
        <v>1057</v>
      </c>
      <c r="O463" s="21"/>
      <c r="P463" s="1">
        <f t="shared" si="56"/>
        <v>3</v>
      </c>
      <c r="Q463" s="1">
        <v>3</v>
      </c>
      <c r="R463" s="64" t="str">
        <f>IFERROR(INDEX(입력!$J$2:$J$500, MATCH($BO463, 입력!$Z$2:$Z$500, 0)) &amp; "", "")</f>
        <v/>
      </c>
      <c r="S463" s="64" t="str">
        <f>IFERROR(INDEX(입력!$K$2:$K$500, MATCH($BO463, 입력!$Z$2:$Z$500, 0)) &amp; "", "")</f>
        <v/>
      </c>
      <c r="T463" s="64">
        <f>MAX(0, 표1[[#This Row],[의무_면수]]-표1[[#This Row],[면수합]])</f>
        <v>0</v>
      </c>
      <c r="U463" s="44" t="str">
        <f t="shared" si="57"/>
        <v>이행완료</v>
      </c>
      <c r="V463" s="1">
        <f t="shared" si="61"/>
        <v>1</v>
      </c>
      <c r="W463" s="1" t="str">
        <f t="shared" si="58"/>
        <v/>
      </c>
      <c r="X463" s="1">
        <v>0</v>
      </c>
      <c r="Y463" s="64" t="str">
        <f>IFERROR(INDEX(입력!$M$2:$M$500, MATCH($BO463, 입력!$Z$2:$Z$500, 0)) &amp; "", "")</f>
        <v/>
      </c>
      <c r="Z463" s="64" t="str">
        <f>IFERROR(INDEX(입력!$N$2:$N$500, MATCH($BO463, 입력!$Z$2:$Z$500, 0)) &amp; "", "")</f>
        <v/>
      </c>
      <c r="AA463" s="64">
        <f>MAX(0, 표1[[#This Row],[의무_시설]]-표1[[#This Row],[시설합]])</f>
        <v>1</v>
      </c>
      <c r="AB463" s="17" t="str">
        <f t="shared" si="62"/>
        <v>미이행</v>
      </c>
      <c r="AC463" s="64" t="str">
        <f>IFERROR(INDEX(입력!$P$2:$P$500, MATCH($BO463, 입력!$Z$2:$Z$500, 0)) &amp; "", "")</f>
        <v/>
      </c>
      <c r="AD463" s="64" t="str">
        <f>IFERROR(INDEX(입력!$Q$2:$Q$500, MATCH($BO463, 입력!$Z$2:$Z$500, 0)) &amp; "", "")</f>
        <v/>
      </c>
      <c r="AE463" s="64" t="str">
        <f>IFERROR(INDEX(입력!$R$2:$R$500, MATCH($BO463, 입력!$Z$2:$Z$500, 0)) &amp; "", "")</f>
        <v/>
      </c>
      <c r="AF463" s="64" t="str">
        <f>IFERROR(INDEX(입력!$S$2:$S$500, MATCH($BO463, 입력!$Z$2:$Z$500, 0)) &amp; "", "")</f>
        <v/>
      </c>
      <c r="AG463" s="64" t="str">
        <f>IFERROR(INDEX(입력!$T$2:$T$500, MATCH($BO463, 입력!$Z$2:$Z$500, 0)) &amp; "", "")</f>
        <v/>
      </c>
      <c r="AH463" s="64" t="str">
        <f>IFERROR(INDEX(입력!$U$2:$U$500, MATCH($BO463, 입력!$Z$2:$Z$500, 0)) &amp; "", "")</f>
        <v/>
      </c>
      <c r="AI463" s="64" t="str">
        <f>IFERROR(INDEX(입력!$V$2:$V$500, MATCH($BO463, 입력!$Z$2:$Z$500, 0)) &amp; "", "")</f>
        <v/>
      </c>
      <c r="AJ463" s="44" t="str">
        <f>IFERROR(INDEX(입력!$W$2:$W$500, MATCH($BO463, 입력!$Z$2:$Z$500, 0)) &amp; "", "")</f>
        <v/>
      </c>
      <c r="AK463" s="44" t="str">
        <f>IFERROR(INDEX(입력!$X$2:$X$500, MATCH($BO463, 입력!$Z$2:$Z$500, 0)) &amp; "", "")</f>
        <v/>
      </c>
      <c r="AL463" s="2"/>
      <c r="AM463" s="17"/>
      <c r="AN463" s="101"/>
      <c r="AO463" s="17"/>
      <c r="AP463" s="101"/>
      <c r="AQ463" s="101"/>
      <c r="AR463" s="119"/>
      <c r="AS463" s="109" t="s">
        <v>3325</v>
      </c>
      <c r="AT463" s="109">
        <v>46100</v>
      </c>
      <c r="AU463" s="101" t="s">
        <v>3141</v>
      </c>
      <c r="AV463" s="101" t="s">
        <v>3340</v>
      </c>
      <c r="AW463" s="101" t="s">
        <v>3338</v>
      </c>
      <c r="AX463" s="101" t="s">
        <v>3328</v>
      </c>
      <c r="AY463" s="83" t="s">
        <v>3131</v>
      </c>
      <c r="AZ463" s="71" t="str">
        <f>IFERROR(IF(INDEX(입력!$C$2:$C$500, MATCH($BO463, 입력!$Z$2:$Z$500, 0))="", "", TEXT(INDEX(입력!$C$2:$C$500, MATCH($BO463, 입력!$Z$2:$Z$500, 0)), "yyyy-mm-dd")), "")</f>
        <v/>
      </c>
      <c r="BA463" s="44" t="str">
        <f>IFERROR(INDEX(입력!$B$2:$B$500, MATCH($BO463, 입력!$Z$2:$Z$500, 0)) &amp; "", "")</f>
        <v/>
      </c>
      <c r="BB463" s="83" t="str">
        <f>IFERROR(INDEX(입력!$Y$2:$Y$500, MATCH($BO463, 입력!$Z$2:$Z$500, 0)) &amp; "", "")</f>
        <v/>
      </c>
      <c r="BC463" s="83" t="s">
        <v>3112</v>
      </c>
      <c r="BD463" s="83"/>
      <c r="BE463" s="101"/>
      <c r="BF463" s="101"/>
      <c r="BG463" s="101"/>
      <c r="BH463" s="101"/>
      <c r="BI463" s="101"/>
      <c r="BJ463" s="101"/>
      <c r="BK463" s="83"/>
      <c r="BL463" s="17"/>
      <c r="BM463" s="22"/>
      <c r="BN463" s="23"/>
      <c r="BO463" s="47" t="s">
        <v>1019</v>
      </c>
    </row>
    <row r="464" spans="1:67" s="34" customFormat="1" ht="16.5" customHeight="1" x14ac:dyDescent="0.45">
      <c r="A464" s="46">
        <v>463</v>
      </c>
      <c r="B464" s="1" t="s">
        <v>2271</v>
      </c>
      <c r="C464" s="17" t="str">
        <f t="shared" si="59"/>
        <v>이행완료</v>
      </c>
      <c r="D464" s="17" t="str">
        <f t="shared" si="63"/>
        <v/>
      </c>
      <c r="E464" s="1" t="s">
        <v>2311</v>
      </c>
      <c r="F464" s="2" t="s">
        <v>1020</v>
      </c>
      <c r="G464" s="2" t="s">
        <v>2312</v>
      </c>
      <c r="H464" s="18" t="s">
        <v>1152</v>
      </c>
      <c r="I464" s="19">
        <v>171</v>
      </c>
      <c r="J464" s="2"/>
      <c r="K464" s="20"/>
      <c r="L464" s="20"/>
      <c r="M464" s="17" t="str">
        <f t="shared" si="60"/>
        <v/>
      </c>
      <c r="N464" s="21" t="s">
        <v>1057</v>
      </c>
      <c r="O464" s="21"/>
      <c r="P464" s="1">
        <f t="shared" si="56"/>
        <v>9</v>
      </c>
      <c r="Q464" s="1">
        <v>9</v>
      </c>
      <c r="R464" s="64" t="str">
        <f>IFERROR(INDEX(입력!$J$2:$J$500, MATCH($BO464, 입력!$Z$2:$Z$500, 0)) &amp; "", "")</f>
        <v/>
      </c>
      <c r="S464" s="64" t="str">
        <f>IFERROR(INDEX(입력!$K$2:$K$500, MATCH($BO464, 입력!$Z$2:$Z$500, 0)) &amp; "", "")</f>
        <v/>
      </c>
      <c r="T464" s="64">
        <f>MAX(0, 표1[[#This Row],[의무_면수]]-표1[[#This Row],[면수합]])</f>
        <v>0</v>
      </c>
      <c r="U464" s="44" t="str">
        <f t="shared" si="57"/>
        <v>이행완료</v>
      </c>
      <c r="V464" s="1">
        <f t="shared" si="61"/>
        <v>3</v>
      </c>
      <c r="W464" s="1" t="str">
        <f t="shared" si="58"/>
        <v/>
      </c>
      <c r="X464" s="1">
        <v>3</v>
      </c>
      <c r="Y464" s="64" t="str">
        <f>IFERROR(INDEX(입력!$M$2:$M$500, MATCH($BO464, 입력!$Z$2:$Z$500, 0)) &amp; "", "")</f>
        <v/>
      </c>
      <c r="Z464" s="64" t="str">
        <f>IFERROR(INDEX(입력!$N$2:$N$500, MATCH($BO464, 입력!$Z$2:$Z$500, 0)) &amp; "", "")</f>
        <v/>
      </c>
      <c r="AA464" s="64">
        <f>MAX(0, 표1[[#This Row],[의무_시설]]-표1[[#This Row],[시설합]])</f>
        <v>0</v>
      </c>
      <c r="AB464" s="17" t="str">
        <f t="shared" si="62"/>
        <v>이행완료</v>
      </c>
      <c r="AC464" s="64" t="str">
        <f>IFERROR(INDEX(입력!$P$2:$P$500, MATCH($BO464, 입력!$Z$2:$Z$500, 0)) &amp; "", "")</f>
        <v/>
      </c>
      <c r="AD464" s="64" t="str">
        <f>IFERROR(INDEX(입력!$Q$2:$Q$500, MATCH($BO464, 입력!$Z$2:$Z$500, 0)) &amp; "", "")</f>
        <v/>
      </c>
      <c r="AE464" s="64" t="str">
        <f>IFERROR(INDEX(입력!$R$2:$R$500, MATCH($BO464, 입력!$Z$2:$Z$500, 0)) &amp; "", "")</f>
        <v/>
      </c>
      <c r="AF464" s="64" t="str">
        <f>IFERROR(INDEX(입력!$S$2:$S$500, MATCH($BO464, 입력!$Z$2:$Z$500, 0)) &amp; "", "")</f>
        <v/>
      </c>
      <c r="AG464" s="64" t="str">
        <f>IFERROR(INDEX(입력!$T$2:$T$500, MATCH($BO464, 입력!$Z$2:$Z$500, 0)) &amp; "", "")</f>
        <v/>
      </c>
      <c r="AH464" s="64" t="str">
        <f>IFERROR(INDEX(입력!$U$2:$U$500, MATCH($BO464, 입력!$Z$2:$Z$500, 0)) &amp; "", "")</f>
        <v/>
      </c>
      <c r="AI464" s="64" t="str">
        <f>IFERROR(INDEX(입력!$V$2:$V$500, MATCH($BO464, 입력!$Z$2:$Z$500, 0)) &amp; "", "")</f>
        <v/>
      </c>
      <c r="AJ464" s="44" t="str">
        <f>IFERROR(INDEX(입력!$W$2:$W$500, MATCH($BO464, 입력!$Z$2:$Z$500, 0)) &amp; "", "")</f>
        <v/>
      </c>
      <c r="AK464" s="44" t="str">
        <f>IFERROR(INDEX(입력!$X$2:$X$500, MATCH($BO464, 입력!$Z$2:$Z$500, 0)) &amp; "", "")</f>
        <v/>
      </c>
      <c r="AL464" s="2"/>
      <c r="AM464" s="17"/>
      <c r="AN464" s="101"/>
      <c r="AO464" s="17"/>
      <c r="AP464" s="118"/>
      <c r="AQ464" s="17"/>
      <c r="AR464" s="119"/>
      <c r="AS464" s="101"/>
      <c r="AT464" s="101"/>
      <c r="AU464" s="101"/>
      <c r="AV464" s="101"/>
      <c r="AW464" s="101"/>
      <c r="AX464" s="101"/>
      <c r="AY464" s="83" t="s">
        <v>3131</v>
      </c>
      <c r="AZ464" s="71" t="str">
        <f>IFERROR(IF(INDEX(입력!$C$2:$C$500, MATCH($BO464, 입력!$Z$2:$Z$500, 0))="", "", TEXT(INDEX(입력!$C$2:$C$500, MATCH($BO464, 입력!$Z$2:$Z$500, 0)), "yyyy-mm-dd")), "")</f>
        <v/>
      </c>
      <c r="BA464" s="44" t="str">
        <f>IFERROR(INDEX(입력!$B$2:$B$500, MATCH($BO464, 입력!$Z$2:$Z$500, 0)) &amp; "", "")</f>
        <v/>
      </c>
      <c r="BB464" s="83" t="str">
        <f>IFERROR(INDEX(입력!$Y$2:$Y$500, MATCH($BO464, 입력!$Z$2:$Z$500, 0)) &amp; "", "")</f>
        <v/>
      </c>
      <c r="BC464" s="83" t="s">
        <v>3112</v>
      </c>
      <c r="BD464" s="83"/>
      <c r="BE464" s="101"/>
      <c r="BF464" s="101"/>
      <c r="BG464" s="101"/>
      <c r="BH464" s="101"/>
      <c r="BI464" s="101"/>
      <c r="BJ464" s="101"/>
      <c r="BK464" s="83"/>
      <c r="BL464" s="17"/>
      <c r="BM464" s="22"/>
      <c r="BN464" s="23"/>
      <c r="BO464" s="47" t="s">
        <v>1021</v>
      </c>
    </row>
    <row r="465" spans="1:67" s="34" customFormat="1" ht="16.5" customHeight="1" x14ac:dyDescent="0.45">
      <c r="A465" s="19">
        <v>464</v>
      </c>
      <c r="B465" s="1" t="s">
        <v>2271</v>
      </c>
      <c r="C465" s="17" t="str">
        <f t="shared" si="59"/>
        <v>미이행</v>
      </c>
      <c r="D465" s="17" t="str">
        <f t="shared" si="63"/>
        <v/>
      </c>
      <c r="E465" s="1" t="s">
        <v>2313</v>
      </c>
      <c r="F465" s="2" t="s">
        <v>1022</v>
      </c>
      <c r="G465" s="2" t="s">
        <v>2314</v>
      </c>
      <c r="H465" s="18" t="s">
        <v>2315</v>
      </c>
      <c r="I465" s="19">
        <v>94</v>
      </c>
      <c r="J465" s="2"/>
      <c r="K465" s="20">
        <v>43717</v>
      </c>
      <c r="L465" s="20"/>
      <c r="M465" s="17" t="str">
        <f t="shared" si="60"/>
        <v>기축</v>
      </c>
      <c r="N465" s="21" t="s">
        <v>1057</v>
      </c>
      <c r="O465" s="21"/>
      <c r="P465" s="1">
        <f t="shared" si="56"/>
        <v>5</v>
      </c>
      <c r="Q465" s="1">
        <v>0</v>
      </c>
      <c r="R465" s="64" t="str">
        <f>IFERROR(INDEX(입력!$J$2:$J$500, MATCH($BO465, 입력!$Z$2:$Z$500, 0)) &amp; "", "")</f>
        <v/>
      </c>
      <c r="S465" s="64" t="str">
        <f>IFERROR(INDEX(입력!$K$2:$K$500, MATCH($BO465, 입력!$Z$2:$Z$500, 0)) &amp; "", "")</f>
        <v/>
      </c>
      <c r="T465" s="64">
        <f>MAX(0, 표1[[#This Row],[의무_면수]]-표1[[#This Row],[면수합]])</f>
        <v>5</v>
      </c>
      <c r="U465" s="44" t="str">
        <f t="shared" si="57"/>
        <v>미이행</v>
      </c>
      <c r="V465" s="1">
        <f t="shared" si="61"/>
        <v>2</v>
      </c>
      <c r="W465" s="1" t="str">
        <f t="shared" si="58"/>
        <v/>
      </c>
      <c r="X465" s="1">
        <v>0</v>
      </c>
      <c r="Y465" s="64" t="str">
        <f>IFERROR(INDEX(입력!$M$2:$M$500, MATCH($BO465, 입력!$Z$2:$Z$500, 0)) &amp; "", "")</f>
        <v/>
      </c>
      <c r="Z465" s="64" t="str">
        <f>IFERROR(INDEX(입력!$N$2:$N$500, MATCH($BO465, 입력!$Z$2:$Z$500, 0)) &amp; "", "")</f>
        <v/>
      </c>
      <c r="AA465" s="64">
        <f>MAX(0, 표1[[#This Row],[의무_시설]]-표1[[#This Row],[시설합]])</f>
        <v>2</v>
      </c>
      <c r="AB465" s="17" t="str">
        <f t="shared" si="62"/>
        <v>미이행</v>
      </c>
      <c r="AC465" s="64" t="str">
        <f>IFERROR(INDEX(입력!$P$2:$P$500, MATCH($BO465, 입력!$Z$2:$Z$500, 0)) &amp; "", "")</f>
        <v/>
      </c>
      <c r="AD465" s="64" t="str">
        <f>IFERROR(INDEX(입력!$Q$2:$Q$500, MATCH($BO465, 입력!$Z$2:$Z$500, 0)) &amp; "", "")</f>
        <v/>
      </c>
      <c r="AE465" s="64" t="str">
        <f>IFERROR(INDEX(입력!$R$2:$R$500, MATCH($BO465, 입력!$Z$2:$Z$500, 0)) &amp; "", "")</f>
        <v/>
      </c>
      <c r="AF465" s="64" t="str">
        <f>IFERROR(INDEX(입력!$S$2:$S$500, MATCH($BO465, 입력!$Z$2:$Z$500, 0)) &amp; "", "")</f>
        <v/>
      </c>
      <c r="AG465" s="64" t="str">
        <f>IFERROR(INDEX(입력!$T$2:$T$500, MATCH($BO465, 입력!$Z$2:$Z$500, 0)) &amp; "", "")</f>
        <v/>
      </c>
      <c r="AH465" s="64" t="str">
        <f>IFERROR(INDEX(입력!$U$2:$U$500, MATCH($BO465, 입력!$Z$2:$Z$500, 0)) &amp; "", "")</f>
        <v/>
      </c>
      <c r="AI465" s="64" t="str">
        <f>IFERROR(INDEX(입력!$V$2:$V$500, MATCH($BO465, 입력!$Z$2:$Z$500, 0)) &amp; "", "")</f>
        <v/>
      </c>
      <c r="AJ465" s="44" t="str">
        <f>IFERROR(INDEX(입력!$W$2:$W$500, MATCH($BO465, 입력!$Z$2:$Z$500, 0)) &amp; "", "")</f>
        <v/>
      </c>
      <c r="AK465" s="44" t="str">
        <f>IFERROR(INDEX(입력!$X$2:$X$500, MATCH($BO465, 입력!$Z$2:$Z$500, 0)) &amp; "", "")</f>
        <v/>
      </c>
      <c r="AL465" s="2"/>
      <c r="AM465" s="17"/>
      <c r="AN465" s="101"/>
      <c r="AO465" s="17"/>
      <c r="AP465" s="101"/>
      <c r="AQ465" s="101"/>
      <c r="AR465" s="119"/>
      <c r="AS465" s="109" t="s">
        <v>3324</v>
      </c>
      <c r="AT465" s="109">
        <v>46100</v>
      </c>
      <c r="AU465" s="101" t="s">
        <v>3126</v>
      </c>
      <c r="AV465" s="101" t="s">
        <v>3343</v>
      </c>
      <c r="AW465" s="101" t="s">
        <v>3338</v>
      </c>
      <c r="AX465" s="101" t="s">
        <v>3328</v>
      </c>
      <c r="AY465" s="83" t="s">
        <v>3137</v>
      </c>
      <c r="AZ465" s="71" t="str">
        <f>IFERROR(IF(INDEX(입력!$C$2:$C$500, MATCH($BO465, 입력!$Z$2:$Z$500, 0))="", "", TEXT(INDEX(입력!$C$2:$C$500, MATCH($BO465, 입력!$Z$2:$Z$500, 0)), "yyyy-mm-dd")), "")</f>
        <v/>
      </c>
      <c r="BA465" s="44" t="str">
        <f>IFERROR(INDEX(입력!$B$2:$B$500, MATCH($BO465, 입력!$Z$2:$Z$500, 0)) &amp; "", "")</f>
        <v/>
      </c>
      <c r="BB465" s="83" t="str">
        <f>IFERROR(INDEX(입력!$Y$2:$Y$500, MATCH($BO465, 입력!$Z$2:$Z$500, 0)) &amp; "", "")</f>
        <v/>
      </c>
      <c r="BC465" s="83" t="s">
        <v>3112</v>
      </c>
      <c r="BD465" s="83"/>
      <c r="BE465" s="101"/>
      <c r="BF465" s="101"/>
      <c r="BG465" s="101"/>
      <c r="BH465" s="101"/>
      <c r="BI465" s="101"/>
      <c r="BJ465" s="101"/>
      <c r="BK465" s="83"/>
      <c r="BL465" s="17"/>
      <c r="BM465" s="22"/>
      <c r="BN465" s="23"/>
      <c r="BO465" s="47" t="s">
        <v>1023</v>
      </c>
    </row>
    <row r="466" spans="1:67" s="34" customFormat="1" ht="16.5" customHeight="1" x14ac:dyDescent="0.45">
      <c r="A466" s="46">
        <v>465</v>
      </c>
      <c r="B466" s="1" t="s">
        <v>2271</v>
      </c>
      <c r="C466" s="17" t="str">
        <f t="shared" si="59"/>
        <v>이행완료</v>
      </c>
      <c r="D466" s="17" t="str">
        <f t="shared" si="63"/>
        <v/>
      </c>
      <c r="E466" s="1" t="s">
        <v>2316</v>
      </c>
      <c r="F466" s="1" t="s">
        <v>2577</v>
      </c>
      <c r="G466" s="2" t="s">
        <v>2317</v>
      </c>
      <c r="H466" s="18" t="s">
        <v>2318</v>
      </c>
      <c r="I466" s="19">
        <v>161</v>
      </c>
      <c r="J466" s="2"/>
      <c r="K466" s="20">
        <v>43263</v>
      </c>
      <c r="L466" s="20"/>
      <c r="M466" s="17" t="str">
        <f t="shared" si="60"/>
        <v>기축</v>
      </c>
      <c r="N466" s="21" t="s">
        <v>1057</v>
      </c>
      <c r="O466" s="21"/>
      <c r="P466" s="1">
        <f t="shared" si="56"/>
        <v>8</v>
      </c>
      <c r="Q466" s="1">
        <v>8</v>
      </c>
      <c r="R466" s="64" t="str">
        <f>IFERROR(INDEX(입력!$J$2:$J$500, MATCH($BO466, 입력!$Z$2:$Z$500, 0)) &amp; "", "")</f>
        <v/>
      </c>
      <c r="S466" s="64" t="str">
        <f>IFERROR(INDEX(입력!$K$2:$K$500, MATCH($BO466, 입력!$Z$2:$Z$500, 0)) &amp; "", "")</f>
        <v/>
      </c>
      <c r="T466" s="64">
        <f>MAX(0, 표1[[#This Row],[의무_면수]]-표1[[#This Row],[면수합]])</f>
        <v>0</v>
      </c>
      <c r="U466" s="44" t="str">
        <f t="shared" si="57"/>
        <v>이행완료</v>
      </c>
      <c r="V466" s="1">
        <f t="shared" si="61"/>
        <v>3</v>
      </c>
      <c r="W466" s="1" t="str">
        <f t="shared" si="58"/>
        <v/>
      </c>
      <c r="X466" s="1">
        <v>6</v>
      </c>
      <c r="Y466" s="64" t="str">
        <f>IFERROR(INDEX(입력!$M$2:$M$500, MATCH($BO466, 입력!$Z$2:$Z$500, 0)) &amp; "", "")</f>
        <v/>
      </c>
      <c r="Z466" s="64" t="str">
        <f>IFERROR(INDEX(입력!$N$2:$N$500, MATCH($BO466, 입력!$Z$2:$Z$500, 0)) &amp; "", "")</f>
        <v/>
      </c>
      <c r="AA466" s="64">
        <f>MAX(0, 표1[[#This Row],[의무_시설]]-표1[[#This Row],[시설합]])</f>
        <v>0</v>
      </c>
      <c r="AB466" s="17" t="str">
        <f t="shared" si="62"/>
        <v>이행완료</v>
      </c>
      <c r="AC466" s="64" t="str">
        <f>IFERROR(INDEX(입력!$P$2:$P$500, MATCH($BO466, 입력!$Z$2:$Z$500, 0)) &amp; "", "")</f>
        <v/>
      </c>
      <c r="AD466" s="64" t="str">
        <f>IFERROR(INDEX(입력!$Q$2:$Q$500, MATCH($BO466, 입력!$Z$2:$Z$500, 0)) &amp; "", "")</f>
        <v/>
      </c>
      <c r="AE466" s="64" t="str">
        <f>IFERROR(INDEX(입력!$R$2:$R$500, MATCH($BO466, 입력!$Z$2:$Z$500, 0)) &amp; "", "")</f>
        <v/>
      </c>
      <c r="AF466" s="64" t="str">
        <f>IFERROR(INDEX(입력!$S$2:$S$500, MATCH($BO466, 입력!$Z$2:$Z$500, 0)) &amp; "", "")</f>
        <v/>
      </c>
      <c r="AG466" s="64" t="str">
        <f>IFERROR(INDEX(입력!$T$2:$T$500, MATCH($BO466, 입력!$Z$2:$Z$500, 0)) &amp; "", "")</f>
        <v/>
      </c>
      <c r="AH466" s="64" t="str">
        <f>IFERROR(INDEX(입력!$U$2:$U$500, MATCH($BO466, 입력!$Z$2:$Z$500, 0)) &amp; "", "")</f>
        <v/>
      </c>
      <c r="AI466" s="64" t="str">
        <f>IFERROR(INDEX(입력!$V$2:$V$500, MATCH($BO466, 입력!$Z$2:$Z$500, 0)) &amp; "", "")</f>
        <v/>
      </c>
      <c r="AJ466" s="44" t="str">
        <f>IFERROR(INDEX(입력!$W$2:$W$500, MATCH($BO466, 입력!$Z$2:$Z$500, 0)) &amp; "", "")</f>
        <v/>
      </c>
      <c r="AK466" s="44" t="str">
        <f>IFERROR(INDEX(입력!$X$2:$X$500, MATCH($BO466, 입력!$Z$2:$Z$500, 0)) &amp; "", "")</f>
        <v/>
      </c>
      <c r="AL466" s="2"/>
      <c r="AM466" s="17"/>
      <c r="AN466" s="101"/>
      <c r="AO466" s="17"/>
      <c r="AP466" s="118"/>
      <c r="AQ466" s="17"/>
      <c r="AR466" s="119"/>
      <c r="AS466" s="101"/>
      <c r="AT466" s="101"/>
      <c r="AU466" s="101"/>
      <c r="AV466" s="101"/>
      <c r="AW466" s="101"/>
      <c r="AX466" s="101"/>
      <c r="AY466" s="83" t="s">
        <v>3137</v>
      </c>
      <c r="AZ466" s="71" t="str">
        <f>IFERROR(IF(INDEX(입력!$C$2:$C$500, MATCH($BO466, 입력!$Z$2:$Z$500, 0))="", "", TEXT(INDEX(입력!$C$2:$C$500, MATCH($BO466, 입력!$Z$2:$Z$500, 0)), "yyyy-mm-dd")), "")</f>
        <v/>
      </c>
      <c r="BA466" s="44" t="str">
        <f>IFERROR(INDEX(입력!$B$2:$B$500, MATCH($BO466, 입력!$Z$2:$Z$500, 0)) &amp; "", "")</f>
        <v/>
      </c>
      <c r="BB466" s="83" t="str">
        <f>IFERROR(INDEX(입력!$Y$2:$Y$500, MATCH($BO466, 입력!$Z$2:$Z$500, 0)) &amp; "", "")</f>
        <v/>
      </c>
      <c r="BC466" s="83" t="s">
        <v>3112</v>
      </c>
      <c r="BD466" s="83"/>
      <c r="BE466" s="101"/>
      <c r="BF466" s="101"/>
      <c r="BG466" s="101"/>
      <c r="BH466" s="101"/>
      <c r="BI466" s="101"/>
      <c r="BJ466" s="101"/>
      <c r="BK466" s="83"/>
      <c r="BL466" s="17"/>
      <c r="BM466" s="22"/>
      <c r="BN466" s="23"/>
      <c r="BO466" s="47" t="s">
        <v>1024</v>
      </c>
    </row>
    <row r="467" spans="1:67" s="34" customFormat="1" ht="16.5" customHeight="1" x14ac:dyDescent="0.45">
      <c r="A467" s="19">
        <v>466</v>
      </c>
      <c r="B467" s="1" t="s">
        <v>2271</v>
      </c>
      <c r="C467" s="17" t="str">
        <f t="shared" si="59"/>
        <v>미이행</v>
      </c>
      <c r="D467" s="17" t="str">
        <f t="shared" si="63"/>
        <v/>
      </c>
      <c r="E467" s="1" t="s">
        <v>2319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60"/>
        <v/>
      </c>
      <c r="N467" s="21" t="s">
        <v>1057</v>
      </c>
      <c r="O467" s="21"/>
      <c r="P467" s="1">
        <f t="shared" si="56"/>
        <v>6</v>
      </c>
      <c r="Q467" s="1">
        <v>0</v>
      </c>
      <c r="R467" s="64" t="str">
        <f>IFERROR(INDEX(입력!$J$2:$J$500, MATCH($BO467, 입력!$Z$2:$Z$500, 0)) &amp; "", "")</f>
        <v/>
      </c>
      <c r="S467" s="64" t="str">
        <f>IFERROR(INDEX(입력!$K$2:$K$500, MATCH($BO467, 입력!$Z$2:$Z$500, 0)) &amp; "", "")</f>
        <v/>
      </c>
      <c r="T467" s="64">
        <f>MAX(0, 표1[[#This Row],[의무_면수]]-표1[[#This Row],[면수합]])</f>
        <v>6</v>
      </c>
      <c r="U467" s="44" t="str">
        <f t="shared" si="57"/>
        <v>미이행</v>
      </c>
      <c r="V467" s="1">
        <f t="shared" si="61"/>
        <v>2</v>
      </c>
      <c r="W467" s="1" t="str">
        <f t="shared" si="58"/>
        <v/>
      </c>
      <c r="X467" s="1">
        <v>0</v>
      </c>
      <c r="Y467" s="64" t="str">
        <f>IFERROR(INDEX(입력!$M$2:$M$500, MATCH($BO467, 입력!$Z$2:$Z$500, 0)) &amp; "", "")</f>
        <v/>
      </c>
      <c r="Z467" s="64" t="str">
        <f>IFERROR(INDEX(입력!$N$2:$N$500, MATCH($BO467, 입력!$Z$2:$Z$500, 0)) &amp; "", "")</f>
        <v/>
      </c>
      <c r="AA467" s="64">
        <f>MAX(0, 표1[[#This Row],[의무_시설]]-표1[[#This Row],[시설합]])</f>
        <v>2</v>
      </c>
      <c r="AB467" s="17" t="str">
        <f t="shared" si="62"/>
        <v>미이행</v>
      </c>
      <c r="AC467" s="64" t="str">
        <f>IFERROR(INDEX(입력!$P$2:$P$500, MATCH($BO467, 입력!$Z$2:$Z$500, 0)) &amp; "", "")</f>
        <v/>
      </c>
      <c r="AD467" s="64" t="str">
        <f>IFERROR(INDEX(입력!$Q$2:$Q$500, MATCH($BO467, 입력!$Z$2:$Z$500, 0)) &amp; "", "")</f>
        <v/>
      </c>
      <c r="AE467" s="64" t="str">
        <f>IFERROR(INDEX(입력!$R$2:$R$500, MATCH($BO467, 입력!$Z$2:$Z$500, 0)) &amp; "", "")</f>
        <v/>
      </c>
      <c r="AF467" s="64" t="str">
        <f>IFERROR(INDEX(입력!$S$2:$S$500, MATCH($BO467, 입력!$Z$2:$Z$500, 0)) &amp; "", "")</f>
        <v/>
      </c>
      <c r="AG467" s="64" t="str">
        <f>IFERROR(INDEX(입력!$T$2:$T$500, MATCH($BO467, 입력!$Z$2:$Z$500, 0)) &amp; "", "")</f>
        <v/>
      </c>
      <c r="AH467" s="64" t="str">
        <f>IFERROR(INDEX(입력!$U$2:$U$500, MATCH($BO467, 입력!$Z$2:$Z$500, 0)) &amp; "", "")</f>
        <v/>
      </c>
      <c r="AI467" s="64" t="str">
        <f>IFERROR(INDEX(입력!$V$2:$V$500, MATCH($BO467, 입력!$Z$2:$Z$500, 0)) &amp; "", "")</f>
        <v/>
      </c>
      <c r="AJ467" s="44" t="str">
        <f>IFERROR(INDEX(입력!$W$2:$W$500, MATCH($BO467, 입력!$Z$2:$Z$500, 0)) &amp; "", "")</f>
        <v/>
      </c>
      <c r="AK467" s="44" t="str">
        <f>IFERROR(INDEX(입력!$X$2:$X$500, MATCH($BO467, 입력!$Z$2:$Z$500, 0)) &amp; "", "")</f>
        <v/>
      </c>
      <c r="AL467" s="2"/>
      <c r="AM467" s="17"/>
      <c r="AN467" s="101"/>
      <c r="AO467" s="17"/>
      <c r="AP467" s="101"/>
      <c r="AQ467" s="101"/>
      <c r="AR467" s="119"/>
      <c r="AS467" s="109" t="s">
        <v>3325</v>
      </c>
      <c r="AT467" s="109">
        <v>46100</v>
      </c>
      <c r="AU467" s="101" t="s">
        <v>3141</v>
      </c>
      <c r="AV467" s="101" t="s">
        <v>3344</v>
      </c>
      <c r="AW467" s="101" t="s">
        <v>3345</v>
      </c>
      <c r="AX467" s="101" t="s">
        <v>3332</v>
      </c>
      <c r="AY467" s="83" t="s">
        <v>3137</v>
      </c>
      <c r="AZ467" s="71" t="str">
        <f>IFERROR(IF(INDEX(입력!$C$2:$C$500, MATCH($BO467, 입력!$Z$2:$Z$500, 0))="", "", TEXT(INDEX(입력!$C$2:$C$500, MATCH($BO467, 입력!$Z$2:$Z$500, 0)), "yyyy-mm-dd")), "")</f>
        <v/>
      </c>
      <c r="BA467" s="44" t="str">
        <f>IFERROR(INDEX(입력!$B$2:$B$500, MATCH($BO467, 입력!$Z$2:$Z$500, 0)) &amp; "", "")</f>
        <v/>
      </c>
      <c r="BB467" s="83" t="str">
        <f>IFERROR(INDEX(입력!$Y$2:$Y$500, MATCH($BO467, 입력!$Z$2:$Z$500, 0)) &amp; "", "")</f>
        <v/>
      </c>
      <c r="BC467" s="83" t="s">
        <v>3112</v>
      </c>
      <c r="BD467" s="83"/>
      <c r="BE467" s="101"/>
      <c r="BF467" s="101"/>
      <c r="BG467" s="101"/>
      <c r="BH467" s="101"/>
      <c r="BI467" s="101"/>
      <c r="BJ467" s="101"/>
      <c r="BK467" s="83"/>
      <c r="BL467" s="17"/>
      <c r="BM467" s="22"/>
      <c r="BN467" s="23"/>
      <c r="BO467" s="47" t="s">
        <v>1026</v>
      </c>
    </row>
    <row r="468" spans="1:67" s="34" customFormat="1" ht="16.5" customHeight="1" x14ac:dyDescent="0.45">
      <c r="A468" s="46">
        <v>467</v>
      </c>
      <c r="B468" s="1" t="s">
        <v>2271</v>
      </c>
      <c r="C468" s="17" t="str">
        <f t="shared" si="59"/>
        <v>미이행</v>
      </c>
      <c r="D468" s="17" t="str">
        <f t="shared" si="63"/>
        <v/>
      </c>
      <c r="E468" s="1" t="s">
        <v>2320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60"/>
        <v/>
      </c>
      <c r="N468" s="21" t="s">
        <v>1057</v>
      </c>
      <c r="O468" s="21"/>
      <c r="P468" s="1">
        <f t="shared" si="56"/>
        <v>6</v>
      </c>
      <c r="Q468" s="1">
        <v>0</v>
      </c>
      <c r="R468" s="64" t="str">
        <f>IFERROR(INDEX(입력!$J$2:$J$500, MATCH($BO468, 입력!$Z$2:$Z$500, 0)) &amp; "", "")</f>
        <v/>
      </c>
      <c r="S468" s="64" t="str">
        <f>IFERROR(INDEX(입력!$K$2:$K$500, MATCH($BO468, 입력!$Z$2:$Z$500, 0)) &amp; "", "")</f>
        <v/>
      </c>
      <c r="T468" s="64">
        <f>MAX(0, 표1[[#This Row],[의무_면수]]-표1[[#This Row],[면수합]])</f>
        <v>6</v>
      </c>
      <c r="U468" s="44" t="str">
        <f t="shared" si="57"/>
        <v>미이행</v>
      </c>
      <c r="V468" s="1">
        <f t="shared" si="61"/>
        <v>2</v>
      </c>
      <c r="W468" s="1" t="str">
        <f t="shared" si="58"/>
        <v/>
      </c>
      <c r="X468" s="1">
        <v>0</v>
      </c>
      <c r="Y468" s="64" t="str">
        <f>IFERROR(INDEX(입력!$M$2:$M$500, MATCH($BO468, 입력!$Z$2:$Z$500, 0)) &amp; "", "")</f>
        <v/>
      </c>
      <c r="Z468" s="64" t="str">
        <f>IFERROR(INDEX(입력!$N$2:$N$500, MATCH($BO468, 입력!$Z$2:$Z$500, 0)) &amp; "", "")</f>
        <v/>
      </c>
      <c r="AA468" s="64">
        <f>MAX(0, 표1[[#This Row],[의무_시설]]-표1[[#This Row],[시설합]])</f>
        <v>2</v>
      </c>
      <c r="AB468" s="17" t="str">
        <f t="shared" si="62"/>
        <v>미이행</v>
      </c>
      <c r="AC468" s="64" t="str">
        <f>IFERROR(INDEX(입력!$P$2:$P$500, MATCH($BO468, 입력!$Z$2:$Z$500, 0)) &amp; "", "")</f>
        <v/>
      </c>
      <c r="AD468" s="64" t="str">
        <f>IFERROR(INDEX(입력!$Q$2:$Q$500, MATCH($BO468, 입력!$Z$2:$Z$500, 0)) &amp; "", "")</f>
        <v/>
      </c>
      <c r="AE468" s="64" t="str">
        <f>IFERROR(INDEX(입력!$R$2:$R$500, MATCH($BO468, 입력!$Z$2:$Z$500, 0)) &amp; "", "")</f>
        <v/>
      </c>
      <c r="AF468" s="64" t="str">
        <f>IFERROR(INDEX(입력!$S$2:$S$500, MATCH($BO468, 입력!$Z$2:$Z$500, 0)) &amp; "", "")</f>
        <v/>
      </c>
      <c r="AG468" s="64" t="str">
        <f>IFERROR(INDEX(입력!$T$2:$T$500, MATCH($BO468, 입력!$Z$2:$Z$500, 0)) &amp; "", "")</f>
        <v/>
      </c>
      <c r="AH468" s="64" t="str">
        <f>IFERROR(INDEX(입력!$U$2:$U$500, MATCH($BO468, 입력!$Z$2:$Z$500, 0)) &amp; "", "")</f>
        <v/>
      </c>
      <c r="AI468" s="64" t="str">
        <f>IFERROR(INDEX(입력!$V$2:$V$500, MATCH($BO468, 입력!$Z$2:$Z$500, 0)) &amp; "", "")</f>
        <v/>
      </c>
      <c r="AJ468" s="44" t="str">
        <f>IFERROR(INDEX(입력!$W$2:$W$500, MATCH($BO468, 입력!$Z$2:$Z$500, 0)) &amp; "", "")</f>
        <v/>
      </c>
      <c r="AK468" s="44" t="str">
        <f>IFERROR(INDEX(입력!$X$2:$X$500, MATCH($BO468, 입력!$Z$2:$Z$500, 0)) &amp; "", "")</f>
        <v/>
      </c>
      <c r="AL468" s="2"/>
      <c r="AM468" s="17"/>
      <c r="AN468" s="101"/>
      <c r="AO468" s="17"/>
      <c r="AP468" s="101"/>
      <c r="AQ468" s="101"/>
      <c r="AR468" s="119"/>
      <c r="AS468" s="109" t="s">
        <v>3324</v>
      </c>
      <c r="AT468" s="109">
        <v>46100</v>
      </c>
      <c r="AU468" s="101" t="s">
        <v>3126</v>
      </c>
      <c r="AV468" s="101" t="s">
        <v>3346</v>
      </c>
      <c r="AW468" s="101" t="s">
        <v>3345</v>
      </c>
      <c r="AX468" s="101" t="s">
        <v>3332</v>
      </c>
      <c r="AY468" s="83" t="s">
        <v>3137</v>
      </c>
      <c r="AZ468" s="71" t="str">
        <f>IFERROR(IF(INDEX(입력!$C$2:$C$500, MATCH($BO468, 입력!$Z$2:$Z$500, 0))="", "", TEXT(INDEX(입력!$C$2:$C$500, MATCH($BO468, 입력!$Z$2:$Z$500, 0)), "yyyy-mm-dd")), "")</f>
        <v/>
      </c>
      <c r="BA468" s="44" t="str">
        <f>IFERROR(INDEX(입력!$B$2:$B$500, MATCH($BO468, 입력!$Z$2:$Z$500, 0)) &amp; "", "")</f>
        <v/>
      </c>
      <c r="BB468" s="83" t="str">
        <f>IFERROR(INDEX(입력!$Y$2:$Y$500, MATCH($BO468, 입력!$Z$2:$Z$500, 0)) &amp; "", "")</f>
        <v/>
      </c>
      <c r="BC468" s="83" t="s">
        <v>3112</v>
      </c>
      <c r="BD468" s="83"/>
      <c r="BE468" s="101"/>
      <c r="BF468" s="101"/>
      <c r="BG468" s="101"/>
      <c r="BH468" s="101"/>
      <c r="BI468" s="101"/>
      <c r="BJ468" s="101"/>
      <c r="BK468" s="83"/>
      <c r="BL468" s="17"/>
      <c r="BM468" s="22"/>
      <c r="BN468" s="23"/>
      <c r="BO468" s="47" t="s">
        <v>1028</v>
      </c>
    </row>
    <row r="469" spans="1:67" s="34" customFormat="1" ht="16.5" customHeight="1" x14ac:dyDescent="0.45">
      <c r="A469" s="19">
        <v>468</v>
      </c>
      <c r="B469" s="1" t="s">
        <v>2271</v>
      </c>
      <c r="C469" s="17" t="str">
        <f t="shared" si="59"/>
        <v>미이행</v>
      </c>
      <c r="D469" s="17" t="str">
        <f t="shared" si="63"/>
        <v/>
      </c>
      <c r="E469" s="1" t="s">
        <v>2321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60"/>
        <v/>
      </c>
      <c r="N469" s="21" t="s">
        <v>1057</v>
      </c>
      <c r="O469" s="21"/>
      <c r="P469" s="1">
        <f t="shared" si="56"/>
        <v>8</v>
      </c>
      <c r="Q469" s="1">
        <v>0</v>
      </c>
      <c r="R469" s="64" t="str">
        <f>IFERROR(INDEX(입력!$J$2:$J$500, MATCH($BO469, 입력!$Z$2:$Z$500, 0)) &amp; "", "")</f>
        <v/>
      </c>
      <c r="S469" s="64" t="str">
        <f>IFERROR(INDEX(입력!$K$2:$K$500, MATCH($BO469, 입력!$Z$2:$Z$500, 0)) &amp; "", "")</f>
        <v/>
      </c>
      <c r="T469" s="64">
        <f>MAX(0, 표1[[#This Row],[의무_면수]]-표1[[#This Row],[면수합]])</f>
        <v>8</v>
      </c>
      <c r="U469" s="44" t="str">
        <f t="shared" si="57"/>
        <v>미이행</v>
      </c>
      <c r="V469" s="1">
        <f t="shared" si="61"/>
        <v>3</v>
      </c>
      <c r="W469" s="1" t="str">
        <f t="shared" si="58"/>
        <v/>
      </c>
      <c r="X469" s="1">
        <v>0</v>
      </c>
      <c r="Y469" s="64" t="str">
        <f>IFERROR(INDEX(입력!$M$2:$M$500, MATCH($BO469, 입력!$Z$2:$Z$500, 0)) &amp; "", "")</f>
        <v/>
      </c>
      <c r="Z469" s="64" t="str">
        <f>IFERROR(INDEX(입력!$N$2:$N$500, MATCH($BO469, 입력!$Z$2:$Z$500, 0)) &amp; "", "")</f>
        <v/>
      </c>
      <c r="AA469" s="64">
        <f>MAX(0, 표1[[#This Row],[의무_시설]]-표1[[#This Row],[시설합]])</f>
        <v>3</v>
      </c>
      <c r="AB469" s="17" t="str">
        <f t="shared" si="62"/>
        <v>미이행</v>
      </c>
      <c r="AC469" s="64" t="str">
        <f>IFERROR(INDEX(입력!$P$2:$P$500, MATCH($BO469, 입력!$Z$2:$Z$500, 0)) &amp; "", "")</f>
        <v/>
      </c>
      <c r="AD469" s="64" t="str">
        <f>IFERROR(INDEX(입력!$Q$2:$Q$500, MATCH($BO469, 입력!$Z$2:$Z$500, 0)) &amp; "", "")</f>
        <v/>
      </c>
      <c r="AE469" s="64" t="str">
        <f>IFERROR(INDEX(입력!$R$2:$R$500, MATCH($BO469, 입력!$Z$2:$Z$500, 0)) &amp; "", "")</f>
        <v/>
      </c>
      <c r="AF469" s="64" t="str">
        <f>IFERROR(INDEX(입력!$S$2:$S$500, MATCH($BO469, 입력!$Z$2:$Z$500, 0)) &amp; "", "")</f>
        <v/>
      </c>
      <c r="AG469" s="64" t="str">
        <f>IFERROR(INDEX(입력!$T$2:$T$500, MATCH($BO469, 입력!$Z$2:$Z$500, 0)) &amp; "", "")</f>
        <v/>
      </c>
      <c r="AH469" s="64" t="str">
        <f>IFERROR(INDEX(입력!$U$2:$U$500, MATCH($BO469, 입력!$Z$2:$Z$500, 0)) &amp; "", "")</f>
        <v/>
      </c>
      <c r="AI469" s="64" t="str">
        <f>IFERROR(INDEX(입력!$V$2:$V$500, MATCH($BO469, 입력!$Z$2:$Z$500, 0)) &amp; "", "")</f>
        <v/>
      </c>
      <c r="AJ469" s="44" t="str">
        <f>IFERROR(INDEX(입력!$W$2:$W$500, MATCH($BO469, 입력!$Z$2:$Z$500, 0)) &amp; "", "")</f>
        <v/>
      </c>
      <c r="AK469" s="44" t="str">
        <f>IFERROR(INDEX(입력!$X$2:$X$500, MATCH($BO469, 입력!$Z$2:$Z$500, 0)) &amp; "", "")</f>
        <v/>
      </c>
      <c r="AL469" s="2"/>
      <c r="AM469" s="17"/>
      <c r="AN469" s="101"/>
      <c r="AO469" s="17"/>
      <c r="AP469" s="101"/>
      <c r="AQ469" s="101"/>
      <c r="AR469" s="119"/>
      <c r="AS469" s="109" t="s">
        <v>3324</v>
      </c>
      <c r="AT469" s="109">
        <v>46100</v>
      </c>
      <c r="AU469" s="101" t="s">
        <v>3126</v>
      </c>
      <c r="AV469" s="101" t="s">
        <v>3346</v>
      </c>
      <c r="AW469" s="101" t="s">
        <v>3347</v>
      </c>
      <c r="AX469" s="101" t="s">
        <v>3332</v>
      </c>
      <c r="AY469" s="83" t="s">
        <v>3132</v>
      </c>
      <c r="AZ469" s="71" t="str">
        <f>IFERROR(IF(INDEX(입력!$C$2:$C$500, MATCH($BO469, 입력!$Z$2:$Z$500, 0))="", "", TEXT(INDEX(입력!$C$2:$C$500, MATCH($BO469, 입력!$Z$2:$Z$500, 0)), "yyyy-mm-dd")), "")</f>
        <v/>
      </c>
      <c r="BA469" s="44" t="str">
        <f>IFERROR(INDEX(입력!$B$2:$B$500, MATCH($BO469, 입력!$Z$2:$Z$500, 0)) &amp; "", "")</f>
        <v/>
      </c>
      <c r="BB469" s="83" t="str">
        <f>IFERROR(INDEX(입력!$Y$2:$Y$500, MATCH($BO469, 입력!$Z$2:$Z$500, 0)) &amp; "", "")</f>
        <v/>
      </c>
      <c r="BC469" s="83" t="s">
        <v>3112</v>
      </c>
      <c r="BD469" s="83"/>
      <c r="BE469" s="101"/>
      <c r="BF469" s="101"/>
      <c r="BG469" s="101"/>
      <c r="BH469" s="101"/>
      <c r="BI469" s="101"/>
      <c r="BJ469" s="101"/>
      <c r="BK469" s="83"/>
      <c r="BL469" s="17"/>
      <c r="BM469" s="22"/>
      <c r="BN469" s="23"/>
      <c r="BO469" s="47" t="s">
        <v>1030</v>
      </c>
    </row>
    <row r="470" spans="1:67" s="34" customFormat="1" ht="16.5" customHeight="1" x14ac:dyDescent="0.45">
      <c r="A470" s="46">
        <v>469</v>
      </c>
      <c r="B470" s="28" t="s">
        <v>2271</v>
      </c>
      <c r="C470" s="31" t="str">
        <f t="shared" si="59"/>
        <v>미이행</v>
      </c>
      <c r="D470" s="31" t="str">
        <f t="shared" si="63"/>
        <v/>
      </c>
      <c r="E470" s="28" t="s">
        <v>2322</v>
      </c>
      <c r="F470" s="5" t="s">
        <v>1031</v>
      </c>
      <c r="G470" s="5" t="s">
        <v>2323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60"/>
        <v>기축</v>
      </c>
      <c r="N470" s="30" t="s">
        <v>1057</v>
      </c>
      <c r="O470" s="30"/>
      <c r="P470" s="1">
        <f t="shared" si="56"/>
        <v>4</v>
      </c>
      <c r="Q470" s="1">
        <v>0</v>
      </c>
      <c r="R470" s="64" t="str">
        <f>IFERROR(INDEX(입력!$J$2:$J$500, MATCH($BO470, 입력!$Z$2:$Z$500, 0)) &amp; "", "")</f>
        <v/>
      </c>
      <c r="S470" s="64" t="str">
        <f>IFERROR(INDEX(입력!$K$2:$K$500, MATCH($BO470, 입력!$Z$2:$Z$500, 0)) &amp; "", "")</f>
        <v/>
      </c>
      <c r="T470" s="64">
        <f>MAX(0, 표1[[#This Row],[의무_면수]]-표1[[#This Row],[면수합]])</f>
        <v>4</v>
      </c>
      <c r="U470" s="44" t="str">
        <f t="shared" si="57"/>
        <v>미이행</v>
      </c>
      <c r="V470" s="1">
        <f t="shared" si="61"/>
        <v>2</v>
      </c>
      <c r="W470" s="1" t="str">
        <f t="shared" si="58"/>
        <v/>
      </c>
      <c r="X470" s="1">
        <v>0</v>
      </c>
      <c r="Y470" s="64" t="str">
        <f>IFERROR(INDEX(입력!$M$2:$M$500, MATCH($BO470, 입력!$Z$2:$Z$500, 0)) &amp; "", "")</f>
        <v/>
      </c>
      <c r="Z470" s="64" t="str">
        <f>IFERROR(INDEX(입력!$N$2:$N$500, MATCH($BO470, 입력!$Z$2:$Z$500, 0)) &amp; "", "")</f>
        <v/>
      </c>
      <c r="AA470" s="64">
        <f>MAX(0, 표1[[#This Row],[의무_시설]]-표1[[#This Row],[시설합]])</f>
        <v>2</v>
      </c>
      <c r="AB470" s="17" t="str">
        <f t="shared" si="62"/>
        <v>미이행</v>
      </c>
      <c r="AC470" s="64" t="str">
        <f>IFERROR(INDEX(입력!$P$2:$P$500, MATCH($BO470, 입력!$Z$2:$Z$500, 0)) &amp; "", "")</f>
        <v/>
      </c>
      <c r="AD470" s="64" t="str">
        <f>IFERROR(INDEX(입력!$Q$2:$Q$500, MATCH($BO470, 입력!$Z$2:$Z$500, 0)) &amp; "", "")</f>
        <v/>
      </c>
      <c r="AE470" s="64" t="str">
        <f>IFERROR(INDEX(입력!$R$2:$R$500, MATCH($BO470, 입력!$Z$2:$Z$500, 0)) &amp; "", "")</f>
        <v/>
      </c>
      <c r="AF470" s="64" t="str">
        <f>IFERROR(INDEX(입력!$S$2:$S$500, MATCH($BO470, 입력!$Z$2:$Z$500, 0)) &amp; "", "")</f>
        <v/>
      </c>
      <c r="AG470" s="64" t="str">
        <f>IFERROR(INDEX(입력!$T$2:$T$500, MATCH($BO470, 입력!$Z$2:$Z$500, 0)) &amp; "", "")</f>
        <v/>
      </c>
      <c r="AH470" s="64" t="str">
        <f>IFERROR(INDEX(입력!$U$2:$U$500, MATCH($BO470, 입력!$Z$2:$Z$500, 0)) &amp; "", "")</f>
        <v/>
      </c>
      <c r="AI470" s="64" t="str">
        <f>IFERROR(INDEX(입력!$V$2:$V$500, MATCH($BO470, 입력!$Z$2:$Z$500, 0)) &amp; "", "")</f>
        <v/>
      </c>
      <c r="AJ470" s="44" t="str">
        <f>IFERROR(INDEX(입력!$W$2:$W$500, MATCH($BO470, 입력!$Z$2:$Z$500, 0)) &amp; "", "")</f>
        <v/>
      </c>
      <c r="AK470" s="44" t="str">
        <f>IFERROR(INDEX(입력!$X$2:$X$500, MATCH($BO470, 입력!$Z$2:$Z$500, 0)) &amp; "", "")</f>
        <v/>
      </c>
      <c r="AL470" s="5"/>
      <c r="AM470" s="31"/>
      <c r="AN470" s="123"/>
      <c r="AO470" s="31"/>
      <c r="AP470" s="123"/>
      <c r="AQ470" s="123"/>
      <c r="AR470" s="122"/>
      <c r="AS470" s="109" t="s">
        <v>3325</v>
      </c>
      <c r="AT470" s="109">
        <v>46100</v>
      </c>
      <c r="AU470" s="101" t="s">
        <v>3126</v>
      </c>
      <c r="AV470" s="101" t="s">
        <v>3346</v>
      </c>
      <c r="AW470" s="101" t="s">
        <v>3345</v>
      </c>
      <c r="AX470" s="101" t="s">
        <v>3328</v>
      </c>
      <c r="AY470" s="83" t="s">
        <v>3131</v>
      </c>
      <c r="AZ470" s="71" t="str">
        <f>IFERROR(IF(INDEX(입력!$C$2:$C$500, MATCH($BO470, 입력!$Z$2:$Z$500, 0))="", "", TEXT(INDEX(입력!$C$2:$C$500, MATCH($BO470, 입력!$Z$2:$Z$500, 0)), "yyyy-mm-dd")), "")</f>
        <v/>
      </c>
      <c r="BA470" s="44" t="str">
        <f>IFERROR(INDEX(입력!$B$2:$B$500, MATCH($BO470, 입력!$Z$2:$Z$500, 0)) &amp; "", "")</f>
        <v/>
      </c>
      <c r="BB470" s="83" t="str">
        <f>IFERROR(INDEX(입력!$Y$2:$Y$500, MATCH($BO470, 입력!$Z$2:$Z$500, 0)) &amp; "", "")</f>
        <v/>
      </c>
      <c r="BC470" s="83" t="s">
        <v>3112</v>
      </c>
      <c r="BD470" s="102"/>
      <c r="BE470" s="123"/>
      <c r="BF470" s="123"/>
      <c r="BG470" s="123"/>
      <c r="BH470" s="123"/>
      <c r="BI470" s="123"/>
      <c r="BJ470" s="123"/>
      <c r="BK470" s="102"/>
      <c r="BL470" s="31"/>
      <c r="BM470" s="32"/>
      <c r="BN470" s="50"/>
      <c r="BO470" s="51" t="s">
        <v>1032</v>
      </c>
    </row>
    <row r="471" spans="1:67" x14ac:dyDescent="0.45">
      <c r="A471" s="19">
        <v>470</v>
      </c>
      <c r="B471" s="28" t="s">
        <v>1647</v>
      </c>
      <c r="C471" s="31" t="str">
        <f t="shared" si="59"/>
        <v>이행완료</v>
      </c>
      <c r="D471" s="31" t="str">
        <f t="shared" si="63"/>
        <v>조사완료</v>
      </c>
      <c r="E471" s="28" t="s">
        <v>2399</v>
      </c>
      <c r="F471" s="28" t="s">
        <v>2576</v>
      </c>
      <c r="G471" s="65" t="s">
        <v>1884</v>
      </c>
      <c r="H471" s="49" t="s">
        <v>1335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2396</v>
      </c>
      <c r="O471" s="30"/>
      <c r="P471" s="1">
        <f t="shared" si="56"/>
        <v>7</v>
      </c>
      <c r="Q471" s="28">
        <v>7</v>
      </c>
      <c r="R471" s="64" t="str">
        <f>IFERROR(INDEX(입력!$J$2:$J$500, MATCH($BO471, 입력!$Z$2:$Z$500, 0)) &amp; "", "")</f>
        <v>7</v>
      </c>
      <c r="S471" s="64" t="str">
        <f>IFERROR(INDEX(입력!$K$2:$K$500, MATCH($BO471, 입력!$Z$2:$Z$500, 0)) &amp; "", "")</f>
        <v/>
      </c>
      <c r="T471" s="64">
        <f>MAX(0, 표1[[#This Row],[의무_면수]]-표1[[#This Row],[면수합]])</f>
        <v>0</v>
      </c>
      <c r="U471" s="66" t="str">
        <f t="shared" si="57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28" t="str">
        <f t="shared" si="58"/>
        <v/>
      </c>
      <c r="X471" s="28">
        <v>3</v>
      </c>
      <c r="Y471" s="64" t="str">
        <f>IFERROR(INDEX(입력!$M$2:$M$500, MATCH($BO471, 입력!$Z$2:$Z$500, 0)) &amp; "", "")</f>
        <v/>
      </c>
      <c r="Z471" s="64" t="str">
        <f>IFERROR(INDEX(입력!$N$2:$N$500, MATCH($BO471, 입력!$Z$2:$Z$500, 0)) &amp; "", "")</f>
        <v>3</v>
      </c>
      <c r="AA471" s="64">
        <f>MAX(0, 표1[[#This Row],[의무_시설]]-표1[[#This Row],[시설합]])</f>
        <v>0</v>
      </c>
      <c r="AB471" s="66" t="str">
        <f>IF(OR(V471="", X471=""), "", IF(X471 &gt;= V471, "이행완료", "미이행"))</f>
        <v>이행완료</v>
      </c>
      <c r="AC471" s="64" t="str">
        <f>IFERROR(INDEX(입력!$P$2:$P$500, MATCH($BO471, 입력!$Z$2:$Z$500, 0)) &amp; "", "")</f>
        <v>476</v>
      </c>
      <c r="AD471" s="64" t="str">
        <f>IFERROR(INDEX(입력!$Q$2:$Q$500, MATCH($BO471, 입력!$Z$2:$Z$500, 0)) &amp; "", "")</f>
        <v>1</v>
      </c>
      <c r="AE471" s="64" t="str">
        <f>IFERROR(INDEX(입력!$R$2:$R$500, MATCH($BO471, 입력!$Z$2:$Z$500, 0)) &amp; "", "")</f>
        <v>여</v>
      </c>
      <c r="AF471" s="64" t="str">
        <f>IFERROR(INDEX(입력!$S$2:$S$500, MATCH($BO471, 입력!$Z$2:$Z$500, 0)) &amp; "", "")</f>
        <v>여</v>
      </c>
      <c r="AG471" s="64" t="str">
        <f>IFERROR(INDEX(입력!$T$2:$T$500, MATCH($BO471, 입력!$Z$2:$Z$500, 0)) &amp; "", "")</f>
        <v>부</v>
      </c>
      <c r="AH471" s="64" t="str">
        <f>IFERROR(INDEX(입력!$U$2:$U$500, MATCH($BO471, 입력!$Z$2:$Z$500, 0)) &amp; "", "")</f>
        <v/>
      </c>
      <c r="AI471" s="64" t="str">
        <f>IFERROR(INDEX(입력!$V$2:$V$500, MATCH($BO471, 입력!$Z$2:$Z$500, 0)) &amp; "", "")</f>
        <v>여</v>
      </c>
      <c r="AJ471" s="44" t="str">
        <f>IFERROR(INDEX(입력!$W$2:$W$500, MATCH($BO471, 입력!$Z$2:$Z$500, 0)) &amp; "", "")</f>
        <v>김주일</v>
      </c>
      <c r="AK471" s="44" t="str">
        <f>IFERROR(INDEX(입력!$X$2:$X$500, MATCH($BO471, 입력!$Z$2:$Z$500, 0)) &amp; "", "")</f>
        <v>952-0571</v>
      </c>
      <c r="AL471" s="28" t="s">
        <v>2404</v>
      </c>
      <c r="AM471" s="17" t="s">
        <v>1650</v>
      </c>
      <c r="AN471" s="101">
        <v>2025</v>
      </c>
      <c r="AO471" s="17" t="s">
        <v>3274</v>
      </c>
      <c r="AP471" s="123"/>
      <c r="AQ471" s="123"/>
      <c r="AR471" s="122" t="s">
        <v>3348</v>
      </c>
      <c r="AS471" s="114" t="s">
        <v>3289</v>
      </c>
      <c r="AT471" s="109">
        <v>46034</v>
      </c>
      <c r="AU471" s="101" t="s">
        <v>3141</v>
      </c>
      <c r="AV471" s="123"/>
      <c r="AW471" s="123"/>
      <c r="AX471" s="123" t="s">
        <v>3349</v>
      </c>
      <c r="AY471" s="83" t="s">
        <v>3131</v>
      </c>
      <c r="AZ471" s="71" t="str">
        <f>IFERROR(IF(INDEX(입력!$C$2:$C$500, MATCH($BO471, 입력!$Z$2:$Z$500, 0))="", "", TEXT(INDEX(입력!$C$2:$C$500, MATCH($BO471, 입력!$Z$2:$Z$500, 0)), "yyyy-mm-dd")), "")</f>
        <v>2026-04-13</v>
      </c>
      <c r="BA471" s="44" t="str">
        <f>IFERROR(INDEX(입력!$B$2:$B$500, MATCH($BO471, 입력!$Z$2:$Z$500, 0)) &amp; "", "")</f>
        <v>이승수</v>
      </c>
      <c r="BB471" s="83" t="str">
        <f>IFERROR(INDEX(입력!$Y$2:$Y$500, MATCH($BO471, 입력!$Z$2:$Z$500, 0)) &amp; "", "")</f>
        <v/>
      </c>
      <c r="BC471" s="83" t="s">
        <v>3145</v>
      </c>
      <c r="BD471" s="102"/>
      <c r="BE471" s="123" t="s">
        <v>1060</v>
      </c>
      <c r="BF471" s="146">
        <v>46162</v>
      </c>
      <c r="BG471" s="123" t="s">
        <v>1089</v>
      </c>
      <c r="BH471" s="123" t="s">
        <v>3999</v>
      </c>
      <c r="BI471" s="123" t="s">
        <v>4000</v>
      </c>
      <c r="BJ471" s="123"/>
      <c r="BK471" s="125"/>
      <c r="BL471" s="21" t="s">
        <v>2410</v>
      </c>
      <c r="BM471" s="67">
        <v>131</v>
      </c>
      <c r="BN471" s="50"/>
      <c r="BO471" s="68" t="s">
        <v>2405</v>
      </c>
    </row>
    <row r="472" spans="1:67" x14ac:dyDescent="0.45">
      <c r="A472" s="46">
        <v>471</v>
      </c>
      <c r="B472" s="28" t="s">
        <v>1647</v>
      </c>
      <c r="C472" s="31" t="str">
        <f t="shared" si="59"/>
        <v>이행완료</v>
      </c>
      <c r="D472" s="31" t="str">
        <f t="shared" si="63"/>
        <v>조사완료</v>
      </c>
      <c r="E472" s="28" t="s">
        <v>2406</v>
      </c>
      <c r="F472" s="28" t="s">
        <v>2407</v>
      </c>
      <c r="G472" s="28" t="s">
        <v>2408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3105</v>
      </c>
      <c r="P472" s="1">
        <f t="shared" si="56"/>
        <v>10</v>
      </c>
      <c r="Q472" s="28">
        <v>24</v>
      </c>
      <c r="R472" s="64" t="str">
        <f>IFERROR(INDEX(입력!$J$2:$J$500, MATCH($BO472, 입력!$Z$2:$Z$500, 0)) &amp; "", "")</f>
        <v/>
      </c>
      <c r="S472" s="64" t="str">
        <f>IFERROR(INDEX(입력!$K$2:$K$500, MATCH($BO472, 입력!$Z$2:$Z$500, 0)) &amp; "", "")</f>
        <v>24</v>
      </c>
      <c r="T472" s="64">
        <f>MAX(0, 표1[[#This Row],[의무_면수]]-표1[[#This Row],[면수합]])</f>
        <v>0</v>
      </c>
      <c r="U472" s="66" t="str">
        <f t="shared" si="57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28" t="str">
        <f t="shared" si="58"/>
        <v/>
      </c>
      <c r="X472" s="28">
        <v>24</v>
      </c>
      <c r="Y472" s="64" t="str">
        <f>IFERROR(INDEX(입력!$M$2:$M$500, MATCH($BO472, 입력!$Z$2:$Z$500, 0)) &amp; "", "")</f>
        <v>1</v>
      </c>
      <c r="Z472" s="64" t="str">
        <f>IFERROR(INDEX(입력!$N$2:$N$500, MATCH($BO472, 입력!$Z$2:$Z$500, 0)) &amp; "", "")</f>
        <v>23</v>
      </c>
      <c r="AA472" s="64">
        <f>MAX(0, 표1[[#This Row],[의무_시설]]-표1[[#This Row],[시설합]])</f>
        <v>0</v>
      </c>
      <c r="AB472" s="66" t="str">
        <f>IF(OR(V472="", X472=""), "", IF(X472 &gt;= V472, "이행완료", "미이행"))</f>
        <v>이행완료</v>
      </c>
      <c r="AC472" s="64" t="str">
        <f>IFERROR(INDEX(입력!$P$2:$P$500, MATCH($BO472, 입력!$Z$2:$Z$500, 0)) &amp; "", "")</f>
        <v>396</v>
      </c>
      <c r="AD472" s="64" t="str">
        <f>IFERROR(INDEX(입력!$Q$2:$Q$500, MATCH($BO472, 입력!$Z$2:$Z$500, 0)) &amp; "", "")</f>
        <v>19</v>
      </c>
      <c r="AE472" s="64" t="str">
        <f>IFERROR(INDEX(입력!$R$2:$R$500, MATCH($BO472, 입력!$Z$2:$Z$500, 0)) &amp; "", "")</f>
        <v>여</v>
      </c>
      <c r="AF472" s="64" t="str">
        <f>IFERROR(INDEX(입력!$S$2:$S$500, MATCH($BO472, 입력!$Z$2:$Z$500, 0)) &amp; "", "")</f>
        <v>여</v>
      </c>
      <c r="AG472" s="64" t="str">
        <f>IFERROR(INDEX(입력!$T$2:$T$500, MATCH($BO472, 입력!$Z$2:$Z$500, 0)) &amp; "", "")</f>
        <v>부</v>
      </c>
      <c r="AH472" s="64" t="str">
        <f>IFERROR(INDEX(입력!$U$2:$U$500, MATCH($BO472, 입력!$Z$2:$Z$500, 0)) &amp; "", "")</f>
        <v/>
      </c>
      <c r="AI472" s="64" t="str">
        <f>IFERROR(INDEX(입력!$V$2:$V$500, MATCH($BO472, 입력!$Z$2:$Z$500, 0)) &amp; "", "")</f>
        <v>여</v>
      </c>
      <c r="AJ472" s="44" t="str">
        <f>IFERROR(INDEX(입력!$W$2:$W$500, MATCH($BO472, 입력!$Z$2:$Z$500, 0)) &amp; "", "")</f>
        <v>김사인</v>
      </c>
      <c r="AK472" s="44" t="str">
        <f>IFERROR(INDEX(입력!$X$2:$X$500, MATCH($BO472, 입력!$Z$2:$Z$500, 0)) &amp; "", "")</f>
        <v>010-2209-1538</v>
      </c>
      <c r="AL472" s="28" t="s">
        <v>2429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3137</v>
      </c>
      <c r="AZ472" s="71" t="str">
        <f>IFERROR(IF(INDEX(입력!$C$2:$C$500, MATCH($BO472, 입력!$Z$2:$Z$500, 0))="", "", TEXT(INDEX(입력!$C$2:$C$500, MATCH($BO472, 입력!$Z$2:$Z$500, 0)), "yyyy-mm-dd")), "")</f>
        <v>2026-04-13</v>
      </c>
      <c r="BA472" s="44" t="str">
        <f>IFERROR(INDEX(입력!$B$2:$B$500, MATCH($BO472, 입력!$Z$2:$Z$500, 0)) &amp; "", "")</f>
        <v>이승수</v>
      </c>
      <c r="BB472" s="83" t="str">
        <f>IFERROR(INDEX(입력!$Y$2:$Y$500, MATCH($BO472, 입력!$Z$2:$Z$500, 0)) &amp; "", "")</f>
        <v/>
      </c>
      <c r="BC472" s="83" t="s">
        <v>3112</v>
      </c>
      <c r="BD472" s="102"/>
      <c r="BE472" s="123"/>
      <c r="BF472" s="123"/>
      <c r="BG472" s="123"/>
      <c r="BH472" s="123"/>
      <c r="BI472" s="123"/>
      <c r="BJ472" s="123"/>
      <c r="BK472" s="125"/>
      <c r="BL472" s="21" t="s">
        <v>3102</v>
      </c>
      <c r="BM472" s="67"/>
      <c r="BN472" s="50"/>
      <c r="BO472" s="68" t="s">
        <v>2409</v>
      </c>
    </row>
    <row r="473" spans="1:67" x14ac:dyDescent="0.45">
      <c r="A473" s="46">
        <v>472</v>
      </c>
      <c r="B473" s="1" t="s">
        <v>3382</v>
      </c>
      <c r="C473" s="17" t="str">
        <f>IF(OR(U473="", AB473=""), "", IF(AND(U473="이행완료", AB473="이행완료"), "이행완료", "미이행"))</f>
        <v>미이행</v>
      </c>
      <c r="D473" s="17" t="str">
        <f t="shared" si="63"/>
        <v/>
      </c>
      <c r="E473" s="1" t="s">
        <v>3383</v>
      </c>
      <c r="F473" s="2" t="s">
        <v>3384</v>
      </c>
      <c r="G473" s="2" t="s">
        <v>3872</v>
      </c>
      <c r="H473" s="18" t="s">
        <v>3385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MATCH($BO473, 입력!$Z$2:$Z$500, 0)) &amp; "", "")</f>
        <v/>
      </c>
      <c r="S473" s="64" t="str">
        <f>IFERROR(INDEX(입력!$K$2:$K$500, MATCH($BO473,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34" t="str">
        <f>IF(OR(M473="", V473&lt;5), "", IF(OR(M473="신축", B473&lt;&gt;"공동주택"), 1, ""))</f>
        <v/>
      </c>
      <c r="X473" s="1">
        <v>0</v>
      </c>
      <c r="Y473" s="64" t="str">
        <f>IFERROR(INDEX(입력!$M$2:$M$500, MATCH($BO473, 입력!$Z$2:$Z$500, 0)) &amp; "", "")</f>
        <v/>
      </c>
      <c r="Z473" s="64" t="str">
        <f>IFERROR(INDEX(입력!$N$2:$N$500, MATCH($BO473, 입력!$Z$2:$Z$500, 0)) &amp; "", "")</f>
        <v/>
      </c>
      <c r="AA473" s="64">
        <f>MAX(0, 표1[[#This Row],[의무_시설]]-표1[[#This Row],[시설합]])</f>
        <v>1</v>
      </c>
      <c r="AB473" s="44" t="str">
        <f>IF(OR(V473="", X473=""), "", IF(X473 &gt;= V473, "이행완료", "미이행"))</f>
        <v>미이행</v>
      </c>
      <c r="AC473" s="137" t="str">
        <f>IFERROR(INDEX(입력!$P$2:$P$500, MATCH($BO473, 입력!$Z$2:$Z$500, 0)) &amp; "", "")</f>
        <v/>
      </c>
      <c r="AD473" s="137" t="str">
        <f>IFERROR(INDEX(입력!$Q$2:$Q$500, MATCH($BO473, 입력!$Z$2:$Z$500, 0)) &amp; "", "")</f>
        <v/>
      </c>
      <c r="AE473" s="138" t="str">
        <f>IFERROR(INDEX(입력!$R$2:$R$500, MATCH($BO473, 입력!$Z$2:$Z$500, 0)) &amp; "", "")</f>
        <v/>
      </c>
      <c r="AF473" s="138" t="str">
        <f>IFERROR(INDEX(입력!$S$2:$S$500, MATCH($BO473, 입력!$Z$2:$Z$500, 0)) &amp; "", "")</f>
        <v/>
      </c>
      <c r="AG473" s="138" t="str">
        <f>IFERROR(INDEX(입력!$T$2:$T$500, MATCH($BO473, 입력!$Z$2:$Z$500, 0)) &amp; "", "")</f>
        <v/>
      </c>
      <c r="AH473" s="137" t="str">
        <f>IFERROR(INDEX(입력!$U$2:$U$500, MATCH($BO473, 입력!$Z$2:$Z$500, 0)) &amp; "", "")</f>
        <v/>
      </c>
      <c r="AI473" s="138" t="str">
        <f>IFERROR(INDEX(입력!$V$2:$V$500, MATCH($BO473, 입력!$Z$2:$Z$500, 0)) &amp; "", "")</f>
        <v/>
      </c>
      <c r="AJ473" s="44" t="str">
        <f>IFERROR(INDEX(입력!$W$2:$W$500, MATCH($BO473, 입력!$Z$2:$Z$500, 0)) &amp; "", "")</f>
        <v/>
      </c>
      <c r="AK473" s="44" t="str">
        <f>IFERROR(INDEX(입력!$X$2:$X$500, MATCH($BO473, 입력!$Z$2:$Z$500, 0)) &amp; "", "")</f>
        <v/>
      </c>
      <c r="AL473" s="1" t="s">
        <v>3864</v>
      </c>
      <c r="AM473" s="44" t="s">
        <v>3865</v>
      </c>
      <c r="AN473" s="113">
        <v>46155</v>
      </c>
      <c r="AO473" s="44" t="s">
        <v>3866</v>
      </c>
      <c r="AP473" s="102" t="s">
        <v>3867</v>
      </c>
      <c r="AQ473" s="102" t="s">
        <v>3868</v>
      </c>
      <c r="AR473" s="139" t="s">
        <v>3869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MATCH($BO473, 입력!$Z$2:$Z$500, 0))="", "", TEXT(INDEX(입력!$C$2:$C$500, MATCH($BO473, 입력!$Z$2:$Z$500, 0)), "yyyy-mm-dd")), "")</f>
        <v/>
      </c>
      <c r="BA473" s="44" t="str">
        <f>IFERROR(INDEX(입력!$B$2:$B$500, MATCH($BO473, 입력!$Z$2:$Z$500, 0)) &amp; "", "")</f>
        <v/>
      </c>
      <c r="BB473" s="102" t="str">
        <f>IFERROR(INDEX(입력!$Y$2:$Y$500, MATCH($BO473, 입력!$Z$2:$Z$500, 0)) &amp; "", "")</f>
        <v/>
      </c>
      <c r="BC473" s="83" t="s">
        <v>3386</v>
      </c>
      <c r="BD473" s="102"/>
      <c r="BE473" s="102"/>
      <c r="BF473" s="102"/>
      <c r="BG473" s="102" t="s">
        <v>1059</v>
      </c>
      <c r="BH473" s="102" t="s">
        <v>3387</v>
      </c>
      <c r="BI473" s="102"/>
      <c r="BJ473" s="102"/>
      <c r="BK473" s="102" t="s">
        <v>3871</v>
      </c>
      <c r="BL473" s="44" t="s">
        <v>3870</v>
      </c>
      <c r="BM473" s="67">
        <v>352</v>
      </c>
      <c r="BN473" s="27" t="s">
        <v>3843</v>
      </c>
      <c r="BO473" s="140" t="s">
        <v>3388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70" activePane="bottomLeft" state="frozen"/>
      <selection pane="bottomLeft" activeCell="O89" sqref="O89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2707</v>
      </c>
      <c r="B1" s="80" t="s">
        <v>2615</v>
      </c>
      <c r="C1" s="80" t="s">
        <v>2616</v>
      </c>
      <c r="D1" s="77" t="s">
        <v>2617</v>
      </c>
      <c r="E1" s="77" t="s">
        <v>2618</v>
      </c>
      <c r="F1" s="77" t="s">
        <v>2619</v>
      </c>
      <c r="G1" s="78" t="s">
        <v>2786</v>
      </c>
      <c r="H1" s="78" t="s">
        <v>2787</v>
      </c>
      <c r="I1" s="78" t="s">
        <v>2788</v>
      </c>
      <c r="J1" s="79" t="s">
        <v>2789</v>
      </c>
      <c r="K1" s="79" t="s">
        <v>2790</v>
      </c>
      <c r="L1" s="77" t="s">
        <v>2620</v>
      </c>
      <c r="M1" s="79" t="s">
        <v>2791</v>
      </c>
      <c r="N1" s="79" t="s">
        <v>2792</v>
      </c>
      <c r="O1" s="77" t="s">
        <v>2621</v>
      </c>
      <c r="P1" s="80" t="s">
        <v>2622</v>
      </c>
      <c r="Q1" s="79" t="s">
        <v>2797</v>
      </c>
      <c r="R1" s="80" t="s">
        <v>2793</v>
      </c>
      <c r="S1" s="80" t="s">
        <v>2794</v>
      </c>
      <c r="T1" s="80" t="s">
        <v>2795</v>
      </c>
      <c r="U1" s="80" t="s">
        <v>2623</v>
      </c>
      <c r="V1" s="80" t="s">
        <v>2796</v>
      </c>
      <c r="W1" s="81" t="s">
        <v>2708</v>
      </c>
      <c r="X1" s="82" t="s">
        <v>2624</v>
      </c>
      <c r="Y1" s="80" t="s">
        <v>2709</v>
      </c>
      <c r="Z1" s="77" t="s">
        <v>2710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2711</v>
      </c>
      <c r="E2" s="75" t="s">
        <v>2712</v>
      </c>
      <c r="F2" s="74"/>
      <c r="G2" s="73" t="s">
        <v>2625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2390</v>
      </c>
      <c r="X2" s="75" t="s">
        <v>64</v>
      </c>
      <c r="Y2" s="75"/>
      <c r="Z2" s="73" t="s">
        <v>3097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2626</v>
      </c>
      <c r="E3" s="75" t="s">
        <v>2713</v>
      </c>
      <c r="F3" s="74"/>
      <c r="G3" s="73" t="s">
        <v>2627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2343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2628</v>
      </c>
      <c r="E4" s="75" t="s">
        <v>2629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2346</v>
      </c>
      <c r="X4" s="75" t="s">
        <v>1766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2630</v>
      </c>
      <c r="E5" s="75" t="s">
        <v>2631</v>
      </c>
      <c r="F5" s="74"/>
      <c r="G5" s="73" t="s">
        <v>2632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2357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2633</v>
      </c>
      <c r="E6" s="75" t="s">
        <v>2714</v>
      </c>
      <c r="F6" s="74"/>
      <c r="G6" s="73" t="s">
        <v>2634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1885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2635</v>
      </c>
      <c r="E7" s="75" t="s">
        <v>2636</v>
      </c>
      <c r="F7" s="74"/>
      <c r="G7" s="73" t="s">
        <v>2637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2359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2638</v>
      </c>
      <c r="E8" s="75" t="s">
        <v>2639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2365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2640</v>
      </c>
      <c r="E9" s="75" t="s">
        <v>2715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2059</v>
      </c>
      <c r="Y9" s="75" t="s">
        <v>3073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2716</v>
      </c>
      <c r="F10" s="74"/>
      <c r="G10" s="73" t="s">
        <v>2641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2374</v>
      </c>
      <c r="X10" s="75" t="s">
        <v>2375</v>
      </c>
      <c r="Y10" s="75" t="s">
        <v>3074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2717</v>
      </c>
      <c r="F11" s="74"/>
      <c r="G11" s="73" t="s">
        <v>2642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2643</v>
      </c>
      <c r="E12" s="75" t="s">
        <v>2718</v>
      </c>
      <c r="F12" s="74">
        <v>39961</v>
      </c>
      <c r="G12" s="73" t="s">
        <v>2644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2376</v>
      </c>
      <c r="Y12" s="75" t="s">
        <v>3075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2645</v>
      </c>
      <c r="E13" s="75" t="s">
        <v>2719</v>
      </c>
      <c r="F13" s="74"/>
      <c r="G13" s="73" t="s">
        <v>2646</v>
      </c>
      <c r="H13" s="73" t="s">
        <v>2647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3076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2648</v>
      </c>
      <c r="E14" s="75" t="s">
        <v>2720</v>
      </c>
      <c r="F14" s="74">
        <v>39798</v>
      </c>
      <c r="G14" s="73" t="s">
        <v>2649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2349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2650</v>
      </c>
      <c r="E15" s="75" t="s">
        <v>2721</v>
      </c>
      <c r="F15" s="74"/>
      <c r="G15" s="73" t="s">
        <v>2651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1683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2652</v>
      </c>
      <c r="E16" s="75" t="s">
        <v>2722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2372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2653</v>
      </c>
      <c r="E17" s="75" t="s">
        <v>2723</v>
      </c>
      <c r="F17" s="74"/>
      <c r="G17" s="73" t="s">
        <v>2654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2391</v>
      </c>
      <c r="X17" s="75" t="s">
        <v>2392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2655</v>
      </c>
      <c r="E18" s="75" t="s">
        <v>2724</v>
      </c>
      <c r="F18" s="74"/>
      <c r="G18" s="73" t="s">
        <v>2656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2373</v>
      </c>
      <c r="X18" s="75" t="s">
        <v>2053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2725</v>
      </c>
      <c r="E19" s="75" t="s">
        <v>2726</v>
      </c>
      <c r="F19" s="74"/>
      <c r="G19" s="73" t="s">
        <v>2657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2351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2658</v>
      </c>
      <c r="E20" s="75" t="s">
        <v>2727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2370</v>
      </c>
      <c r="X20" s="75" t="s">
        <v>2033</v>
      </c>
      <c r="Y20" s="75" t="s">
        <v>3077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2728</v>
      </c>
      <c r="E21" s="75" t="s">
        <v>2729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2381</v>
      </c>
      <c r="X21" s="75" t="s">
        <v>2095</v>
      </c>
      <c r="Y21" s="75" t="s">
        <v>3078</v>
      </c>
      <c r="Z21" s="73" t="s">
        <v>2730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2731</v>
      </c>
      <c r="E22" s="75" t="s">
        <v>2732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2377</v>
      </c>
      <c r="X22" s="75" t="s">
        <v>2080</v>
      </c>
      <c r="Y22" s="75" t="s">
        <v>3079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2659</v>
      </c>
      <c r="E23" s="75" t="s">
        <v>2733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2361</v>
      </c>
      <c r="X23" s="75" t="s">
        <v>1920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2660</v>
      </c>
      <c r="E24" s="75" t="s">
        <v>2661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2380</v>
      </c>
      <c r="X24" s="75" t="s">
        <v>2091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2734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2379</v>
      </c>
      <c r="X25" s="75" t="s">
        <v>110</v>
      </c>
      <c r="Y25" s="75" t="s">
        <v>3080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2662</v>
      </c>
      <c r="E26" s="75" t="s">
        <v>2735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2040</v>
      </c>
      <c r="Y26" s="75" t="s">
        <v>3081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2663</v>
      </c>
      <c r="E27" s="75" t="s">
        <v>2736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2371</v>
      </c>
      <c r="Y27" s="75" t="s">
        <v>3082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2664</v>
      </c>
      <c r="E28" s="75" t="s">
        <v>2737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2360</v>
      </c>
      <c r="X28" s="75" t="s">
        <v>1906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2665</v>
      </c>
      <c r="E29" s="75" t="s">
        <v>2738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2350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2739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2378</v>
      </c>
      <c r="X30" s="75" t="s">
        <v>2082</v>
      </c>
      <c r="Y30" s="75" t="s">
        <v>3083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2666</v>
      </c>
      <c r="E31" s="75" t="s">
        <v>2740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2344</v>
      </c>
      <c r="X31" s="75" t="s">
        <v>2345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2741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2366</v>
      </c>
      <c r="X32" s="75" t="s">
        <v>116</v>
      </c>
      <c r="Y32" s="75" t="s">
        <v>3084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2742</v>
      </c>
      <c r="E33" s="75" t="s">
        <v>2743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2364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2667</v>
      </c>
      <c r="E34" s="75" t="s">
        <v>2744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2162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2745</v>
      </c>
      <c r="E35" s="75" t="s">
        <v>2746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2358</v>
      </c>
      <c r="X35" s="75" t="s">
        <v>1879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2668</v>
      </c>
      <c r="E36" s="75" t="s">
        <v>2747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2348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2669</v>
      </c>
      <c r="E37" s="75" t="s">
        <v>2670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2347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2748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2355</v>
      </c>
      <c r="X38" s="75" t="s">
        <v>2356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2749</v>
      </c>
      <c r="E39" s="75" t="s">
        <v>2671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2362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2750</v>
      </c>
      <c r="E40" s="75" t="s">
        <v>2751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2752</v>
      </c>
      <c r="X40" s="75" t="s">
        <v>2672</v>
      </c>
      <c r="Y40" s="75"/>
      <c r="Z40" s="73" t="s">
        <v>2753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2754</v>
      </c>
      <c r="E41" s="75" t="s">
        <v>2755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2369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2673</v>
      </c>
      <c r="E42" s="75" t="s">
        <v>2756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2367</v>
      </c>
      <c r="X42" s="75" t="s">
        <v>2368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2757</v>
      </c>
      <c r="E43" s="75" t="s">
        <v>2714</v>
      </c>
      <c r="F43" s="74">
        <v>34240</v>
      </c>
      <c r="G43" s="73" t="s">
        <v>2674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2675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2676</v>
      </c>
      <c r="X43" s="75" t="s">
        <v>2758</v>
      </c>
      <c r="Y43" s="75"/>
      <c r="Z43" s="73" t="s">
        <v>3093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2759</v>
      </c>
      <c r="E44" s="75" t="s">
        <v>2760</v>
      </c>
      <c r="F44" s="74">
        <v>34838</v>
      </c>
      <c r="G44" s="73" t="s">
        <v>2677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2384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2678</v>
      </c>
      <c r="E45" s="75" t="s">
        <v>2761</v>
      </c>
      <c r="F45" s="74">
        <v>35613</v>
      </c>
      <c r="G45" s="73" t="s">
        <v>2679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2389</v>
      </c>
      <c r="X45" s="75" t="s">
        <v>17</v>
      </c>
      <c r="Y45" s="75" t="s">
        <v>3085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2762</v>
      </c>
      <c r="E46" s="75" t="s">
        <v>2763</v>
      </c>
      <c r="F46" s="74"/>
      <c r="G46" s="73" t="s">
        <v>2680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2383</v>
      </c>
      <c r="X46" s="75" t="s">
        <v>19</v>
      </c>
      <c r="Y46" s="75" t="s">
        <v>3086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2681</v>
      </c>
      <c r="E47" s="75" t="s">
        <v>2764</v>
      </c>
      <c r="F47" s="74">
        <v>39384</v>
      </c>
      <c r="G47" s="73" t="s">
        <v>2682</v>
      </c>
      <c r="H47" s="73" t="s">
        <v>2683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2105</v>
      </c>
      <c r="Y47" s="75" t="s">
        <v>3087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2765</v>
      </c>
      <c r="F48" s="74">
        <v>34887</v>
      </c>
      <c r="G48" s="73" t="s">
        <v>2684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2385</v>
      </c>
      <c r="X48" s="75" t="s">
        <v>2189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2685</v>
      </c>
      <c r="E49" s="75" t="s">
        <v>2766</v>
      </c>
      <c r="F49" s="74">
        <v>39365</v>
      </c>
      <c r="G49" s="73" t="s">
        <v>2686</v>
      </c>
      <c r="H49" s="73" t="s">
        <v>2687</v>
      </c>
      <c r="I49" s="73" t="s">
        <v>2687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1742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2688</v>
      </c>
      <c r="E50" s="75" t="s">
        <v>2689</v>
      </c>
      <c r="F50" s="74">
        <v>43748</v>
      </c>
      <c r="G50" s="73" t="s">
        <v>2690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2691</v>
      </c>
      <c r="E51" s="75" t="s">
        <v>2767</v>
      </c>
      <c r="F51" s="74">
        <v>42209</v>
      </c>
      <c r="G51" s="73" t="s">
        <v>2692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2693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2768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2694</v>
      </c>
      <c r="E52" s="75" t="s">
        <v>2769</v>
      </c>
      <c r="F52" s="74">
        <v>42311</v>
      </c>
      <c r="G52" s="73" t="s">
        <v>2695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2254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2696</v>
      </c>
      <c r="E53" s="75" t="s">
        <v>2770</v>
      </c>
      <c r="F53" s="74">
        <v>43098</v>
      </c>
      <c r="G53" s="73" t="s">
        <v>2697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2354</v>
      </c>
      <c r="X53" s="75" t="s">
        <v>41</v>
      </c>
      <c r="Y53" s="75" t="s">
        <v>3088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2771</v>
      </c>
      <c r="F54" s="74">
        <v>37390</v>
      </c>
      <c r="G54" s="73" t="s">
        <v>2698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2387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2699</v>
      </c>
      <c r="E55" s="75" t="s">
        <v>2772</v>
      </c>
      <c r="F55" s="74">
        <v>38425</v>
      </c>
      <c r="G55" s="73" t="s">
        <v>2700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2224</v>
      </c>
      <c r="E56" s="75" t="s">
        <v>2773</v>
      </c>
      <c r="F56" s="74">
        <v>35631</v>
      </c>
      <c r="G56" s="73" t="s">
        <v>2701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2388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2702</v>
      </c>
      <c r="E57" s="75" t="s">
        <v>2774</v>
      </c>
      <c r="F57" s="74">
        <v>35655</v>
      </c>
      <c r="G57" s="73" t="s">
        <v>2674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2386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2775</v>
      </c>
      <c r="E58" s="75" t="s">
        <v>2776</v>
      </c>
      <c r="F58" s="74">
        <v>36081</v>
      </c>
      <c r="G58" s="73" t="s">
        <v>2703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2386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2777</v>
      </c>
      <c r="F59" s="74">
        <v>41190</v>
      </c>
      <c r="G59" s="73" t="s">
        <v>2704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2107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2778</v>
      </c>
      <c r="F60" s="74">
        <v>42866</v>
      </c>
      <c r="G60" s="73" t="s">
        <v>2705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2382</v>
      </c>
      <c r="X60" s="75" t="s">
        <v>62</v>
      </c>
      <c r="Y60" s="75" t="s">
        <v>3089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2779</v>
      </c>
      <c r="E61" s="75" t="s">
        <v>2780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2781</v>
      </c>
      <c r="X61" s="75" t="s">
        <v>2782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2783</v>
      </c>
      <c r="E62" s="75" t="s">
        <v>2784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2363</v>
      </c>
      <c r="X62" s="75" t="s">
        <v>1926</v>
      </c>
      <c r="Y62" s="75" t="s">
        <v>3090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2785</v>
      </c>
      <c r="E63" s="75" t="s">
        <v>2706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2352</v>
      </c>
      <c r="X63" s="75" t="s">
        <v>2353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2798</v>
      </c>
      <c r="E64" s="75" t="s">
        <v>2799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2800</v>
      </c>
      <c r="X64" s="75" t="s">
        <v>2801</v>
      </c>
      <c r="Y64" s="75" t="s">
        <v>2802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2803</v>
      </c>
      <c r="E65" s="75" t="s">
        <v>2804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2805</v>
      </c>
      <c r="X65" s="75" t="s">
        <v>2806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1138</v>
      </c>
      <c r="E66" s="75" t="s">
        <v>2807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2808</v>
      </c>
      <c r="X66" s="75" t="s">
        <v>2809</v>
      </c>
      <c r="Y66" s="75" t="s">
        <v>2810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2811</v>
      </c>
      <c r="E67" s="75" t="s">
        <v>2812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2813</v>
      </c>
      <c r="X67" s="75" t="s">
        <v>3792</v>
      </c>
      <c r="Y67" s="75" t="s">
        <v>2814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2815</v>
      </c>
      <c r="E68" s="75" t="s">
        <v>2816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2817</v>
      </c>
      <c r="X68" s="75" t="s">
        <v>2818</v>
      </c>
      <c r="Y68" s="75" t="s">
        <v>2819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2820</v>
      </c>
      <c r="E69" s="75" t="s">
        <v>2821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2822</v>
      </c>
      <c r="X69" s="75" t="s">
        <v>1307</v>
      </c>
      <c r="Y69" s="75" t="s">
        <v>2823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2824</v>
      </c>
      <c r="E70" s="75" t="s">
        <v>2825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2826</v>
      </c>
      <c r="X70" s="75" t="s">
        <v>1502</v>
      </c>
      <c r="Y70" s="75" t="s">
        <v>2827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1356</v>
      </c>
      <c r="E71" s="75" t="s">
        <v>2828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2829</v>
      </c>
      <c r="X71" s="75" t="s">
        <v>2830</v>
      </c>
      <c r="Y71" s="75" t="s">
        <v>2831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2832</v>
      </c>
      <c r="E72" s="75" t="s">
        <v>2833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2834</v>
      </c>
      <c r="X72" s="75" t="s">
        <v>1228</v>
      </c>
      <c r="Y72" s="75" t="s">
        <v>2835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2836</v>
      </c>
      <c r="E73" s="75" t="s">
        <v>2837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2838</v>
      </c>
      <c r="X73" s="75" t="s">
        <v>2839</v>
      </c>
      <c r="Y73" s="75" t="s">
        <v>2840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1599</v>
      </c>
      <c r="E74" s="75" t="s">
        <v>2841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2842</v>
      </c>
      <c r="X74" s="75" t="s">
        <v>2843</v>
      </c>
      <c r="Y74" s="75" t="s">
        <v>2844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1209</v>
      </c>
      <c r="E75" s="75" t="s">
        <v>2845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2846</v>
      </c>
      <c r="X75" s="75" t="s">
        <v>1211</v>
      </c>
      <c r="Y75" s="75" t="s">
        <v>2847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1229</v>
      </c>
      <c r="E76" s="75" t="s">
        <v>2848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2849</v>
      </c>
      <c r="X76" s="75" t="s">
        <v>2850</v>
      </c>
      <c r="Y76" s="75" t="s">
        <v>2851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2852</v>
      </c>
      <c r="E77" s="75" t="s">
        <v>2853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2854</v>
      </c>
      <c r="X77" s="75" t="s">
        <v>2855</v>
      </c>
      <c r="Y77" s="75" t="s">
        <v>2856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2857</v>
      </c>
      <c r="E78" s="75" t="s">
        <v>2858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2859</v>
      </c>
      <c r="X78" s="75" t="s">
        <v>2263</v>
      </c>
      <c r="Y78" s="75" t="s">
        <v>2860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2861</v>
      </c>
      <c r="E79" s="75" t="s">
        <v>2862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2859</v>
      </c>
      <c r="X79" s="75" t="s">
        <v>2263</v>
      </c>
      <c r="Y79" s="75" t="s">
        <v>2860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1517</v>
      </c>
      <c r="E80" s="75" t="s">
        <v>2863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2864</v>
      </c>
      <c r="X80" s="75" t="s">
        <v>2865</v>
      </c>
      <c r="Y80" s="75" t="s">
        <v>2866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1509</v>
      </c>
      <c r="E81" s="75" t="s">
        <v>2867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2868</v>
      </c>
      <c r="X81" s="75" t="s">
        <v>2869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2870</v>
      </c>
      <c r="E82" s="75" t="s">
        <v>2871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2872</v>
      </c>
      <c r="X82" s="75" t="s">
        <v>2873</v>
      </c>
      <c r="Y82" s="75" t="s">
        <v>2874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2875</v>
      </c>
      <c r="E83" s="75" t="s">
        <v>2876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2877</v>
      </c>
      <c r="X83" s="75" t="s">
        <v>2878</v>
      </c>
      <c r="Y83" s="75" t="s">
        <v>2879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2880</v>
      </c>
      <c r="E84" s="75" t="s">
        <v>2881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2882</v>
      </c>
      <c r="X84" s="75" t="s">
        <v>2883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2884</v>
      </c>
      <c r="E85" s="75" t="s">
        <v>2885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2886</v>
      </c>
      <c r="X85" s="75" t="s">
        <v>2887</v>
      </c>
      <c r="Y85" s="75"/>
      <c r="Z85" s="73" t="s">
        <v>3092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2888</v>
      </c>
      <c r="E86" s="75" t="s">
        <v>3094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2889</v>
      </c>
      <c r="X86" s="75" t="s">
        <v>2890</v>
      </c>
      <c r="Y86" s="75"/>
      <c r="Z86" s="73" t="s">
        <v>3095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2891</v>
      </c>
      <c r="E87" s="75" t="s">
        <v>2892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2893</v>
      </c>
      <c r="X87" s="75" t="s">
        <v>1759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2894</v>
      </c>
      <c r="E88" s="75" t="s">
        <v>2895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2896</v>
      </c>
      <c r="X88" s="75" t="s">
        <v>2897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2898</v>
      </c>
      <c r="E89" s="75" t="s">
        <v>2899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2900</v>
      </c>
      <c r="X89" s="75" t="s">
        <v>2901</v>
      </c>
      <c r="Y89" s="75" t="s">
        <v>2902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2903</v>
      </c>
      <c r="E90" s="75" t="s">
        <v>2904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2905</v>
      </c>
      <c r="X90" s="75" t="s">
        <v>2906</v>
      </c>
      <c r="Y90" s="75" t="s">
        <v>2907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2908</v>
      </c>
      <c r="E91" s="75" t="s">
        <v>2909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2910</v>
      </c>
      <c r="X91" s="75" t="s">
        <v>1640</v>
      </c>
      <c r="Y91" s="75" t="s">
        <v>2911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2912</v>
      </c>
      <c r="E92" s="75" t="s">
        <v>2913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2914</v>
      </c>
      <c r="X92" s="75" t="s">
        <v>2915</v>
      </c>
      <c r="Y92" s="75" t="s">
        <v>2916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2917</v>
      </c>
      <c r="E93" s="75" t="s">
        <v>2918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2919</v>
      </c>
      <c r="X93" s="75" t="s">
        <v>2920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2921</v>
      </c>
      <c r="E94" s="75" t="s">
        <v>2922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2923</v>
      </c>
      <c r="X94" s="75" t="s">
        <v>2924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2925</v>
      </c>
      <c r="E95" s="75" t="s">
        <v>2926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2927</v>
      </c>
      <c r="X95" s="75" t="s">
        <v>2928</v>
      </c>
      <c r="Y95" s="75" t="s">
        <v>2929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2930</v>
      </c>
      <c r="E96" s="75" t="s">
        <v>2931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2932</v>
      </c>
      <c r="X96" s="75" t="s">
        <v>2933</v>
      </c>
      <c r="Y96" s="75" t="s">
        <v>2934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2935</v>
      </c>
      <c r="E97" s="75" t="s">
        <v>2936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2937</v>
      </c>
      <c r="X97" s="75" t="s">
        <v>1342</v>
      </c>
      <c r="Y97" s="75" t="s">
        <v>2938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1341</v>
      </c>
      <c r="E98" s="75" t="s">
        <v>2939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2937</v>
      </c>
      <c r="X98" s="75" t="s">
        <v>1342</v>
      </c>
      <c r="Y98" s="75" t="s">
        <v>2940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2941</v>
      </c>
      <c r="E99" s="75" t="s">
        <v>2942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2943</v>
      </c>
      <c r="X99" s="75" t="s">
        <v>2944</v>
      </c>
      <c r="Y99" s="75" t="s">
        <v>2945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2946</v>
      </c>
      <c r="E100" s="75" t="s">
        <v>2947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2948</v>
      </c>
      <c r="X100" s="75" t="s">
        <v>2949</v>
      </c>
      <c r="Y100" s="75" t="s">
        <v>2950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2951</v>
      </c>
      <c r="E101" s="75" t="s">
        <v>2952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2953</v>
      </c>
      <c r="X101" s="75" t="s">
        <v>2954</v>
      </c>
      <c r="Y101" s="75" t="s">
        <v>2955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2956</v>
      </c>
      <c r="E102" s="75" t="s">
        <v>2957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2958</v>
      </c>
      <c r="X102" s="75" t="s">
        <v>1338</v>
      </c>
      <c r="Y102" s="75" t="s">
        <v>2959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1246</v>
      </c>
      <c r="E103" s="75" t="s">
        <v>2960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2961</v>
      </c>
      <c r="X103" s="75" t="s">
        <v>2962</v>
      </c>
      <c r="Y103" s="75" t="s">
        <v>2963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1295</v>
      </c>
      <c r="E104" s="75" t="s">
        <v>2964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2965</v>
      </c>
      <c r="X104" s="75" t="s">
        <v>1297</v>
      </c>
      <c r="Y104" s="75" t="s">
        <v>2966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2967</v>
      </c>
      <c r="E105" s="75" t="s">
        <v>2968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2969</v>
      </c>
      <c r="X105" s="75" t="s">
        <v>2954</v>
      </c>
      <c r="Y105" s="75" t="s">
        <v>2970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2971</v>
      </c>
      <c r="E106" s="75" t="s">
        <v>2972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2973</v>
      </c>
      <c r="X106" s="75" t="s">
        <v>2974</v>
      </c>
      <c r="Y106" s="75" t="s">
        <v>2975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2976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2977</v>
      </c>
      <c r="X107" s="75" t="s">
        <v>3776</v>
      </c>
      <c r="Y107" s="75" t="s">
        <v>2978</v>
      </c>
      <c r="Z107" s="73" t="s">
        <v>2979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2980</v>
      </c>
      <c r="E108" s="75" t="s">
        <v>2981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2982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2983</v>
      </c>
      <c r="E109" s="75" t="s">
        <v>2712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2984</v>
      </c>
      <c r="X109" s="75" t="s">
        <v>2243</v>
      </c>
      <c r="Y109" s="75" t="s">
        <v>2985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2986</v>
      </c>
      <c r="E110" s="75" t="s">
        <v>2987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1479</v>
      </c>
      <c r="Y110" s="75" t="s">
        <v>2988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1389</v>
      </c>
      <c r="E111" s="75" t="s">
        <v>2989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2990</v>
      </c>
      <c r="X111" s="75" t="s">
        <v>2991</v>
      </c>
      <c r="Y111" s="75" t="s">
        <v>2992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1394</v>
      </c>
      <c r="E112" s="75" t="s">
        <v>2993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2994</v>
      </c>
      <c r="X112" s="75" t="s">
        <v>2995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2996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2997</v>
      </c>
      <c r="X113" s="75" t="s">
        <v>2998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1348</v>
      </c>
      <c r="E114" s="75" t="s">
        <v>2999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3000</v>
      </c>
      <c r="X114" s="75" t="s">
        <v>1351</v>
      </c>
      <c r="Y114" s="75" t="s">
        <v>3001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1413</v>
      </c>
      <c r="E115" s="75" t="s">
        <v>3002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3003</v>
      </c>
      <c r="X115" s="75" t="s">
        <v>3004</v>
      </c>
      <c r="Y115" s="75" t="s">
        <v>3005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3006</v>
      </c>
      <c r="E116" s="75" t="s">
        <v>3007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3008</v>
      </c>
      <c r="X116" s="75" t="s">
        <v>1597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3009</v>
      </c>
      <c r="E117" s="75" t="s">
        <v>3010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3011</v>
      </c>
      <c r="X117" s="75" t="s">
        <v>3012</v>
      </c>
      <c r="Y117" s="75"/>
      <c r="Z117" s="73" t="s">
        <v>3096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3013</v>
      </c>
      <c r="E118" s="75" t="s">
        <v>3014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3015</v>
      </c>
      <c r="X118" s="75" t="s">
        <v>3016</v>
      </c>
      <c r="Y118" s="75" t="s">
        <v>3017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3018</v>
      </c>
      <c r="E119" s="75" t="s">
        <v>3019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3020</v>
      </c>
      <c r="X119" s="75" t="s">
        <v>3021</v>
      </c>
      <c r="Y119" s="75" t="s">
        <v>3022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3023</v>
      </c>
      <c r="E120" s="75" t="s">
        <v>3024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3025</v>
      </c>
      <c r="X120" s="75" t="s">
        <v>3026</v>
      </c>
      <c r="Y120" s="75" t="s">
        <v>3027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3028</v>
      </c>
      <c r="E121" s="75" t="s">
        <v>3029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3030</v>
      </c>
      <c r="X121" s="75" t="s">
        <v>1622</v>
      </c>
      <c r="Y121" s="75" t="s">
        <v>3031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1614</v>
      </c>
      <c r="E122" s="75" t="s">
        <v>3032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3033</v>
      </c>
      <c r="X122" s="75" t="s">
        <v>1616</v>
      </c>
      <c r="Y122" s="75" t="s">
        <v>3034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3035</v>
      </c>
      <c r="E123" s="75" t="s">
        <v>3036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3037</v>
      </c>
      <c r="X123" s="75" t="s">
        <v>3038</v>
      </c>
      <c r="Y123" s="75" t="s">
        <v>3017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3039</v>
      </c>
      <c r="E124" s="75" t="s">
        <v>3040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3041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3042</v>
      </c>
      <c r="E125" s="75" t="s">
        <v>3043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3044</v>
      </c>
      <c r="X125" s="75" t="s">
        <v>3045</v>
      </c>
      <c r="Y125" s="75" t="s">
        <v>3046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3047</v>
      </c>
      <c r="E126" s="75" t="s">
        <v>3048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3049</v>
      </c>
      <c r="X126" s="75" t="s">
        <v>3050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3051</v>
      </c>
      <c r="E127" s="75" t="s">
        <v>3052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3053</v>
      </c>
      <c r="X127" s="75" t="s">
        <v>3054</v>
      </c>
      <c r="Y127" s="75" t="s">
        <v>3055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1541</v>
      </c>
      <c r="E128" s="75" t="s">
        <v>3056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3057</v>
      </c>
      <c r="X128" s="75" t="s">
        <v>3058</v>
      </c>
      <c r="Y128" s="75" t="s">
        <v>3059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3060</v>
      </c>
      <c r="E129" s="75" t="s">
        <v>3061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3062</v>
      </c>
      <c r="X129" s="75" t="s">
        <v>3063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3064</v>
      </c>
      <c r="E130" s="75" t="s">
        <v>3065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2822</v>
      </c>
      <c r="X130" s="75" t="s">
        <v>3066</v>
      </c>
      <c r="Y130" s="75" t="s">
        <v>3067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3068</v>
      </c>
      <c r="E131" s="75" t="s">
        <v>3069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3070</v>
      </c>
      <c r="X131" s="75" t="s">
        <v>3071</v>
      </c>
      <c r="Y131" s="75" t="s">
        <v>3072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1611</v>
      </c>
      <c r="E132" s="75" t="s">
        <v>3389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3390</v>
      </c>
      <c r="X132" s="75" t="s">
        <v>3391</v>
      </c>
      <c r="Y132" s="75" t="s">
        <v>3392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3393</v>
      </c>
      <c r="E133" s="75" t="s">
        <v>3394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3395</v>
      </c>
      <c r="X133" s="75" t="s">
        <v>3396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1525</v>
      </c>
      <c r="E134" s="75" t="s">
        <v>3397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3398</v>
      </c>
      <c r="X134" s="75" t="s">
        <v>3399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3400</v>
      </c>
      <c r="E135" s="75" t="s">
        <v>3401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3402</v>
      </c>
      <c r="X135" s="75" t="s">
        <v>3403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1354</v>
      </c>
      <c r="E136" s="75" t="s">
        <v>3404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3405</v>
      </c>
      <c r="X136" s="75" t="s">
        <v>3406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3407</v>
      </c>
      <c r="E137" s="75" t="s">
        <v>3408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3409</v>
      </c>
      <c r="X137" s="75" t="s">
        <v>1125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3410</v>
      </c>
      <c r="E138" s="75" t="s">
        <v>3411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3412</v>
      </c>
      <c r="X138" s="75" t="s">
        <v>3413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3414</v>
      </c>
      <c r="E139" s="75" t="s">
        <v>3415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3416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3417</v>
      </c>
      <c r="E140" s="75" t="s">
        <v>3418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3419</v>
      </c>
      <c r="X140" s="75" t="s">
        <v>3420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1592</v>
      </c>
      <c r="E141" s="75" t="s">
        <v>3421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3422</v>
      </c>
      <c r="X141" s="75" t="s">
        <v>1594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3423</v>
      </c>
      <c r="E142" s="75" t="s">
        <v>3424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3425</v>
      </c>
      <c r="X142" s="75" t="s">
        <v>3426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1548</v>
      </c>
      <c r="E143" s="75" t="s">
        <v>3427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3428</v>
      </c>
      <c r="X143" s="75" t="s">
        <v>3429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3430</v>
      </c>
      <c r="E144" s="75" t="s">
        <v>3431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3432</v>
      </c>
      <c r="X144" s="75" t="s">
        <v>3433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1422</v>
      </c>
      <c r="E145" s="75" t="s">
        <v>3434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3435</v>
      </c>
      <c r="X145" s="75" t="s">
        <v>3436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1425</v>
      </c>
      <c r="E146" s="75" t="s">
        <v>3437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3438</v>
      </c>
      <c r="X146" s="75" t="s">
        <v>3439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3440</v>
      </c>
      <c r="E147" s="75" t="s">
        <v>3441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3442</v>
      </c>
      <c r="X147" s="75" t="s">
        <v>3443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3444</v>
      </c>
      <c r="E148" s="75" t="s">
        <v>3445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3446</v>
      </c>
      <c r="X148" s="75" t="s">
        <v>3447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3448</v>
      </c>
      <c r="E149" s="75" t="s">
        <v>3449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3450</v>
      </c>
      <c r="X149" s="75" t="s">
        <v>3451</v>
      </c>
      <c r="Y149" s="75" t="s">
        <v>3452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1429</v>
      </c>
      <c r="E150" s="75" t="s">
        <v>3453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3454</v>
      </c>
      <c r="X150" s="75" t="s">
        <v>3455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1441</v>
      </c>
      <c r="E151" s="75" t="s">
        <v>3456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3457</v>
      </c>
      <c r="X151" s="75" t="s">
        <v>3458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3459</v>
      </c>
      <c r="E152" s="75" t="s">
        <v>3460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3461</v>
      </c>
      <c r="X152" s="75" t="s">
        <v>3462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3463</v>
      </c>
      <c r="E153" s="75" t="s">
        <v>3464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3465</v>
      </c>
      <c r="X153" s="75" t="s">
        <v>3466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3775</v>
      </c>
      <c r="E154" s="75" t="s">
        <v>3010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3467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3468</v>
      </c>
      <c r="E155" s="75" t="s">
        <v>3469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3470</v>
      </c>
      <c r="X155" s="75" t="s">
        <v>3471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3472</v>
      </c>
      <c r="E156" s="75" t="s">
        <v>3473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3474</v>
      </c>
      <c r="X156" s="75" t="s">
        <v>3475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1274</v>
      </c>
      <c r="E157" s="75" t="s">
        <v>3476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3477</v>
      </c>
      <c r="X157" s="75" t="s">
        <v>3478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3479</v>
      </c>
      <c r="E158" s="75" t="s">
        <v>3480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3481</v>
      </c>
      <c r="X158" s="75" t="s">
        <v>3482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1399</v>
      </c>
      <c r="E159" s="75" t="s">
        <v>3483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3484</v>
      </c>
      <c r="X159" s="75" t="s">
        <v>1402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1578</v>
      </c>
      <c r="E160" s="75" t="s">
        <v>3485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3486</v>
      </c>
      <c r="X160" s="75" t="s">
        <v>3487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3488</v>
      </c>
      <c r="E161" s="75" t="s">
        <v>3489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3490</v>
      </c>
      <c r="X161" s="75" t="s">
        <v>3491</v>
      </c>
      <c r="Y161" s="75" t="s">
        <v>3492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3493</v>
      </c>
      <c r="E162" s="75" t="s">
        <v>3494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3495</v>
      </c>
      <c r="X162" s="75" t="s">
        <v>3496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1126</v>
      </c>
      <c r="E163" s="75" t="s">
        <v>3497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3498</v>
      </c>
      <c r="X163" s="75" t="s">
        <v>3499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1539</v>
      </c>
      <c r="E164" s="75" t="s">
        <v>3500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3501</v>
      </c>
      <c r="X164" s="75" t="s">
        <v>3502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1408</v>
      </c>
      <c r="E165" s="75" t="s">
        <v>3503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3504</v>
      </c>
      <c r="X165" s="75" t="s">
        <v>3505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1367</v>
      </c>
      <c r="E166" s="75" t="s">
        <v>3506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3507</v>
      </c>
      <c r="X166" s="75" t="s">
        <v>3508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3509</v>
      </c>
      <c r="E167" s="75" t="s">
        <v>3510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3511</v>
      </c>
      <c r="X167" s="75" t="s">
        <v>3512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1545</v>
      </c>
      <c r="E168" s="75" t="s">
        <v>3513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3514</v>
      </c>
      <c r="X168" s="75" t="s">
        <v>3515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3516</v>
      </c>
      <c r="E169" s="75" t="s">
        <v>3517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3518</v>
      </c>
      <c r="X169" s="75" t="s">
        <v>3519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1135</v>
      </c>
      <c r="E170" s="75" t="s">
        <v>3520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3521</v>
      </c>
      <c r="X170" s="75" t="s">
        <v>3522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3523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3524</v>
      </c>
      <c r="X171" s="75" t="s">
        <v>3525</v>
      </c>
      <c r="Y171" s="75" t="s">
        <v>3526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3527</v>
      </c>
      <c r="E172" s="75" t="s">
        <v>3528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3529</v>
      </c>
      <c r="X172" s="75" t="s">
        <v>3530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1535</v>
      </c>
      <c r="E173" s="75" t="s">
        <v>3531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3532</v>
      </c>
      <c r="X173" s="75" t="s">
        <v>3533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3534</v>
      </c>
      <c r="E174" s="75" t="s">
        <v>3535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3536</v>
      </c>
      <c r="X174" s="75" t="s">
        <v>3537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3538</v>
      </c>
      <c r="E175" s="75" t="s">
        <v>3539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3540</v>
      </c>
      <c r="X175" s="75" t="s">
        <v>3541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1181</v>
      </c>
      <c r="E176" s="75" t="s">
        <v>3542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3543</v>
      </c>
      <c r="X176" s="75" t="s">
        <v>3544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3545</v>
      </c>
      <c r="E177" s="75" t="s">
        <v>3546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3547</v>
      </c>
      <c r="X177" s="75" t="s">
        <v>3548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3549</v>
      </c>
      <c r="E178" s="75" t="s">
        <v>3550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3551</v>
      </c>
      <c r="X178" s="75" t="s">
        <v>3552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3553</v>
      </c>
      <c r="E179" s="75" t="s">
        <v>3554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3555</v>
      </c>
      <c r="X179" s="75" t="s">
        <v>3556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1449</v>
      </c>
      <c r="E180" s="75" t="s">
        <v>3557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3558</v>
      </c>
      <c r="X180" s="75" t="s">
        <v>3559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1474</v>
      </c>
      <c r="E181" s="75" t="s">
        <v>3560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2365</v>
      </c>
      <c r="X181" s="75" t="s">
        <v>3561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3562</v>
      </c>
      <c r="E182" s="75" t="s">
        <v>2885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3563</v>
      </c>
      <c r="X182" s="75" t="s">
        <v>3564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1365</v>
      </c>
      <c r="E183" s="75" t="s">
        <v>3565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3566</v>
      </c>
      <c r="X183" s="75" t="s">
        <v>3567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3568</v>
      </c>
      <c r="E184" s="75" t="s">
        <v>3569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3570</v>
      </c>
      <c r="X184" s="75" t="s">
        <v>3571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1309</v>
      </c>
      <c r="E185" s="75" t="s">
        <v>3572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3573</v>
      </c>
      <c r="Y185" s="75" t="s">
        <v>3574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1255</v>
      </c>
      <c r="E186" s="75" t="s">
        <v>3575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3576</v>
      </c>
      <c r="X186" s="75" t="s">
        <v>3577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1233</v>
      </c>
      <c r="E187" s="75" t="s">
        <v>3578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3579</v>
      </c>
      <c r="X187" s="75" t="s">
        <v>1235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3580</v>
      </c>
      <c r="E188" s="75" t="s">
        <v>3581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3582</v>
      </c>
      <c r="E189" s="75" t="s">
        <v>3583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3584</v>
      </c>
      <c r="X189" s="75" t="s">
        <v>3585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1176</v>
      </c>
      <c r="E190" s="75" t="s">
        <v>3586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3587</v>
      </c>
      <c r="X190" s="75" t="s">
        <v>3588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1281</v>
      </c>
      <c r="E191" s="75" t="s">
        <v>3589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3590</v>
      </c>
      <c r="X191" s="75" t="s">
        <v>3591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1321</v>
      </c>
      <c r="E192" s="75" t="s">
        <v>3592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3593</v>
      </c>
      <c r="X192" s="75" t="s">
        <v>3594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3595</v>
      </c>
      <c r="E193" s="75" t="s">
        <v>3596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3597</v>
      </c>
      <c r="X193" s="75" t="s">
        <v>3598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3599</v>
      </c>
      <c r="E194" s="75" t="s">
        <v>3600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3601</v>
      </c>
      <c r="X194" s="75" t="s">
        <v>3602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1445</v>
      </c>
      <c r="E195" s="75" t="s">
        <v>3603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3604</v>
      </c>
      <c r="X195" s="75" t="s">
        <v>3605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1131</v>
      </c>
      <c r="E196" s="75" t="s">
        <v>3606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3607</v>
      </c>
      <c r="X196" s="75" t="s">
        <v>1134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1472</v>
      </c>
      <c r="E197" s="75" t="s">
        <v>3608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3609</v>
      </c>
      <c r="X197" s="75" t="s">
        <v>3610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3611</v>
      </c>
      <c r="E198" s="75" t="s">
        <v>3612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3613</v>
      </c>
      <c r="X198" s="75" t="s">
        <v>3614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1406</v>
      </c>
      <c r="E199" s="75" t="s">
        <v>3615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3616</v>
      </c>
      <c r="Y199" s="75" t="s">
        <v>3617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1170</v>
      </c>
      <c r="E200" s="75" t="s">
        <v>3618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3619</v>
      </c>
      <c r="X200" s="75" t="s">
        <v>3620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1572</v>
      </c>
      <c r="E201" s="75" t="s">
        <v>3621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3622</v>
      </c>
      <c r="X201" s="75" t="s">
        <v>3623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1212</v>
      </c>
      <c r="E202" s="75" t="s">
        <v>3624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3625</v>
      </c>
      <c r="X202" s="75" t="s">
        <v>3626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1552</v>
      </c>
      <c r="E203" s="75" t="s">
        <v>3627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3628</v>
      </c>
      <c r="X203" s="75" t="s">
        <v>3629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1319</v>
      </c>
      <c r="E204" s="75" t="s">
        <v>3630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3631</v>
      </c>
      <c r="X204" s="75" t="s">
        <v>3632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3633</v>
      </c>
      <c r="E205" s="75" t="s">
        <v>3634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3635</v>
      </c>
      <c r="X205" s="75" t="s">
        <v>3636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3637</v>
      </c>
      <c r="E206" s="75" t="s">
        <v>3638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3639</v>
      </c>
      <c r="X206" s="75" t="s">
        <v>3640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3641</v>
      </c>
      <c r="E207" s="75" t="s">
        <v>3642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3643</v>
      </c>
      <c r="X207" s="75" t="s">
        <v>3644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3645</v>
      </c>
      <c r="E208" s="75" t="s">
        <v>3646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3647</v>
      </c>
      <c r="X208" s="75" t="s">
        <v>3648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3649</v>
      </c>
      <c r="E209" s="75" t="s">
        <v>3650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3651</v>
      </c>
      <c r="X209" s="75" t="s">
        <v>3652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3653</v>
      </c>
      <c r="E210" s="75" t="s">
        <v>3654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3655</v>
      </c>
      <c r="X210" s="75" t="s">
        <v>3656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3657</v>
      </c>
      <c r="E211" s="75" t="s">
        <v>3658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3659</v>
      </c>
      <c r="X211" s="75" t="s">
        <v>3660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3661</v>
      </c>
      <c r="E212" s="75" t="s">
        <v>3662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3663</v>
      </c>
      <c r="X212" s="75" t="s">
        <v>3664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3665</v>
      </c>
      <c r="E213" s="75" t="s">
        <v>3666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3667</v>
      </c>
      <c r="X213" s="75" t="s">
        <v>1604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1561</v>
      </c>
      <c r="E214" s="75" t="s">
        <v>3668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3669</v>
      </c>
      <c r="X214" s="75" t="s">
        <v>3670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1581</v>
      </c>
      <c r="E215" s="75" t="s">
        <v>3671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3672</v>
      </c>
      <c r="X215" s="75" t="s">
        <v>3673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3674</v>
      </c>
      <c r="E216" s="75" t="s">
        <v>3675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3676</v>
      </c>
      <c r="X216" s="75" t="s">
        <v>3677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3678</v>
      </c>
      <c r="E217" s="75" t="s">
        <v>3679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3680</v>
      </c>
      <c r="X217" s="75" t="s">
        <v>3681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1589</v>
      </c>
      <c r="E218" s="75" t="s">
        <v>3682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3683</v>
      </c>
      <c r="X218" s="75" t="s">
        <v>1591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3684</v>
      </c>
      <c r="E219" s="75" t="s">
        <v>3685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3686</v>
      </c>
      <c r="X219" s="75" t="s">
        <v>3687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3688</v>
      </c>
      <c r="E220" s="75" t="s">
        <v>3689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3690</v>
      </c>
      <c r="X220" s="75" t="s">
        <v>1607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1575</v>
      </c>
      <c r="E221" s="75" t="s">
        <v>3691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3692</v>
      </c>
      <c r="X221" s="75" t="s">
        <v>3693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3694</v>
      </c>
      <c r="E222" s="75" t="s">
        <v>3695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3696</v>
      </c>
      <c r="X222" s="75" t="s">
        <v>1588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3697</v>
      </c>
      <c r="E223" s="75" t="s">
        <v>3698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3699</v>
      </c>
      <c r="X223" s="75" t="s">
        <v>1610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1205</v>
      </c>
      <c r="E224" s="75" t="s">
        <v>3700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3701</v>
      </c>
      <c r="X224" s="75" t="s">
        <v>3702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3703</v>
      </c>
      <c r="E225" s="75" t="s">
        <v>3704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3705</v>
      </c>
      <c r="X225" s="75" t="s">
        <v>3706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3707</v>
      </c>
      <c r="E226" s="75" t="s">
        <v>3708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3709</v>
      </c>
      <c r="X226" s="75" t="s">
        <v>3710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3711</v>
      </c>
      <c r="E227" s="75" t="s">
        <v>3712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3713</v>
      </c>
      <c r="X227" s="75" t="s">
        <v>3714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3715</v>
      </c>
      <c r="E228" s="75" t="s">
        <v>3716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3717</v>
      </c>
      <c r="X228" s="75" t="s">
        <v>3718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3719</v>
      </c>
      <c r="E229" s="75" t="s">
        <v>3720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3721</v>
      </c>
      <c r="X229" s="75" t="s">
        <v>3722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3723</v>
      </c>
      <c r="E230" s="75" t="s">
        <v>3724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3725</v>
      </c>
      <c r="X230" s="75" t="s">
        <v>3726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3727</v>
      </c>
      <c r="E231" s="75" t="s">
        <v>3728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3729</v>
      </c>
      <c r="X231" s="75" t="s">
        <v>3730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3731</v>
      </c>
      <c r="E232" s="75" t="s">
        <v>3732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3733</v>
      </c>
      <c r="X232" s="75" t="s">
        <v>3734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1283</v>
      </c>
      <c r="E233" s="75" t="s">
        <v>3735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3736</v>
      </c>
      <c r="X233" s="75" t="s">
        <v>3737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3738</v>
      </c>
      <c r="E234" s="75" t="s">
        <v>3739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3740</v>
      </c>
      <c r="X234" s="75" t="s">
        <v>3741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1371</v>
      </c>
      <c r="E235" s="75" t="s">
        <v>3742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3743</v>
      </c>
      <c r="X235" s="75" t="s">
        <v>3744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3745</v>
      </c>
      <c r="E236" s="75" t="s">
        <v>3746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3747</v>
      </c>
      <c r="X236" s="75" t="s">
        <v>3748</v>
      </c>
      <c r="Y236" s="75" t="s">
        <v>3749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3750</v>
      </c>
      <c r="E237" s="75" t="s">
        <v>3751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3752</v>
      </c>
      <c r="X237" s="75" t="s">
        <v>3753</v>
      </c>
      <c r="Y237" s="75" t="s">
        <v>3754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3755</v>
      </c>
      <c r="E238" s="75" t="s">
        <v>3756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3757</v>
      </c>
      <c r="X238" s="75" t="s">
        <v>3758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3759</v>
      </c>
      <c r="E239" s="75" t="s">
        <v>3760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3761</v>
      </c>
      <c r="X239" s="75" t="s">
        <v>3762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3763</v>
      </c>
      <c r="E240" s="75" t="s">
        <v>3764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3765</v>
      </c>
      <c r="X240" s="75" t="s">
        <v>3766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3767</v>
      </c>
      <c r="E241" s="75" t="s">
        <v>3768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3769</v>
      </c>
      <c r="X241" s="75" t="s">
        <v>3770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3771</v>
      </c>
      <c r="E242" s="75" t="s">
        <v>3772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3773</v>
      </c>
      <c r="X242" s="75" t="s">
        <v>3774</v>
      </c>
      <c r="Y242" s="75"/>
      <c r="Z242" s="73" t="s">
        <v>312</v>
      </c>
    </row>
    <row r="243" spans="1:26" x14ac:dyDescent="0.45">
      <c r="A243" s="73"/>
      <c r="B243" s="73" t="s">
        <v>3830</v>
      </c>
      <c r="C243" s="74">
        <v>46155</v>
      </c>
      <c r="D243" s="75" t="s">
        <v>3831</v>
      </c>
      <c r="E243" s="75" t="s">
        <v>3832</v>
      </c>
      <c r="F243" s="74">
        <v>37960</v>
      </c>
      <c r="G243" s="73">
        <v>897</v>
      </c>
      <c r="H243" s="73">
        <v>18</v>
      </c>
      <c r="I243" s="73">
        <v>18</v>
      </c>
      <c r="J243" s="73">
        <v>15</v>
      </c>
      <c r="K243" s="73">
        <v>4</v>
      </c>
      <c r="L243" s="73"/>
      <c r="M243" s="73"/>
      <c r="N243" s="73">
        <v>19</v>
      </c>
      <c r="O243" s="73"/>
      <c r="P243" s="73">
        <v>662</v>
      </c>
      <c r="Q243" s="73">
        <v>20</v>
      </c>
      <c r="R243" s="73" t="s">
        <v>3833</v>
      </c>
      <c r="S243" s="73" t="s">
        <v>3834</v>
      </c>
      <c r="T243" s="73" t="s">
        <v>3835</v>
      </c>
      <c r="U243" s="73"/>
      <c r="V243" s="73" t="s">
        <v>3836</v>
      </c>
      <c r="W243" s="73" t="s">
        <v>3837</v>
      </c>
      <c r="X243" s="75" t="s">
        <v>3838</v>
      </c>
      <c r="Y243" s="75"/>
      <c r="Z243" s="73" t="s">
        <v>3839</v>
      </c>
    </row>
    <row r="244" spans="1:26" x14ac:dyDescent="0.45">
      <c r="A244" s="73"/>
      <c r="B244" s="73"/>
      <c r="C244" s="74"/>
      <c r="D244" s="75"/>
      <c r="E244" s="75"/>
      <c r="F244" s="74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5"/>
      <c r="Y244" s="75"/>
      <c r="Z244" s="73"/>
    </row>
    <row r="245" spans="1:26" x14ac:dyDescent="0.45">
      <c r="A245" s="73"/>
      <c r="B245" s="73"/>
      <c r="C245" s="74"/>
      <c r="D245" s="75"/>
      <c r="E245" s="75"/>
      <c r="F245" s="74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5"/>
      <c r="Y245" s="75"/>
      <c r="Z245" s="73"/>
    </row>
    <row r="246" spans="1:26" x14ac:dyDescent="0.45">
      <c r="A246" s="73"/>
      <c r="B246" s="73"/>
      <c r="C246" s="74"/>
      <c r="D246" s="75"/>
      <c r="E246" s="75"/>
      <c r="F246" s="74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5"/>
      <c r="Y246" s="75"/>
      <c r="Z246" s="73"/>
    </row>
    <row r="247" spans="1:26" x14ac:dyDescent="0.45">
      <c r="A247" s="73"/>
      <c r="B247" s="73"/>
      <c r="C247" s="74"/>
      <c r="D247" s="75"/>
      <c r="E247" s="75"/>
      <c r="F247" s="74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5"/>
      <c r="Y247" s="75"/>
      <c r="Z247" s="73"/>
    </row>
    <row r="248" spans="1:26" x14ac:dyDescent="0.45">
      <c r="A248" s="73"/>
      <c r="B248" s="73"/>
      <c r="C248" s="74"/>
      <c r="D248" s="75"/>
      <c r="E248" s="75"/>
      <c r="F248" s="74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5"/>
      <c r="Y248" s="75"/>
      <c r="Z248" s="73"/>
    </row>
    <row r="249" spans="1:26" x14ac:dyDescent="0.45">
      <c r="A249" s="73"/>
      <c r="B249" s="73"/>
      <c r="C249" s="74"/>
      <c r="D249" s="75"/>
      <c r="E249" s="75"/>
      <c r="F249" s="74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5"/>
      <c r="Y249" s="75"/>
      <c r="Z249" s="73"/>
    </row>
    <row r="250" spans="1:26" x14ac:dyDescent="0.45">
      <c r="A250" s="73"/>
      <c r="B250" s="73"/>
      <c r="C250" s="74"/>
      <c r="D250" s="75"/>
      <c r="E250" s="75"/>
      <c r="F250" s="74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5"/>
      <c r="Y250" s="75"/>
      <c r="Z250" s="73"/>
    </row>
    <row r="251" spans="1:26" x14ac:dyDescent="0.45">
      <c r="A251" s="73"/>
      <c r="B251" s="73"/>
      <c r="C251" s="74"/>
      <c r="D251" s="75"/>
      <c r="E251" s="75"/>
      <c r="F251" s="74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5"/>
      <c r="Y251" s="75"/>
      <c r="Z251" s="73"/>
    </row>
    <row r="252" spans="1:26" x14ac:dyDescent="0.45">
      <c r="A252" s="73"/>
      <c r="B252" s="73"/>
      <c r="C252" s="74"/>
      <c r="D252" s="75"/>
      <c r="E252" s="75"/>
      <c r="F252" s="74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5"/>
      <c r="Y252" s="75"/>
      <c r="Z252" s="73"/>
    </row>
    <row r="253" spans="1:26" x14ac:dyDescent="0.45">
      <c r="A253" s="73"/>
      <c r="B253" s="73"/>
      <c r="C253" s="74"/>
      <c r="D253" s="75"/>
      <c r="E253" s="75"/>
      <c r="F253" s="74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5"/>
      <c r="Y253" s="75"/>
      <c r="Z253" s="73"/>
    </row>
    <row r="254" spans="1:26" x14ac:dyDescent="0.45">
      <c r="A254" s="73"/>
      <c r="B254" s="73"/>
      <c r="C254" s="74"/>
      <c r="D254" s="75"/>
      <c r="E254" s="75"/>
      <c r="F254" s="74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5"/>
      <c r="Y254" s="75"/>
      <c r="Z254" s="73"/>
    </row>
    <row r="255" spans="1:26" x14ac:dyDescent="0.45">
      <c r="A255" s="73"/>
      <c r="B255" s="73"/>
      <c r="C255" s="74"/>
      <c r="D255" s="75"/>
      <c r="E255" s="75"/>
      <c r="F255" s="74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5"/>
      <c r="Y255" s="75"/>
      <c r="Z255" s="73"/>
    </row>
    <row r="256" spans="1:26" x14ac:dyDescent="0.45">
      <c r="A256" s="73"/>
      <c r="B256" s="73"/>
      <c r="C256" s="74"/>
      <c r="D256" s="75"/>
      <c r="E256" s="75"/>
      <c r="F256" s="74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5"/>
      <c r="Y256" s="75"/>
      <c r="Z256" s="73"/>
    </row>
    <row r="257" spans="1:26" x14ac:dyDescent="0.45">
      <c r="A257" s="73"/>
      <c r="B257" s="73"/>
      <c r="C257" s="74"/>
      <c r="D257" s="75"/>
      <c r="E257" s="75"/>
      <c r="F257" s="74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5"/>
      <c r="Y257" s="75"/>
      <c r="Z257" s="73"/>
    </row>
    <row r="258" spans="1:26" x14ac:dyDescent="0.45">
      <c r="A258" s="73"/>
      <c r="B258" s="73"/>
      <c r="C258" s="74"/>
      <c r="D258" s="75"/>
      <c r="E258" s="75"/>
      <c r="F258" s="74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5"/>
      <c r="Y258" s="75"/>
      <c r="Z258" s="73"/>
    </row>
    <row r="259" spans="1:26" x14ac:dyDescent="0.45">
      <c r="A259" s="73"/>
      <c r="B259" s="73"/>
      <c r="C259" s="74"/>
      <c r="D259" s="75"/>
      <c r="E259" s="75"/>
      <c r="F259" s="74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5"/>
      <c r="Y259" s="75"/>
      <c r="Z259" s="73"/>
    </row>
    <row r="260" spans="1:26" x14ac:dyDescent="0.45">
      <c r="A260" s="73"/>
      <c r="B260" s="73"/>
      <c r="C260" s="74"/>
      <c r="D260" s="75"/>
      <c r="E260" s="75"/>
      <c r="F260" s="74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5"/>
      <c r="Y260" s="75"/>
      <c r="Z260" s="73"/>
    </row>
    <row r="261" spans="1:26" x14ac:dyDescent="0.45">
      <c r="A261" s="73"/>
      <c r="B261" s="73"/>
      <c r="C261" s="74"/>
      <c r="D261" s="75"/>
      <c r="E261" s="75"/>
      <c r="F261" s="74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5"/>
      <c r="Y261" s="75"/>
      <c r="Z261" s="73"/>
    </row>
    <row r="262" spans="1:26" x14ac:dyDescent="0.45">
      <c r="A262" s="73"/>
      <c r="B262" s="73"/>
      <c r="C262" s="74"/>
      <c r="D262" s="75"/>
      <c r="E262" s="75"/>
      <c r="F262" s="74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5"/>
      <c r="Y262" s="75"/>
      <c r="Z262" s="73"/>
    </row>
    <row r="263" spans="1:26" x14ac:dyDescent="0.45">
      <c r="A263" s="73"/>
      <c r="B263" s="73"/>
      <c r="C263" s="74"/>
      <c r="D263" s="75"/>
      <c r="E263" s="75"/>
      <c r="F263" s="74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5"/>
      <c r="Y263" s="75"/>
      <c r="Z263" s="73"/>
    </row>
    <row r="264" spans="1:26" x14ac:dyDescent="0.45">
      <c r="A264" s="73"/>
      <c r="B264" s="73"/>
      <c r="C264" s="74"/>
      <c r="D264" s="75"/>
      <c r="E264" s="75"/>
      <c r="F264" s="74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5"/>
      <c r="Y264" s="75"/>
      <c r="Z264" s="73"/>
    </row>
    <row r="265" spans="1:26" x14ac:dyDescent="0.45">
      <c r="A265" s="73"/>
      <c r="B265" s="73"/>
      <c r="C265" s="74"/>
      <c r="D265" s="75"/>
      <c r="E265" s="75"/>
      <c r="F265" s="74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5"/>
      <c r="Y265" s="75"/>
      <c r="Z265" s="73"/>
    </row>
    <row r="266" spans="1:26" x14ac:dyDescent="0.45">
      <c r="A266" s="73"/>
      <c r="B266" s="73"/>
      <c r="C266" s="74"/>
      <c r="D266" s="75"/>
      <c r="E266" s="75"/>
      <c r="F266" s="74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5"/>
      <c r="Y266" s="75"/>
      <c r="Z266" s="73"/>
    </row>
    <row r="267" spans="1:26" x14ac:dyDescent="0.45">
      <c r="A267" s="73"/>
      <c r="B267" s="73"/>
      <c r="C267" s="74"/>
      <c r="D267" s="75"/>
      <c r="E267" s="75"/>
      <c r="F267" s="74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5"/>
      <c r="Y267" s="75"/>
      <c r="Z267" s="73"/>
    </row>
    <row r="268" spans="1:26" x14ac:dyDescent="0.45">
      <c r="A268" s="73"/>
      <c r="B268" s="73"/>
      <c r="C268" s="74"/>
      <c r="D268" s="75"/>
      <c r="E268" s="75"/>
      <c r="F268" s="74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5"/>
      <c r="Y268" s="75"/>
      <c r="Z268" s="73"/>
    </row>
    <row r="269" spans="1:26" x14ac:dyDescent="0.45">
      <c r="A269" s="73"/>
      <c r="B269" s="73"/>
      <c r="C269" s="74"/>
      <c r="D269" s="75"/>
      <c r="E269" s="75"/>
      <c r="F269" s="74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5"/>
      <c r="Y269" s="75"/>
      <c r="Z269" s="73"/>
    </row>
    <row r="270" spans="1:26" x14ac:dyDescent="0.45">
      <c r="A270" s="73"/>
      <c r="B270" s="73"/>
      <c r="C270" s="74"/>
      <c r="D270" s="75"/>
      <c r="E270" s="75"/>
      <c r="F270" s="74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5"/>
      <c r="Y270" s="75"/>
      <c r="Z270" s="73"/>
    </row>
    <row r="271" spans="1:26" x14ac:dyDescent="0.45">
      <c r="A271" s="73"/>
      <c r="B271" s="73"/>
      <c r="C271" s="74"/>
      <c r="D271" s="75"/>
      <c r="E271" s="75"/>
      <c r="F271" s="74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5"/>
      <c r="Y271" s="75"/>
      <c r="Z271" s="73"/>
    </row>
    <row r="272" spans="1:26" x14ac:dyDescent="0.45">
      <c r="A272" s="73"/>
      <c r="B272" s="73"/>
      <c r="C272" s="74"/>
      <c r="D272" s="75"/>
      <c r="E272" s="75"/>
      <c r="F272" s="74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5"/>
      <c r="Y272" s="75"/>
      <c r="Z272" s="73"/>
    </row>
    <row r="273" spans="1:26" x14ac:dyDescent="0.45">
      <c r="A273" s="73"/>
      <c r="B273" s="73"/>
      <c r="C273" s="74"/>
      <c r="D273" s="75"/>
      <c r="E273" s="75"/>
      <c r="F273" s="74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5"/>
      <c r="Y273" s="75"/>
      <c r="Z273" s="73"/>
    </row>
    <row r="274" spans="1:26" x14ac:dyDescent="0.45">
      <c r="A274" s="73"/>
      <c r="B274" s="73"/>
      <c r="C274" s="74"/>
      <c r="D274" s="75"/>
      <c r="E274" s="75"/>
      <c r="F274" s="74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5"/>
      <c r="Y274" s="75"/>
      <c r="Z274" s="73"/>
    </row>
    <row r="275" spans="1:26" x14ac:dyDescent="0.45">
      <c r="A275" s="73"/>
      <c r="B275" s="73"/>
      <c r="C275" s="74"/>
      <c r="D275" s="75"/>
      <c r="E275" s="75"/>
      <c r="F275" s="74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5"/>
      <c r="Y275" s="75"/>
      <c r="Z275" s="73"/>
    </row>
    <row r="276" spans="1:26" x14ac:dyDescent="0.45">
      <c r="A276" s="73"/>
      <c r="B276" s="73"/>
      <c r="C276" s="74"/>
      <c r="D276" s="75"/>
      <c r="E276" s="75"/>
      <c r="F276" s="74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5"/>
      <c r="Y276" s="75"/>
      <c r="Z276" s="73"/>
    </row>
    <row r="277" spans="1:26" x14ac:dyDescent="0.45">
      <c r="A277" s="73"/>
      <c r="B277" s="73"/>
      <c r="C277" s="74"/>
      <c r="D277" s="75"/>
      <c r="E277" s="75"/>
      <c r="F277" s="74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5"/>
      <c r="Y277" s="75"/>
      <c r="Z277" s="73"/>
    </row>
    <row r="278" spans="1:26" x14ac:dyDescent="0.45">
      <c r="A278" s="73"/>
      <c r="B278" s="73"/>
      <c r="C278" s="74"/>
      <c r="D278" s="75"/>
      <c r="E278" s="75"/>
      <c r="F278" s="74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5"/>
      <c r="Y278" s="75"/>
      <c r="Z278" s="73"/>
    </row>
    <row r="279" spans="1:26" x14ac:dyDescent="0.45">
      <c r="A279" s="73"/>
      <c r="B279" s="73"/>
      <c r="C279" s="74"/>
      <c r="D279" s="75"/>
      <c r="E279" s="75"/>
      <c r="F279" s="74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5"/>
      <c r="Y279" s="75"/>
      <c r="Z279" s="73"/>
    </row>
    <row r="280" spans="1:26" x14ac:dyDescent="0.45">
      <c r="A280" s="73"/>
      <c r="B280" s="73"/>
      <c r="C280" s="74"/>
      <c r="D280" s="75"/>
      <c r="E280" s="75"/>
      <c r="F280" s="74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5"/>
      <c r="Y280" s="75"/>
      <c r="Z280" s="73"/>
    </row>
    <row r="281" spans="1:26" x14ac:dyDescent="0.45">
      <c r="A281" s="73"/>
      <c r="B281" s="73"/>
      <c r="C281" s="74"/>
      <c r="D281" s="75"/>
      <c r="E281" s="75"/>
      <c r="F281" s="74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5"/>
      <c r="Y281" s="75"/>
      <c r="Z281" s="73"/>
    </row>
    <row r="282" spans="1:26" x14ac:dyDescent="0.45">
      <c r="A282" s="73"/>
      <c r="B282" s="73"/>
      <c r="C282" s="74"/>
      <c r="D282" s="75"/>
      <c r="E282" s="75"/>
      <c r="F282" s="74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5"/>
      <c r="Y282" s="75"/>
      <c r="Z282" s="73"/>
    </row>
    <row r="283" spans="1:26" x14ac:dyDescent="0.45">
      <c r="A283" s="73"/>
      <c r="B283" s="73"/>
      <c r="C283" s="74"/>
      <c r="D283" s="75"/>
      <c r="E283" s="75"/>
      <c r="F283" s="74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5"/>
      <c r="Y283" s="75"/>
      <c r="Z283" s="73"/>
    </row>
    <row r="284" spans="1:26" x14ac:dyDescent="0.45">
      <c r="A284" s="73"/>
      <c r="B284" s="73"/>
      <c r="C284" s="74"/>
      <c r="D284" s="75"/>
      <c r="E284" s="75"/>
      <c r="F284" s="74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5"/>
      <c r="Y284" s="75"/>
      <c r="Z284" s="73"/>
    </row>
    <row r="285" spans="1:26" x14ac:dyDescent="0.45">
      <c r="A285" s="73"/>
      <c r="B285" s="73"/>
      <c r="C285" s="74"/>
      <c r="D285" s="75"/>
      <c r="E285" s="75"/>
      <c r="F285" s="74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5"/>
      <c r="Y285" s="75"/>
      <c r="Z285" s="73"/>
    </row>
    <row r="286" spans="1:26" x14ac:dyDescent="0.45">
      <c r="A286" s="73"/>
      <c r="B286" s="73"/>
      <c r="C286" s="74"/>
      <c r="D286" s="75"/>
      <c r="E286" s="75"/>
      <c r="F286" s="74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5"/>
      <c r="Y286" s="75"/>
      <c r="Z286" s="73"/>
    </row>
    <row r="287" spans="1:26" x14ac:dyDescent="0.45">
      <c r="A287" s="73"/>
      <c r="B287" s="73"/>
      <c r="C287" s="74"/>
      <c r="D287" s="75"/>
      <c r="E287" s="75"/>
      <c r="F287" s="74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5"/>
      <c r="Y287" s="75"/>
      <c r="Z287" s="73"/>
    </row>
    <row r="288" spans="1:26" x14ac:dyDescent="0.45">
      <c r="A288" s="73"/>
      <c r="B288" s="73"/>
      <c r="C288" s="74"/>
      <c r="D288" s="75"/>
      <c r="E288" s="75"/>
      <c r="F288" s="74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5"/>
      <c r="Y288" s="75"/>
      <c r="Z288" s="73"/>
    </row>
    <row r="289" spans="1:26" x14ac:dyDescent="0.45">
      <c r="A289" s="73"/>
      <c r="B289" s="73"/>
      <c r="C289" s="74"/>
      <c r="D289" s="75"/>
      <c r="E289" s="75"/>
      <c r="F289" s="74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5"/>
      <c r="Y289" s="75"/>
      <c r="Z289" s="73"/>
    </row>
    <row r="290" spans="1:26" x14ac:dyDescent="0.45">
      <c r="A290" s="73"/>
      <c r="B290" s="73"/>
      <c r="C290" s="74"/>
      <c r="D290" s="75"/>
      <c r="E290" s="75"/>
      <c r="F290" s="74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5"/>
      <c r="Y290" s="75"/>
      <c r="Z290" s="73"/>
    </row>
    <row r="291" spans="1:26" x14ac:dyDescent="0.45">
      <c r="A291" s="73"/>
      <c r="B291" s="73"/>
      <c r="C291" s="74"/>
      <c r="D291" s="75"/>
      <c r="E291" s="75"/>
      <c r="F291" s="74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5"/>
      <c r="Y291" s="75"/>
      <c r="Z291" s="73"/>
    </row>
    <row r="292" spans="1:26" x14ac:dyDescent="0.45">
      <c r="A292" s="73"/>
      <c r="B292" s="73"/>
      <c r="C292" s="74"/>
      <c r="D292" s="75"/>
      <c r="E292" s="75"/>
      <c r="F292" s="74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5"/>
      <c r="Y292" s="75"/>
      <c r="Z292" s="73"/>
    </row>
    <row r="293" spans="1:26" x14ac:dyDescent="0.45">
      <c r="A293" s="73"/>
      <c r="B293" s="73"/>
      <c r="C293" s="74"/>
      <c r="D293" s="75"/>
      <c r="E293" s="75"/>
      <c r="F293" s="74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5"/>
      <c r="Y293" s="75"/>
      <c r="Z293" s="73"/>
    </row>
    <row r="294" spans="1:26" x14ac:dyDescent="0.45">
      <c r="A294" s="73"/>
      <c r="B294" s="73"/>
      <c r="C294" s="74"/>
      <c r="D294" s="75"/>
      <c r="E294" s="75"/>
      <c r="F294" s="74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5"/>
      <c r="Y294" s="75"/>
      <c r="Z294" s="73"/>
    </row>
    <row r="295" spans="1:26" x14ac:dyDescent="0.45">
      <c r="A295" s="73"/>
      <c r="B295" s="73"/>
      <c r="C295" s="74"/>
      <c r="D295" s="75"/>
      <c r="E295" s="75"/>
      <c r="F295" s="74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5"/>
      <c r="Y295" s="75"/>
      <c r="Z295" s="73"/>
    </row>
    <row r="296" spans="1:26" x14ac:dyDescent="0.45">
      <c r="A296" s="73"/>
      <c r="B296" s="73"/>
      <c r="C296" s="74"/>
      <c r="D296" s="75"/>
      <c r="E296" s="75"/>
      <c r="F296" s="74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5"/>
      <c r="Y296" s="75"/>
      <c r="Z296" s="73"/>
    </row>
    <row r="297" spans="1:26" x14ac:dyDescent="0.45">
      <c r="A297" s="73"/>
      <c r="B297" s="73"/>
      <c r="C297" s="74"/>
      <c r="D297" s="75"/>
      <c r="E297" s="75"/>
      <c r="F297" s="74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5"/>
      <c r="Y297" s="75"/>
      <c r="Z297" s="73"/>
    </row>
    <row r="298" spans="1:26" x14ac:dyDescent="0.45">
      <c r="A298" s="73"/>
      <c r="B298" s="73"/>
      <c r="C298" s="74"/>
      <c r="D298" s="75"/>
      <c r="E298" s="75"/>
      <c r="F298" s="74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5"/>
      <c r="Y298" s="75"/>
      <c r="Z298" s="73"/>
    </row>
    <row r="299" spans="1:26" x14ac:dyDescent="0.45">
      <c r="A299" s="73"/>
      <c r="B299" s="73"/>
      <c r="C299" s="74"/>
      <c r="D299" s="75"/>
      <c r="E299" s="75"/>
      <c r="F299" s="74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5"/>
      <c r="Y299" s="75"/>
      <c r="Z299" s="73"/>
    </row>
    <row r="300" spans="1:26" x14ac:dyDescent="0.45">
      <c r="A300" s="73"/>
      <c r="B300" s="73"/>
      <c r="C300" s="74"/>
      <c r="D300" s="75"/>
      <c r="E300" s="75"/>
      <c r="F300" s="74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5"/>
      <c r="Y300" s="75"/>
      <c r="Z300" s="73"/>
    </row>
    <row r="301" spans="1:26" x14ac:dyDescent="0.45">
      <c r="A301" s="73"/>
      <c r="B301" s="73"/>
      <c r="C301" s="74"/>
      <c r="D301" s="75"/>
      <c r="E301" s="75"/>
      <c r="F301" s="74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5"/>
      <c r="Y301" s="75"/>
      <c r="Z301" s="73"/>
    </row>
    <row r="302" spans="1:26" x14ac:dyDescent="0.45">
      <c r="A302" s="73"/>
      <c r="B302" s="73"/>
      <c r="C302" s="74"/>
      <c r="D302" s="75"/>
      <c r="E302" s="75"/>
      <c r="F302" s="74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5"/>
      <c r="Y302" s="75"/>
      <c r="Z302" s="73"/>
    </row>
    <row r="303" spans="1:26" x14ac:dyDescent="0.45">
      <c r="A303" s="73"/>
      <c r="B303" s="73"/>
      <c r="C303" s="74"/>
      <c r="D303" s="75"/>
      <c r="E303" s="75"/>
      <c r="F303" s="74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5"/>
      <c r="Y303" s="75"/>
      <c r="Z303" s="73"/>
    </row>
    <row r="304" spans="1:26" x14ac:dyDescent="0.45">
      <c r="A304" s="73"/>
      <c r="B304" s="73"/>
      <c r="C304" s="74"/>
      <c r="D304" s="75"/>
      <c r="E304" s="75"/>
      <c r="F304" s="74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5"/>
      <c r="Y304" s="75"/>
      <c r="Z304" s="73"/>
    </row>
    <row r="305" spans="1:26" x14ac:dyDescent="0.45">
      <c r="A305" s="73"/>
      <c r="B305" s="73"/>
      <c r="C305" s="74"/>
      <c r="D305" s="75"/>
      <c r="E305" s="75"/>
      <c r="F305" s="74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5"/>
      <c r="Y305" s="75"/>
      <c r="Z305" s="73"/>
    </row>
    <row r="306" spans="1:26" x14ac:dyDescent="0.45">
      <c r="A306" s="73"/>
      <c r="B306" s="73"/>
      <c r="C306" s="74"/>
      <c r="D306" s="75"/>
      <c r="E306" s="75"/>
      <c r="F306" s="74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5"/>
      <c r="Y306" s="75"/>
      <c r="Z306" s="73"/>
    </row>
    <row r="307" spans="1:26" x14ac:dyDescent="0.45">
      <c r="A307" s="73"/>
      <c r="B307" s="73"/>
      <c r="C307" s="74"/>
      <c r="D307" s="75"/>
      <c r="E307" s="75"/>
      <c r="F307" s="74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5"/>
      <c r="Y307" s="75"/>
      <c r="Z307" s="73"/>
    </row>
    <row r="308" spans="1:26" x14ac:dyDescent="0.45">
      <c r="A308" s="73"/>
      <c r="B308" s="73"/>
      <c r="C308" s="74"/>
      <c r="D308" s="75"/>
      <c r="E308" s="75"/>
      <c r="F308" s="74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5"/>
      <c r="Y308" s="75"/>
      <c r="Z308" s="73"/>
    </row>
    <row r="309" spans="1:26" x14ac:dyDescent="0.45">
      <c r="A309" s="73"/>
      <c r="B309" s="73"/>
      <c r="C309" s="74"/>
      <c r="D309" s="75"/>
      <c r="E309" s="75"/>
      <c r="F309" s="74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5"/>
      <c r="Y309" s="75"/>
      <c r="Z309" s="73"/>
    </row>
    <row r="310" spans="1:26" x14ac:dyDescent="0.45">
      <c r="A310" s="73"/>
      <c r="B310" s="73"/>
      <c r="C310" s="74"/>
      <c r="D310" s="75"/>
      <c r="E310" s="75"/>
      <c r="F310" s="74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5"/>
      <c r="Y310" s="75"/>
      <c r="Z310" s="73"/>
    </row>
    <row r="311" spans="1:26" x14ac:dyDescent="0.45">
      <c r="A311" s="73"/>
      <c r="B311" s="73"/>
      <c r="C311" s="74"/>
      <c r="D311" s="75"/>
      <c r="E311" s="75"/>
      <c r="F311" s="74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5"/>
      <c r="Y311" s="75"/>
      <c r="Z311" s="73"/>
    </row>
    <row r="312" spans="1:26" x14ac:dyDescent="0.45">
      <c r="A312" s="73"/>
      <c r="B312" s="73"/>
      <c r="C312" s="74"/>
      <c r="D312" s="75"/>
      <c r="E312" s="75"/>
      <c r="F312" s="74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5"/>
      <c r="Y312" s="75"/>
      <c r="Z312" s="73"/>
    </row>
    <row r="313" spans="1:26" x14ac:dyDescent="0.45">
      <c r="A313" s="73"/>
      <c r="B313" s="73"/>
      <c r="C313" s="74"/>
      <c r="D313" s="75"/>
      <c r="E313" s="75"/>
      <c r="F313" s="74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5"/>
      <c r="Y313" s="75"/>
      <c r="Z313" s="73"/>
    </row>
    <row r="314" spans="1:26" x14ac:dyDescent="0.45">
      <c r="A314" s="73"/>
      <c r="B314" s="73"/>
      <c r="C314" s="74"/>
      <c r="D314" s="75"/>
      <c r="E314" s="75"/>
      <c r="F314" s="74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5"/>
      <c r="Y314" s="75"/>
      <c r="Z314" s="73"/>
    </row>
    <row r="315" spans="1:26" x14ac:dyDescent="0.45">
      <c r="A315" s="73"/>
      <c r="B315" s="73"/>
      <c r="C315" s="74"/>
      <c r="D315" s="75"/>
      <c r="E315" s="75"/>
      <c r="F315" s="74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5"/>
      <c r="Y315" s="75"/>
      <c r="Z315" s="73"/>
    </row>
    <row r="316" spans="1:26" x14ac:dyDescent="0.45">
      <c r="A316" s="73"/>
      <c r="B316" s="73"/>
      <c r="C316" s="74"/>
      <c r="D316" s="75"/>
      <c r="E316" s="75"/>
      <c r="F316" s="74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5"/>
      <c r="Y316" s="75"/>
      <c r="Z316" s="73"/>
    </row>
    <row r="317" spans="1:26" x14ac:dyDescent="0.45">
      <c r="A317" s="73"/>
      <c r="B317" s="73"/>
      <c r="C317" s="74"/>
      <c r="D317" s="75"/>
      <c r="E317" s="75"/>
      <c r="F317" s="74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5"/>
      <c r="Y317" s="75"/>
      <c r="Z317" s="73"/>
    </row>
    <row r="318" spans="1:26" x14ac:dyDescent="0.45">
      <c r="A318" s="73"/>
      <c r="B318" s="73"/>
      <c r="C318" s="74"/>
      <c r="D318" s="75"/>
      <c r="E318" s="75"/>
      <c r="F318" s="74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5"/>
      <c r="Y318" s="75"/>
      <c r="Z318" s="73"/>
    </row>
    <row r="319" spans="1:26" x14ac:dyDescent="0.45">
      <c r="A319" s="73"/>
      <c r="B319" s="73"/>
      <c r="C319" s="74"/>
      <c r="D319" s="75"/>
      <c r="E319" s="75"/>
      <c r="F319" s="74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5"/>
      <c r="Y319" s="75"/>
      <c r="Z319" s="73"/>
    </row>
    <row r="320" spans="1:26" x14ac:dyDescent="0.45">
      <c r="A320" s="73"/>
      <c r="B320" s="73"/>
      <c r="C320" s="74"/>
      <c r="D320" s="75"/>
      <c r="E320" s="75"/>
      <c r="F320" s="74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5"/>
      <c r="Y320" s="75"/>
      <c r="Z320" s="73"/>
    </row>
    <row r="321" spans="1:26" x14ac:dyDescent="0.45">
      <c r="A321" s="73"/>
      <c r="B321" s="73"/>
      <c r="C321" s="74"/>
      <c r="D321" s="75"/>
      <c r="E321" s="75"/>
      <c r="F321" s="74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5"/>
      <c r="Y321" s="75"/>
      <c r="Z321" s="73"/>
    </row>
    <row r="322" spans="1:26" x14ac:dyDescent="0.45">
      <c r="A322" s="73"/>
      <c r="B322" s="73"/>
      <c r="C322" s="74"/>
      <c r="D322" s="75"/>
      <c r="E322" s="75"/>
      <c r="F322" s="74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5"/>
      <c r="Y322" s="75"/>
      <c r="Z322" s="73"/>
    </row>
    <row r="323" spans="1:26" x14ac:dyDescent="0.45">
      <c r="A323" s="73"/>
      <c r="B323" s="73"/>
      <c r="C323" s="74"/>
      <c r="D323" s="75"/>
      <c r="E323" s="75"/>
      <c r="F323" s="74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5"/>
      <c r="Y323" s="75"/>
      <c r="Z323" s="73"/>
    </row>
    <row r="324" spans="1:26" x14ac:dyDescent="0.45">
      <c r="A324" s="73"/>
      <c r="B324" s="73"/>
      <c r="C324" s="74"/>
      <c r="D324" s="75"/>
      <c r="E324" s="75"/>
      <c r="F324" s="74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5"/>
      <c r="Y324" s="75"/>
      <c r="Z324" s="73"/>
    </row>
    <row r="325" spans="1:26" x14ac:dyDescent="0.45">
      <c r="A325" s="73"/>
      <c r="B325" s="73"/>
      <c r="C325" s="74"/>
      <c r="D325" s="75"/>
      <c r="E325" s="75"/>
      <c r="F325" s="74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5"/>
      <c r="Y325" s="75"/>
      <c r="Z325" s="73"/>
    </row>
    <row r="326" spans="1:26" x14ac:dyDescent="0.45">
      <c r="A326" s="73"/>
      <c r="B326" s="73"/>
      <c r="C326" s="74"/>
      <c r="D326" s="75"/>
      <c r="E326" s="75"/>
      <c r="F326" s="74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5"/>
      <c r="Y326" s="75"/>
      <c r="Z326" s="73"/>
    </row>
    <row r="327" spans="1:26" x14ac:dyDescent="0.45">
      <c r="A327" s="73"/>
      <c r="B327" s="73"/>
      <c r="C327" s="74"/>
      <c r="D327" s="75"/>
      <c r="E327" s="75"/>
      <c r="F327" s="74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5"/>
      <c r="Y327" s="75"/>
      <c r="Z327" s="73"/>
    </row>
    <row r="328" spans="1:26" x14ac:dyDescent="0.45">
      <c r="A328" s="73"/>
      <c r="B328" s="73"/>
      <c r="C328" s="74"/>
      <c r="D328" s="75"/>
      <c r="E328" s="75"/>
      <c r="F328" s="74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5"/>
      <c r="Y328" s="75"/>
      <c r="Z328" s="73"/>
    </row>
    <row r="329" spans="1:26" x14ac:dyDescent="0.45">
      <c r="A329" s="73"/>
      <c r="B329" s="73"/>
      <c r="C329" s="74"/>
      <c r="D329" s="75"/>
      <c r="E329" s="75"/>
      <c r="F329" s="74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5"/>
      <c r="Y329" s="75"/>
      <c r="Z329" s="73"/>
    </row>
    <row r="330" spans="1:26" x14ac:dyDescent="0.45">
      <c r="A330" s="73"/>
      <c r="B330" s="73"/>
      <c r="C330" s="74"/>
      <c r="D330" s="75"/>
      <c r="E330" s="75"/>
      <c r="F330" s="74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5"/>
      <c r="Y330" s="75"/>
      <c r="Z330" s="73"/>
    </row>
    <row r="331" spans="1:26" x14ac:dyDescent="0.45">
      <c r="A331" s="73"/>
      <c r="B331" s="73"/>
      <c r="C331" s="74"/>
      <c r="D331" s="75"/>
      <c r="E331" s="75"/>
      <c r="F331" s="74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5"/>
      <c r="Y331" s="75"/>
      <c r="Z331" s="73"/>
    </row>
    <row r="332" spans="1:26" x14ac:dyDescent="0.45">
      <c r="A332" s="73"/>
      <c r="B332" s="73"/>
      <c r="C332" s="74"/>
      <c r="D332" s="75"/>
      <c r="E332" s="75"/>
      <c r="F332" s="74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5"/>
      <c r="Y332" s="75"/>
      <c r="Z332" s="73"/>
    </row>
    <row r="333" spans="1:26" x14ac:dyDescent="0.45">
      <c r="A333" s="73"/>
      <c r="B333" s="73"/>
      <c r="C333" s="74"/>
      <c r="D333" s="75"/>
      <c r="E333" s="75"/>
      <c r="F333" s="74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5"/>
      <c r="Y333" s="75"/>
      <c r="Z333" s="73"/>
    </row>
    <row r="334" spans="1:26" x14ac:dyDescent="0.45">
      <c r="A334" s="73"/>
      <c r="B334" s="73"/>
      <c r="C334" s="74"/>
      <c r="D334" s="75"/>
      <c r="E334" s="75"/>
      <c r="F334" s="74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5"/>
      <c r="Y334" s="75"/>
      <c r="Z334" s="73"/>
    </row>
    <row r="335" spans="1:26" x14ac:dyDescent="0.45">
      <c r="A335" s="73"/>
      <c r="B335" s="73"/>
      <c r="C335" s="74"/>
      <c r="D335" s="75"/>
      <c r="E335" s="75"/>
      <c r="F335" s="74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5"/>
      <c r="Y335" s="75"/>
      <c r="Z335" s="73"/>
    </row>
    <row r="336" spans="1:26" x14ac:dyDescent="0.45">
      <c r="A336" s="73"/>
      <c r="B336" s="73"/>
      <c r="C336" s="74"/>
      <c r="D336" s="75"/>
      <c r="E336" s="75"/>
      <c r="F336" s="74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5"/>
      <c r="Y336" s="75"/>
      <c r="Z336" s="73"/>
    </row>
    <row r="337" spans="1:26" x14ac:dyDescent="0.45">
      <c r="A337" s="73"/>
      <c r="B337" s="73"/>
      <c r="C337" s="74"/>
      <c r="D337" s="75"/>
      <c r="E337" s="75"/>
      <c r="F337" s="74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5"/>
      <c r="Y337" s="75"/>
      <c r="Z337" s="73"/>
    </row>
    <row r="338" spans="1:26" x14ac:dyDescent="0.45">
      <c r="A338" s="73"/>
      <c r="B338" s="73"/>
      <c r="C338" s="74"/>
      <c r="D338" s="75"/>
      <c r="E338" s="75"/>
      <c r="F338" s="74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5"/>
      <c r="Y338" s="75"/>
      <c r="Z338" s="73"/>
    </row>
    <row r="339" spans="1:26" x14ac:dyDescent="0.45">
      <c r="A339" s="73"/>
      <c r="B339" s="73"/>
      <c r="C339" s="74"/>
      <c r="D339" s="75"/>
      <c r="E339" s="75"/>
      <c r="F339" s="74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5"/>
      <c r="Y339" s="75"/>
      <c r="Z339" s="73"/>
    </row>
    <row r="340" spans="1:26" x14ac:dyDescent="0.45">
      <c r="A340" s="73"/>
      <c r="B340" s="73"/>
      <c r="C340" s="74"/>
      <c r="D340" s="75"/>
      <c r="E340" s="75"/>
      <c r="F340" s="74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5"/>
      <c r="Y340" s="75"/>
      <c r="Z340" s="73"/>
    </row>
    <row r="341" spans="1:26" x14ac:dyDescent="0.45">
      <c r="A341" s="73"/>
      <c r="B341" s="73"/>
      <c r="C341" s="74"/>
      <c r="D341" s="75"/>
      <c r="E341" s="75"/>
      <c r="F341" s="74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5"/>
      <c r="Y341" s="75"/>
      <c r="Z341" s="73"/>
    </row>
    <row r="342" spans="1:26" x14ac:dyDescent="0.45">
      <c r="A342" s="73"/>
      <c r="B342" s="73"/>
      <c r="C342" s="74"/>
      <c r="D342" s="75"/>
      <c r="E342" s="75"/>
      <c r="F342" s="74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5"/>
      <c r="Y342" s="75"/>
      <c r="Z342" s="73"/>
    </row>
    <row r="343" spans="1:26" x14ac:dyDescent="0.45">
      <c r="A343" s="73"/>
      <c r="B343" s="73"/>
      <c r="C343" s="74"/>
      <c r="D343" s="75"/>
      <c r="E343" s="75"/>
      <c r="F343" s="74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5"/>
      <c r="Y343" s="75"/>
      <c r="Z343" s="73"/>
    </row>
    <row r="344" spans="1:26" x14ac:dyDescent="0.45">
      <c r="A344" s="73"/>
      <c r="B344" s="73"/>
      <c r="C344" s="74"/>
      <c r="D344" s="75"/>
      <c r="E344" s="75"/>
      <c r="F344" s="74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5"/>
      <c r="Y344" s="75"/>
      <c r="Z344" s="73"/>
    </row>
    <row r="345" spans="1:26" x14ac:dyDescent="0.45">
      <c r="A345" s="73"/>
      <c r="B345" s="73"/>
      <c r="C345" s="74"/>
      <c r="D345" s="75"/>
      <c r="E345" s="75"/>
      <c r="F345" s="74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5"/>
      <c r="Y345" s="75"/>
      <c r="Z345" s="73"/>
    </row>
    <row r="346" spans="1:26" x14ac:dyDescent="0.45">
      <c r="A346" s="73"/>
      <c r="B346" s="73"/>
      <c r="C346" s="74"/>
      <c r="D346" s="75"/>
      <c r="E346" s="75"/>
      <c r="F346" s="74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5"/>
      <c r="Y346" s="75"/>
      <c r="Z346" s="73"/>
    </row>
    <row r="347" spans="1:26" x14ac:dyDescent="0.45">
      <c r="A347" s="73"/>
      <c r="B347" s="73"/>
      <c r="C347" s="74"/>
      <c r="D347" s="75"/>
      <c r="E347" s="75"/>
      <c r="F347" s="74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5"/>
      <c r="Y347" s="75"/>
      <c r="Z347" s="73"/>
    </row>
    <row r="348" spans="1:26" x14ac:dyDescent="0.45">
      <c r="A348" s="73"/>
      <c r="B348" s="73"/>
      <c r="C348" s="74"/>
      <c r="D348" s="75"/>
      <c r="E348" s="75"/>
      <c r="F348" s="74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5"/>
      <c r="Y348" s="75"/>
      <c r="Z348" s="73"/>
    </row>
    <row r="349" spans="1:26" x14ac:dyDescent="0.45">
      <c r="A349" s="73"/>
      <c r="B349" s="73"/>
      <c r="C349" s="74"/>
      <c r="D349" s="75"/>
      <c r="E349" s="75"/>
      <c r="F349" s="74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5"/>
      <c r="Y349" s="75"/>
      <c r="Z349" s="73"/>
    </row>
    <row r="350" spans="1:26" x14ac:dyDescent="0.45">
      <c r="A350" s="73"/>
      <c r="B350" s="73"/>
      <c r="C350" s="74"/>
      <c r="D350" s="75"/>
      <c r="E350" s="75"/>
      <c r="F350" s="74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5"/>
      <c r="Y350" s="75"/>
      <c r="Z350" s="73"/>
    </row>
    <row r="351" spans="1:26" x14ac:dyDescent="0.45">
      <c r="A351" s="73"/>
      <c r="B351" s="73"/>
      <c r="C351" s="74"/>
      <c r="D351" s="75"/>
      <c r="E351" s="75"/>
      <c r="F351" s="74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5"/>
      <c r="Y351" s="75"/>
      <c r="Z351" s="73"/>
    </row>
    <row r="352" spans="1:26" x14ac:dyDescent="0.45">
      <c r="A352" s="73"/>
      <c r="B352" s="73"/>
      <c r="C352" s="74"/>
      <c r="D352" s="75"/>
      <c r="E352" s="75"/>
      <c r="F352" s="74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5"/>
      <c r="Y352" s="75"/>
      <c r="Z352" s="73"/>
    </row>
    <row r="353" spans="1:26" x14ac:dyDescent="0.45">
      <c r="A353" s="73"/>
      <c r="B353" s="73"/>
      <c r="C353" s="74"/>
      <c r="D353" s="75"/>
      <c r="E353" s="75"/>
      <c r="F353" s="74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5"/>
      <c r="Y353" s="75"/>
      <c r="Z353" s="73"/>
    </row>
    <row r="354" spans="1:26" x14ac:dyDescent="0.45">
      <c r="A354" s="73"/>
      <c r="B354" s="73"/>
      <c r="C354" s="74"/>
      <c r="D354" s="75"/>
      <c r="E354" s="75"/>
      <c r="F354" s="74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5"/>
      <c r="Y354" s="75"/>
      <c r="Z354" s="73"/>
    </row>
    <row r="355" spans="1:26" x14ac:dyDescent="0.45">
      <c r="A355" s="73"/>
      <c r="B355" s="73"/>
      <c r="C355" s="74"/>
      <c r="D355" s="75"/>
      <c r="E355" s="75"/>
      <c r="F355" s="74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5"/>
      <c r="Y355" s="75"/>
      <c r="Z355" s="73"/>
    </row>
    <row r="356" spans="1:26" x14ac:dyDescent="0.45">
      <c r="A356" s="73"/>
      <c r="B356" s="73"/>
      <c r="C356" s="74"/>
      <c r="D356" s="75"/>
      <c r="E356" s="75"/>
      <c r="F356" s="74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5"/>
      <c r="Y356" s="75"/>
      <c r="Z356" s="73"/>
    </row>
    <row r="357" spans="1:26" x14ac:dyDescent="0.45">
      <c r="A357" s="73"/>
      <c r="B357" s="73"/>
      <c r="C357" s="74"/>
      <c r="D357" s="75"/>
      <c r="E357" s="75"/>
      <c r="F357" s="74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5"/>
      <c r="Y357" s="75"/>
      <c r="Z357" s="73"/>
    </row>
    <row r="358" spans="1:26" x14ac:dyDescent="0.45">
      <c r="A358" s="73"/>
      <c r="B358" s="73"/>
      <c r="C358" s="74"/>
      <c r="D358" s="75"/>
      <c r="E358" s="75"/>
      <c r="F358" s="74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5"/>
      <c r="Y358" s="75"/>
      <c r="Z358" s="73"/>
    </row>
    <row r="359" spans="1:26" x14ac:dyDescent="0.45">
      <c r="A359" s="73"/>
      <c r="B359" s="73"/>
      <c r="C359" s="74"/>
      <c r="D359" s="75"/>
      <c r="E359" s="75"/>
      <c r="F359" s="74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5"/>
      <c r="Y359" s="75"/>
      <c r="Z359" s="73"/>
    </row>
    <row r="360" spans="1:26" x14ac:dyDescent="0.45">
      <c r="A360" s="73"/>
      <c r="B360" s="73"/>
      <c r="C360" s="74"/>
      <c r="D360" s="75"/>
      <c r="E360" s="75"/>
      <c r="F360" s="74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5"/>
      <c r="Y360" s="75"/>
      <c r="Z360" s="73"/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3354</v>
      </c>
      <c r="B1" s="129" t="s">
        <v>3355</v>
      </c>
    </row>
    <row r="2" spans="1:2" x14ac:dyDescent="0.45">
      <c r="A2" s="127" t="s">
        <v>3356</v>
      </c>
      <c r="B2" s="127">
        <v>1</v>
      </c>
    </row>
    <row r="3" spans="1:2" x14ac:dyDescent="0.45">
      <c r="A3" s="127" t="s">
        <v>3357</v>
      </c>
      <c r="B3" s="127">
        <v>1</v>
      </c>
    </row>
    <row r="4" spans="1:2" x14ac:dyDescent="0.45">
      <c r="A4" s="127" t="s">
        <v>3358</v>
      </c>
      <c r="B4" s="127">
        <v>1</v>
      </c>
    </row>
    <row r="5" spans="1:2" x14ac:dyDescent="0.45">
      <c r="A5" s="127" t="s">
        <v>3359</v>
      </c>
      <c r="B5" s="127">
        <v>1</v>
      </c>
    </row>
    <row r="6" spans="1:2" x14ac:dyDescent="0.45">
      <c r="A6" s="127" t="s">
        <v>3360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D12" sqref="D1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45" t="s">
        <v>3946</v>
      </c>
      <c r="B1" s="145"/>
      <c r="C1" s="145"/>
      <c r="D1" s="145"/>
      <c r="E1" s="145"/>
      <c r="F1" s="145"/>
      <c r="G1" s="145"/>
    </row>
    <row r="3" spans="1:7" x14ac:dyDescent="0.45">
      <c r="A3" s="143" t="s">
        <v>3879</v>
      </c>
      <c r="B3" s="143" t="s">
        <v>2617</v>
      </c>
      <c r="C3" s="143" t="s">
        <v>3880</v>
      </c>
      <c r="D3" s="143" t="s">
        <v>3881</v>
      </c>
      <c r="E3" s="143" t="s">
        <v>3882</v>
      </c>
      <c r="F3" s="143" t="s">
        <v>2709</v>
      </c>
      <c r="G3" s="143" t="s">
        <v>3943</v>
      </c>
    </row>
    <row r="4" spans="1:7" x14ac:dyDescent="0.45">
      <c r="A4" s="17">
        <v>22</v>
      </c>
      <c r="B4" s="101" t="s">
        <v>1150</v>
      </c>
      <c r="C4" s="17" t="s">
        <v>3880</v>
      </c>
      <c r="D4" s="101" t="s">
        <v>3873</v>
      </c>
      <c r="E4" s="101"/>
      <c r="F4" s="101" t="s">
        <v>3883</v>
      </c>
      <c r="G4" s="101"/>
    </row>
    <row r="5" spans="1:7" x14ac:dyDescent="0.45">
      <c r="A5" s="17">
        <v>33</v>
      </c>
      <c r="B5" s="101" t="s">
        <v>1194</v>
      </c>
      <c r="C5" s="17" t="s">
        <v>3884</v>
      </c>
      <c r="D5" s="101" t="s">
        <v>3885</v>
      </c>
      <c r="E5" s="101"/>
      <c r="F5" s="101" t="s">
        <v>3886</v>
      </c>
      <c r="G5" s="101"/>
    </row>
    <row r="6" spans="1:7" x14ac:dyDescent="0.45">
      <c r="A6" s="17">
        <v>34</v>
      </c>
      <c r="B6" s="101" t="s">
        <v>1197</v>
      </c>
      <c r="C6" s="17" t="s">
        <v>3884</v>
      </c>
      <c r="D6" s="101" t="s">
        <v>3887</v>
      </c>
      <c r="E6" s="101"/>
      <c r="F6" s="101" t="s">
        <v>3888</v>
      </c>
      <c r="G6" s="101"/>
    </row>
    <row r="7" spans="1:7" x14ac:dyDescent="0.45">
      <c r="A7" s="17">
        <v>49</v>
      </c>
      <c r="B7" s="101" t="s">
        <v>1252</v>
      </c>
      <c r="C7" s="17" t="s">
        <v>3884</v>
      </c>
      <c r="D7" s="101" t="s">
        <v>3889</v>
      </c>
      <c r="E7" s="101"/>
      <c r="F7" s="101" t="s">
        <v>3890</v>
      </c>
      <c r="G7" s="101"/>
    </row>
    <row r="8" spans="1:7" x14ac:dyDescent="0.45">
      <c r="A8" s="17">
        <v>49</v>
      </c>
      <c r="B8" s="101" t="s">
        <v>1252</v>
      </c>
      <c r="C8" s="17" t="s">
        <v>3884</v>
      </c>
      <c r="D8" s="101" t="s">
        <v>3891</v>
      </c>
      <c r="E8" s="101"/>
      <c r="F8" s="101" t="s">
        <v>3892</v>
      </c>
      <c r="G8" s="101"/>
    </row>
    <row r="9" spans="1:7" x14ac:dyDescent="0.45">
      <c r="A9" s="17">
        <v>49</v>
      </c>
      <c r="B9" s="101" t="s">
        <v>1252</v>
      </c>
      <c r="C9" s="17" t="s">
        <v>3884</v>
      </c>
      <c r="D9" s="101" t="s">
        <v>3893</v>
      </c>
      <c r="E9" s="101"/>
      <c r="F9" s="101" t="s">
        <v>3894</v>
      </c>
      <c r="G9" s="101"/>
    </row>
    <row r="10" spans="1:7" x14ac:dyDescent="0.45">
      <c r="A10" s="17">
        <v>49</v>
      </c>
      <c r="B10" s="101" t="s">
        <v>1252</v>
      </c>
      <c r="C10" s="17" t="s">
        <v>3884</v>
      </c>
      <c r="D10" s="101" t="s">
        <v>3895</v>
      </c>
      <c r="E10" s="101">
        <v>62280</v>
      </c>
      <c r="F10" s="101" t="s">
        <v>3896</v>
      </c>
      <c r="G10" s="101"/>
    </row>
    <row r="11" spans="1:7" x14ac:dyDescent="0.45">
      <c r="A11" s="17">
        <v>49</v>
      </c>
      <c r="B11" s="101" t="s">
        <v>1252</v>
      </c>
      <c r="C11" s="17" t="s">
        <v>3884</v>
      </c>
      <c r="D11" s="101" t="s">
        <v>3897</v>
      </c>
      <c r="E11" s="101"/>
      <c r="F11" s="101" t="s">
        <v>3898</v>
      </c>
      <c r="G11" s="101"/>
    </row>
    <row r="12" spans="1:7" x14ac:dyDescent="0.45">
      <c r="A12" s="17">
        <v>49</v>
      </c>
      <c r="B12" s="101" t="s">
        <v>1252</v>
      </c>
      <c r="C12" s="17" t="s">
        <v>3884</v>
      </c>
      <c r="D12" s="101" t="s">
        <v>3899</v>
      </c>
      <c r="E12" s="101">
        <v>61704</v>
      </c>
      <c r="F12" s="101" t="s">
        <v>3900</v>
      </c>
      <c r="G12" s="101"/>
    </row>
    <row r="13" spans="1:7" x14ac:dyDescent="0.45">
      <c r="A13" s="17">
        <v>49</v>
      </c>
      <c r="B13" s="101" t="s">
        <v>1252</v>
      </c>
      <c r="C13" s="17" t="s">
        <v>3884</v>
      </c>
      <c r="D13" s="101" t="s">
        <v>3901</v>
      </c>
      <c r="E13" s="101"/>
      <c r="F13" s="101" t="s">
        <v>3902</v>
      </c>
      <c r="G13" s="101"/>
    </row>
    <row r="14" spans="1:7" x14ac:dyDescent="0.45">
      <c r="A14" s="17">
        <v>49</v>
      </c>
      <c r="B14" s="101" t="s">
        <v>1252</v>
      </c>
      <c r="C14" s="17" t="s">
        <v>3884</v>
      </c>
      <c r="D14" s="101" t="s">
        <v>3903</v>
      </c>
      <c r="E14" s="101"/>
      <c r="F14" s="101" t="s">
        <v>3904</v>
      </c>
      <c r="G14" s="101"/>
    </row>
    <row r="15" spans="1:7" x14ac:dyDescent="0.45">
      <c r="A15" s="17">
        <v>49</v>
      </c>
      <c r="B15" s="101" t="s">
        <v>1252</v>
      </c>
      <c r="C15" s="17" t="s">
        <v>3884</v>
      </c>
      <c r="D15" s="101" t="s">
        <v>3905</v>
      </c>
      <c r="E15" s="101"/>
      <c r="F15" s="101" t="s">
        <v>3906</v>
      </c>
      <c r="G15" s="101"/>
    </row>
    <row r="16" spans="1:7" x14ac:dyDescent="0.45">
      <c r="A16" s="17">
        <v>49</v>
      </c>
      <c r="B16" s="101" t="s">
        <v>1252</v>
      </c>
      <c r="C16" s="17" t="s">
        <v>3884</v>
      </c>
      <c r="D16" s="101" t="s">
        <v>3907</v>
      </c>
      <c r="E16" s="101"/>
      <c r="F16" s="101" t="s">
        <v>3908</v>
      </c>
      <c r="G16" s="101"/>
    </row>
    <row r="17" spans="1:7" x14ac:dyDescent="0.45">
      <c r="A17" s="17">
        <v>49</v>
      </c>
      <c r="B17" s="101" t="s">
        <v>1252</v>
      </c>
      <c r="C17" s="17" t="s">
        <v>3884</v>
      </c>
      <c r="D17" s="144" t="s">
        <v>3897</v>
      </c>
      <c r="E17" s="101"/>
      <c r="F17" s="101" t="s">
        <v>3909</v>
      </c>
      <c r="G17" s="101" t="s">
        <v>3943</v>
      </c>
    </row>
    <row r="18" spans="1:7" x14ac:dyDescent="0.45">
      <c r="A18" s="17">
        <v>49</v>
      </c>
      <c r="B18" s="101" t="s">
        <v>1252</v>
      </c>
      <c r="C18" s="17" t="s">
        <v>3884</v>
      </c>
      <c r="D18" s="144" t="s">
        <v>3907</v>
      </c>
      <c r="E18" s="101"/>
      <c r="F18" s="101" t="s">
        <v>3910</v>
      </c>
      <c r="G18" s="101" t="s">
        <v>3943</v>
      </c>
    </row>
    <row r="19" spans="1:7" x14ac:dyDescent="0.45">
      <c r="A19" s="17">
        <v>67</v>
      </c>
      <c r="B19" s="101" t="s">
        <v>3911</v>
      </c>
      <c r="C19" s="17" t="s">
        <v>3884</v>
      </c>
      <c r="D19" s="101" t="s">
        <v>3912</v>
      </c>
      <c r="E19" s="101"/>
      <c r="F19" s="101" t="s">
        <v>3886</v>
      </c>
      <c r="G19" s="101"/>
    </row>
    <row r="20" spans="1:7" x14ac:dyDescent="0.45">
      <c r="A20" s="17">
        <v>69</v>
      </c>
      <c r="B20" s="101" t="s">
        <v>3856</v>
      </c>
      <c r="C20" s="17" t="s">
        <v>3884</v>
      </c>
      <c r="D20" s="101" t="s">
        <v>3913</v>
      </c>
      <c r="E20" s="101"/>
      <c r="F20" s="101" t="s">
        <v>3890</v>
      </c>
      <c r="G20" s="101"/>
    </row>
    <row r="21" spans="1:7" x14ac:dyDescent="0.45">
      <c r="A21" s="17">
        <v>69</v>
      </c>
      <c r="B21" s="101" t="s">
        <v>3856</v>
      </c>
      <c r="C21" s="17" t="s">
        <v>3884</v>
      </c>
      <c r="D21" s="144" t="s">
        <v>3913</v>
      </c>
      <c r="E21" s="101"/>
      <c r="F21" s="101" t="s">
        <v>3894</v>
      </c>
      <c r="G21" s="101" t="s">
        <v>3943</v>
      </c>
    </row>
    <row r="22" spans="1:7" x14ac:dyDescent="0.45">
      <c r="A22" s="17">
        <v>69</v>
      </c>
      <c r="B22" s="101" t="s">
        <v>3856</v>
      </c>
      <c r="C22" s="17" t="s">
        <v>3884</v>
      </c>
      <c r="D22" s="101" t="s">
        <v>3914</v>
      </c>
      <c r="E22" s="101"/>
      <c r="F22" s="101" t="s">
        <v>3896</v>
      </c>
      <c r="G22" s="101"/>
    </row>
    <row r="23" spans="1:7" x14ac:dyDescent="0.45">
      <c r="A23" s="17">
        <v>69</v>
      </c>
      <c r="B23" s="101" t="s">
        <v>3856</v>
      </c>
      <c r="C23" s="17" t="s">
        <v>3884</v>
      </c>
      <c r="D23" s="101" t="s">
        <v>3915</v>
      </c>
      <c r="E23" s="101"/>
      <c r="F23" s="101" t="s">
        <v>3898</v>
      </c>
      <c r="G23" s="101"/>
    </row>
    <row r="24" spans="1:7" x14ac:dyDescent="0.45">
      <c r="A24" s="17">
        <v>69</v>
      </c>
      <c r="B24" s="101" t="s">
        <v>3856</v>
      </c>
      <c r="C24" s="17" t="s">
        <v>3884</v>
      </c>
      <c r="D24" s="101" t="s">
        <v>3916</v>
      </c>
      <c r="E24" s="101"/>
      <c r="F24" s="101" t="s">
        <v>3900</v>
      </c>
      <c r="G24" s="101" t="s">
        <v>3944</v>
      </c>
    </row>
    <row r="25" spans="1:7" x14ac:dyDescent="0.45">
      <c r="A25" s="17">
        <v>69</v>
      </c>
      <c r="B25" s="101" t="s">
        <v>3856</v>
      </c>
      <c r="C25" s="17" t="s">
        <v>3884</v>
      </c>
      <c r="D25" s="101" t="s">
        <v>3917</v>
      </c>
      <c r="E25" s="101"/>
      <c r="F25" s="101" t="s">
        <v>3902</v>
      </c>
      <c r="G25" s="101"/>
    </row>
    <row r="26" spans="1:7" x14ac:dyDescent="0.45">
      <c r="A26" s="17">
        <v>69</v>
      </c>
      <c r="B26" s="101" t="s">
        <v>3856</v>
      </c>
      <c r="C26" s="17" t="s">
        <v>3884</v>
      </c>
      <c r="D26" s="144" t="s">
        <v>3917</v>
      </c>
      <c r="E26" s="101"/>
      <c r="F26" s="101" t="s">
        <v>3904</v>
      </c>
      <c r="G26" s="101" t="s">
        <v>3943</v>
      </c>
    </row>
    <row r="27" spans="1:7" x14ac:dyDescent="0.45">
      <c r="A27" s="17">
        <v>69</v>
      </c>
      <c r="B27" s="101" t="s">
        <v>3856</v>
      </c>
      <c r="C27" s="17" t="s">
        <v>3884</v>
      </c>
      <c r="D27" s="101" t="s">
        <v>3918</v>
      </c>
      <c r="E27" s="101"/>
      <c r="F27" s="101" t="s">
        <v>3906</v>
      </c>
      <c r="G27" s="101"/>
    </row>
    <row r="28" spans="1:7" x14ac:dyDescent="0.45">
      <c r="A28" s="17">
        <v>69</v>
      </c>
      <c r="B28" s="101" t="s">
        <v>3856</v>
      </c>
      <c r="C28" s="17" t="s">
        <v>3884</v>
      </c>
      <c r="D28" s="144" t="s">
        <v>3918</v>
      </c>
      <c r="E28" s="101"/>
      <c r="F28" s="101" t="s">
        <v>3908</v>
      </c>
      <c r="G28" s="101" t="s">
        <v>3943</v>
      </c>
    </row>
    <row r="29" spans="1:7" x14ac:dyDescent="0.45">
      <c r="A29" s="17">
        <v>69</v>
      </c>
      <c r="B29" s="101" t="s">
        <v>3856</v>
      </c>
      <c r="C29" s="17" t="s">
        <v>3884</v>
      </c>
      <c r="D29" s="144" t="s">
        <v>3918</v>
      </c>
      <c r="E29" s="101"/>
      <c r="F29" s="101" t="s">
        <v>3909</v>
      </c>
      <c r="G29" s="101" t="s">
        <v>3943</v>
      </c>
    </row>
    <row r="30" spans="1:7" x14ac:dyDescent="0.45">
      <c r="A30" s="17">
        <v>69</v>
      </c>
      <c r="B30" s="101" t="s">
        <v>3856</v>
      </c>
      <c r="C30" s="17" t="s">
        <v>3884</v>
      </c>
      <c r="D30" s="144" t="s">
        <v>3918</v>
      </c>
      <c r="E30" s="101"/>
      <c r="F30" s="101" t="s">
        <v>3910</v>
      </c>
      <c r="G30" s="101" t="s">
        <v>3943</v>
      </c>
    </row>
    <row r="31" spans="1:7" x14ac:dyDescent="0.45">
      <c r="A31" s="17">
        <v>69</v>
      </c>
      <c r="B31" s="101" t="s">
        <v>3856</v>
      </c>
      <c r="C31" s="17" t="s">
        <v>3884</v>
      </c>
      <c r="D31" s="101" t="s">
        <v>3919</v>
      </c>
      <c r="E31" s="101"/>
      <c r="F31" s="101" t="s">
        <v>3920</v>
      </c>
      <c r="G31" s="101"/>
    </row>
    <row r="32" spans="1:7" x14ac:dyDescent="0.45">
      <c r="A32" s="17">
        <v>69</v>
      </c>
      <c r="B32" s="101" t="s">
        <v>3856</v>
      </c>
      <c r="C32" s="17" t="s">
        <v>3884</v>
      </c>
      <c r="D32" s="101" t="s">
        <v>3921</v>
      </c>
      <c r="E32" s="101"/>
      <c r="F32" s="101" t="s">
        <v>3922</v>
      </c>
      <c r="G32" s="101"/>
    </row>
    <row r="33" spans="1:7" x14ac:dyDescent="0.45">
      <c r="A33" s="17">
        <v>69</v>
      </c>
      <c r="B33" s="101" t="s">
        <v>3856</v>
      </c>
      <c r="C33" s="17" t="s">
        <v>3884</v>
      </c>
      <c r="D33" s="144" t="s">
        <v>3921</v>
      </c>
      <c r="E33" s="101"/>
      <c r="F33" s="101" t="s">
        <v>3923</v>
      </c>
      <c r="G33" s="101" t="s">
        <v>3943</v>
      </c>
    </row>
    <row r="34" spans="1:7" x14ac:dyDescent="0.45">
      <c r="A34" s="17">
        <v>69</v>
      </c>
      <c r="B34" s="101" t="s">
        <v>3856</v>
      </c>
      <c r="C34" s="17" t="s">
        <v>3884</v>
      </c>
      <c r="D34" s="144" t="s">
        <v>3874</v>
      </c>
      <c r="E34" s="101"/>
      <c r="F34" s="101" t="s">
        <v>3875</v>
      </c>
      <c r="G34" s="101"/>
    </row>
    <row r="35" spans="1:7" x14ac:dyDescent="0.45">
      <c r="A35" s="17">
        <v>69</v>
      </c>
      <c r="B35" s="101" t="s">
        <v>3856</v>
      </c>
      <c r="C35" s="17" t="s">
        <v>3884</v>
      </c>
      <c r="D35" s="144" t="s">
        <v>3876</v>
      </c>
      <c r="E35" s="101"/>
      <c r="F35" s="101" t="s">
        <v>3877</v>
      </c>
      <c r="G35" s="101"/>
    </row>
    <row r="36" spans="1:7" x14ac:dyDescent="0.45">
      <c r="A36" s="17">
        <v>69</v>
      </c>
      <c r="B36" s="101" t="s">
        <v>3856</v>
      </c>
      <c r="C36" s="17" t="s">
        <v>3884</v>
      </c>
      <c r="D36" s="101" t="s">
        <v>3924</v>
      </c>
      <c r="E36" s="101"/>
      <c r="F36" s="101" t="s">
        <v>3878</v>
      </c>
      <c r="G36" s="101"/>
    </row>
    <row r="37" spans="1:7" x14ac:dyDescent="0.45">
      <c r="A37" s="17">
        <v>69</v>
      </c>
      <c r="B37" s="101" t="s">
        <v>3856</v>
      </c>
      <c r="C37" s="17" t="s">
        <v>3884</v>
      </c>
      <c r="D37" s="144" t="s">
        <v>3924</v>
      </c>
      <c r="E37" s="101"/>
      <c r="F37" s="101" t="s">
        <v>3925</v>
      </c>
      <c r="G37" s="101" t="s">
        <v>3943</v>
      </c>
    </row>
    <row r="38" spans="1:7" x14ac:dyDescent="0.45">
      <c r="A38" s="17">
        <v>69</v>
      </c>
      <c r="B38" s="101" t="s">
        <v>3856</v>
      </c>
      <c r="C38" s="17" t="s">
        <v>3884</v>
      </c>
      <c r="D38" s="101" t="s">
        <v>3926</v>
      </c>
      <c r="E38" s="101"/>
      <c r="F38" s="101" t="s">
        <v>3927</v>
      </c>
      <c r="G38" s="101"/>
    </row>
    <row r="39" spans="1:7" x14ac:dyDescent="0.45">
      <c r="A39" s="17">
        <v>69</v>
      </c>
      <c r="B39" s="101" t="s">
        <v>3856</v>
      </c>
      <c r="C39" s="17" t="s">
        <v>3884</v>
      </c>
      <c r="D39" s="101" t="s">
        <v>3928</v>
      </c>
      <c r="E39" s="101"/>
      <c r="F39" s="101" t="s">
        <v>3929</v>
      </c>
      <c r="G39" s="101"/>
    </row>
    <row r="40" spans="1:7" x14ac:dyDescent="0.45">
      <c r="A40" s="17">
        <v>69</v>
      </c>
      <c r="B40" s="101" t="s">
        <v>3856</v>
      </c>
      <c r="C40" s="17" t="s">
        <v>3884</v>
      </c>
      <c r="D40" s="101" t="s">
        <v>3930</v>
      </c>
      <c r="E40" s="101"/>
      <c r="F40" s="101" t="s">
        <v>3931</v>
      </c>
      <c r="G40" s="101"/>
    </row>
    <row r="41" spans="1:7" x14ac:dyDescent="0.45">
      <c r="A41" s="17">
        <v>69</v>
      </c>
      <c r="B41" s="101" t="s">
        <v>3856</v>
      </c>
      <c r="C41" s="17" t="s">
        <v>3884</v>
      </c>
      <c r="D41" s="101" t="s">
        <v>3932</v>
      </c>
      <c r="E41" s="101"/>
      <c r="F41" s="101" t="s">
        <v>3933</v>
      </c>
      <c r="G41" s="101"/>
    </row>
    <row r="42" spans="1:7" x14ac:dyDescent="0.45">
      <c r="A42" s="17">
        <v>69</v>
      </c>
      <c r="B42" s="101" t="s">
        <v>3856</v>
      </c>
      <c r="C42" s="17" t="s">
        <v>3884</v>
      </c>
      <c r="D42" s="101" t="s">
        <v>3934</v>
      </c>
      <c r="E42" s="101"/>
      <c r="F42" s="101" t="s">
        <v>3935</v>
      </c>
      <c r="G42" s="101"/>
    </row>
    <row r="43" spans="1:7" x14ac:dyDescent="0.45">
      <c r="A43" s="17">
        <v>69</v>
      </c>
      <c r="B43" s="101" t="s">
        <v>3856</v>
      </c>
      <c r="C43" s="17" t="s">
        <v>3884</v>
      </c>
      <c r="D43" s="101" t="s">
        <v>3936</v>
      </c>
      <c r="E43" s="101"/>
      <c r="F43" s="101" t="s">
        <v>3935</v>
      </c>
      <c r="G43" s="101" t="s">
        <v>3945</v>
      </c>
    </row>
    <row r="44" spans="1:7" x14ac:dyDescent="0.45">
      <c r="A44" s="17">
        <v>142</v>
      </c>
      <c r="B44" s="101" t="s">
        <v>3937</v>
      </c>
      <c r="C44" s="17" t="s">
        <v>3884</v>
      </c>
      <c r="D44" s="101" t="s">
        <v>3938</v>
      </c>
      <c r="E44" s="101"/>
      <c r="F44" s="101"/>
      <c r="G44" s="101"/>
    </row>
    <row r="45" spans="1:7" x14ac:dyDescent="0.45">
      <c r="A45" s="17">
        <v>146</v>
      </c>
      <c r="B45" s="101" t="s">
        <v>1541</v>
      </c>
      <c r="C45" s="17" t="s">
        <v>3880</v>
      </c>
      <c r="D45" s="101" t="s">
        <v>3939</v>
      </c>
      <c r="E45" s="101"/>
      <c r="F45" s="101"/>
      <c r="G45" s="101"/>
    </row>
    <row r="46" spans="1:7" x14ac:dyDescent="0.45">
      <c r="A46" s="17">
        <v>472</v>
      </c>
      <c r="B46" s="101" t="s">
        <v>3940</v>
      </c>
      <c r="C46" s="17" t="s">
        <v>3880</v>
      </c>
      <c r="D46" s="101" t="s">
        <v>3941</v>
      </c>
      <c r="E46" s="101"/>
      <c r="F46" s="101" t="s">
        <v>3942</v>
      </c>
      <c r="G46" s="101"/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통합</vt:lpstr>
      <vt:lpstr>입력</vt:lpstr>
      <vt:lpstr>ID</vt:lpstr>
      <vt:lpstr>시정명령주소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2026-05-27T05:56:11Z</dcterms:modified>
</cp:coreProperties>
</file>